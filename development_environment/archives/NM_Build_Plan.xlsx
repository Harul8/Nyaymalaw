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Backlog" sheetId="2" state="visible" r:id="rId2"/>
    <sheet xmlns:r="http://schemas.openxmlformats.org/officeDocument/2006/relationships" name="Epics" sheetId="3" state="visible" r:id="rId3"/>
    <sheet xmlns:r="http://schemas.openxmlformats.org/officeDocument/2006/relationships" name="Dependencies" sheetId="4" state="visible" r:id="rId4"/>
    <sheet xmlns:r="http://schemas.openxmlformats.org/officeDocument/2006/relationships" name="PRD Coverage" sheetId="5" state="visible" r:id="rId5"/>
    <sheet xmlns:r="http://schemas.openxmlformats.org/officeDocument/2006/relationships" name="Bugs" sheetId="6" state="visible" r:id="rId6"/>
    <sheet xmlns:r="http://schemas.openxmlformats.org/officeDocument/2006/relationships" name="Spikes" sheetId="7" state="visible" r:id="rId7"/>
    <sheet xmlns:r="http://schemas.openxmlformats.org/officeDocument/2006/relationships" name="Baseline" sheetId="8" state="visible" r:id="rId8"/>
    <sheet xmlns:r="http://schemas.openxmlformats.org/officeDocument/2006/relationships" name="Summary" sheetId="9" state="visible" r:id="rId9"/>
    <sheet xmlns:r="http://schemas.openxmlformats.org/officeDocument/2006/relationships" name="Advocate Behaviour" sheetId="10" state="visible" r:id="rId10"/>
  </sheets>
  <definedNames>
    <definedName name="_xlnm._FilterDatabase" localSheetId="5" hidden="1">'Bugs'!$A$1:$J$161</definedName>
  </definedNames>
</workbook>
</file>

<file path=xl/styles.xml><?xml version="1.0" encoding="utf-8"?>
<styleSheet xmlns="http://schemas.openxmlformats.org/spreadsheetml/2006/main">
  <numFmts count="0"/>
  <fonts count="12">
    <font>
      <name val="Calibri"/>
      <color theme="1"/>
      <sz val="11"/>
    </font>
    <font>
      <name val="Arial"/>
      <b val="1"/>
      <color rgb="FF1F2A37"/>
      <sz val="14"/>
    </font>
    <font>
      <name val="Arial"/>
      <color rgb="FF6B7280"/>
      <sz val="9"/>
    </font>
    <font>
      <name val="Arial"/>
      <b val="1"/>
      <sz val="9"/>
    </font>
    <font>
      <name val="Arial"/>
      <sz val="9"/>
    </font>
    <font>
      <name val="Arial"/>
      <b val="1"/>
      <color rgb="FFFFFFFF"/>
      <sz val="9"/>
    </font>
    <font>
      <name val="Arial"/>
      <b val="1"/>
      <color rgb="FFFFFFFF"/>
      <sz val="16"/>
    </font>
    <font>
      <name val="Arial"/>
      <i val="1"/>
      <color rgb="FFF9FAFB"/>
      <sz val="9"/>
    </font>
    <font>
      <name val="Arial"/>
      <b val="1"/>
      <color rgb="FF111827"/>
      <sz val="9"/>
    </font>
    <font>
      <name val="Arial"/>
      <b val="1"/>
      <color rgb="FF111827"/>
      <sz val="11"/>
    </font>
    <font>
      <name val="Arial"/>
      <color rgb="FF4B5563"/>
      <sz val="8"/>
    </font>
    <font>
      <name val="Arial"/>
      <color rgb="FF111827"/>
      <sz val="9"/>
    </font>
  </fonts>
  <fills count="32">
    <fill>
      <patternFill/>
    </fill>
    <fill>
      <patternFill patternType="gray125"/>
    </fill>
    <fill>
      <patternFill patternType="solid">
        <fgColor rgb="FF1F2A37"/>
      </patternFill>
    </fill>
    <fill>
      <patternFill patternType="solid">
        <fgColor rgb="FFEEF2FF"/>
      </patternFill>
    </fill>
    <fill>
      <patternFill patternType="solid">
        <fgColor rgb="FFFFFFFF"/>
      </patternFill>
    </fill>
    <fill>
      <patternFill patternType="solid">
        <fgColor rgb="FFFEF9C3"/>
      </patternFill>
    </fill>
    <fill>
      <patternFill patternType="solid">
        <fgColor rgb="FFFEE2E2"/>
      </patternFill>
    </fill>
    <fill>
      <patternFill patternType="solid">
        <fgColor rgb="FFECFDF5"/>
      </patternFill>
    </fill>
    <fill>
      <patternFill patternType="solid">
        <fgColor rgb="FFFEF3C7"/>
      </patternFill>
    </fill>
    <fill>
      <patternFill patternType="solid">
        <fgColor rgb="FFFCE7F3"/>
      </patternFill>
    </fill>
    <fill>
      <patternFill patternType="solid">
        <fgColor rgb="FFE0F2FE"/>
      </patternFill>
    </fill>
    <fill>
      <patternFill patternType="solid">
        <fgColor rgb="FFF3E8FF"/>
      </patternFill>
    </fill>
    <fill>
      <patternFill patternType="solid">
        <fgColor rgb="FFF1F5F9"/>
      </patternFill>
    </fill>
    <fill>
      <patternFill patternType="solid">
        <fgColor rgb="FFDCFCE7"/>
      </patternFill>
    </fill>
    <fill>
      <patternFill patternType="solid">
        <fgColor rgb="FFE2E8F0"/>
      </patternFill>
    </fill>
    <fill>
      <patternFill patternType="solid">
        <fgColor rgb="FFDBEAFE"/>
      </patternFill>
    </fill>
    <fill>
      <patternFill patternType="solid">
        <fgColor rgb="FF1F2A37"/>
      </patternFill>
    </fill>
    <fill>
      <patternFill patternType="solid">
        <fgColor rgb="FF374151"/>
      </patternFill>
    </fill>
    <fill>
      <patternFill patternType="solid">
        <fgColor rgb="FFE5E7EB"/>
      </patternFill>
    </fill>
    <fill>
      <patternFill patternType="solid">
        <fgColor rgb="FFFFFFFF"/>
      </patternFill>
    </fill>
    <fill>
      <patternFill patternType="solid">
        <fgColor rgb="FFF9FAFB"/>
      </patternFill>
    </fill>
    <fill>
      <patternFill patternType="solid">
        <fgColor rgb="FF1F2A37"/>
      </patternFill>
    </fill>
    <fill>
      <patternFill patternType="solid">
        <fgColor rgb="FF374151"/>
      </patternFill>
    </fill>
    <fill>
      <patternFill patternType="solid">
        <fgColor rgb="FFE5E7EB"/>
      </patternFill>
    </fill>
    <fill>
      <patternFill patternType="solid">
        <fgColor rgb="FFFFFFFF"/>
      </patternFill>
    </fill>
    <fill>
      <patternFill patternType="solid">
        <fgColor rgb="FFF9FAFB"/>
      </patternFill>
    </fill>
    <fill>
      <patternFill patternType="solid">
        <fgColor rgb="00FEE2E2"/>
      </patternFill>
    </fill>
    <fill>
      <patternFill patternType="solid">
        <fgColor rgb="00DCFCE7"/>
      </patternFill>
    </fill>
    <fill>
      <patternFill patternType="solid">
        <fgColor rgb="00F1F5F9"/>
      </patternFill>
    </fill>
    <fill>
      <patternFill patternType="solid">
        <fgColor rgb="00DBEAFE"/>
      </patternFill>
    </fill>
    <fill>
      <patternFill patternType="solid">
        <fgColor rgb="00FEF3C7"/>
      </patternFill>
    </fill>
    <fill>
      <patternFill patternType="solid">
        <fgColor rgb="00E2E8F0"/>
      </patternFill>
    </fill>
  </fills>
  <borders count="7">
    <border/>
    <border>
      <bottom style="thin">
        <color rgb="FFD1D5DB"/>
      </bottom>
    </border>
    <border>
      <left style="thin">
        <color rgb="FF9CA3AF"/>
      </left>
      <top style="thin">
        <color rgb="FF9CA3AF"/>
      </top>
      <bottom style="thin">
        <color rgb="FF9CA3AF"/>
      </bottom>
    </border>
    <border>
      <top style="thin">
        <color rgb="FF9CA3AF"/>
      </top>
      <bottom style="thin">
        <color rgb="FF9CA3AF"/>
      </bottom>
    </border>
    <border>
      <right style="thin">
        <color rgb="FF9CA3AF"/>
      </right>
      <top style="thin">
        <color rgb="FF9CA3AF"/>
      </top>
      <bottom style="thin">
        <color rgb="FF9CA3AF"/>
      </bottom>
    </border>
    <border>
      <bottom style="thin">
        <color rgb="FFD1D5DB"/>
      </bottom>
    </border>
    <border>
      <bottom style="medium">
        <color rgb="FF111827"/>
      </bottom>
    </border>
  </borders>
  <cellStyleXfs count="1">
    <xf numFmtId="0" fontId="0" fillId="0" borderId="0"/>
  </cellStyleXfs>
  <cellXfs count="1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top" wrapText="1"/>
    </xf>
    <xf numFmtId="0" fontId="3"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1" applyAlignment="1" pivotButton="0" quotePrefix="0" xfId="0">
      <alignment vertical="top"/>
    </xf>
    <xf numFmtId="0" fontId="4" fillId="11" borderId="1" applyAlignment="1" pivotButton="0" quotePrefix="0" xfId="0">
      <alignment vertical="top"/>
    </xf>
    <xf numFmtId="0" fontId="4" fillId="12" borderId="1" applyAlignment="1" pivotButton="0" quotePrefix="0" xfId="0">
      <alignment vertical="top"/>
    </xf>
    <xf numFmtId="0" fontId="4" fillId="12" borderId="1" applyAlignment="1" pivotButton="0" quotePrefix="0" xfId="0">
      <alignment vertical="top" wrapText="1"/>
    </xf>
    <xf numFmtId="0" fontId="4" fillId="3"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3" fillId="0" borderId="0" applyAlignment="1" pivotButton="0" quotePrefix="0" xfId="0">
      <alignment horizontal="center" vertical="top"/>
    </xf>
    <xf numFmtId="0" fontId="4" fillId="0" borderId="0" pivotButton="0" quotePrefix="0" xfId="0"/>
    <xf numFmtId="0" fontId="4" fillId="0" borderId="0" applyAlignment="1" pivotButton="0" quotePrefix="0" xfId="0">
      <alignment horizontal="center" vertical="top"/>
    </xf>
    <xf numFmtId="0" fontId="4" fillId="13" borderId="1" applyAlignment="1" pivotButton="0" quotePrefix="0" xfId="0">
      <alignment vertical="top"/>
    </xf>
    <xf numFmtId="0" fontId="5" fillId="0" borderId="0" pivotButton="0" quotePrefix="0" xfId="0"/>
    <xf numFmtId="9" fontId="4" fillId="0" borderId="0" pivotButton="0" quotePrefix="0" xfId="0"/>
    <xf numFmtId="0" fontId="3" fillId="0" borderId="0" applyAlignment="1" pivotButton="0" quotePrefix="0" xfId="0">
      <alignment vertical="top"/>
    </xf>
    <xf numFmtId="0" fontId="4" fillId="0" borderId="0" applyAlignment="1" pivotButton="0" quotePrefix="0" xfId="0">
      <alignment vertical="top"/>
    </xf>
    <xf numFmtId="0" fontId="4" fillId="6" borderId="0" applyAlignment="1" pivotButton="0" quotePrefix="0" xfId="0">
      <alignment horizontal="center" vertical="top"/>
    </xf>
    <xf numFmtId="0" fontId="4" fillId="13" borderId="0" applyAlignment="1" pivotButton="0" quotePrefix="0" xfId="0">
      <alignment horizontal="center" vertical="top"/>
    </xf>
    <xf numFmtId="0" fontId="4" fillId="12" borderId="0" applyAlignment="1" pivotButton="0" quotePrefix="0" xfId="0">
      <alignment horizontal="center" vertical="top"/>
    </xf>
    <xf numFmtId="0" fontId="4" fillId="8" borderId="0" applyAlignment="1" pivotButton="0" quotePrefix="0" xfId="0">
      <alignment horizontal="center" vertical="top"/>
    </xf>
    <xf numFmtId="0" fontId="4" fillId="7" borderId="0" applyAlignment="1" pivotButton="0" quotePrefix="0" xfId="0">
      <alignment vertical="top"/>
    </xf>
    <xf numFmtId="0" fontId="4" fillId="4" borderId="0" applyAlignment="1" pivotButton="0" quotePrefix="0" xfId="0">
      <alignment vertical="top"/>
    </xf>
    <xf numFmtId="0" fontId="4" fillId="14" borderId="0" applyAlignment="1" pivotButton="0" quotePrefix="0" xfId="0">
      <alignment horizontal="center" vertical="top"/>
    </xf>
    <xf numFmtId="0" fontId="4" fillId="8" borderId="0" applyAlignment="1" pivotButton="0" quotePrefix="0" xfId="0">
      <alignment vertical="top"/>
    </xf>
    <xf numFmtId="0" fontId="4" fillId="6" borderId="0" applyAlignment="1" pivotButton="0" quotePrefix="0" xfId="0">
      <alignment vertical="top"/>
    </xf>
    <xf numFmtId="0" fontId="4" fillId="13" borderId="0" applyAlignment="1" pivotButton="0" quotePrefix="0" xfId="0">
      <alignment vertical="top"/>
    </xf>
    <xf numFmtId="0" fontId="4" fillId="12" borderId="0" applyAlignment="1" pivotButton="0" quotePrefix="0" xfId="0">
      <alignment vertical="top"/>
    </xf>
    <xf numFmtId="0" fontId="4" fillId="15" borderId="0" applyAlignment="1" pivotButton="0" quotePrefix="0" xfId="0">
      <alignment horizontal="center" vertical="top"/>
    </xf>
    <xf numFmtId="0" fontId="0" fillId="16" borderId="0" pivotButton="0" quotePrefix="0" xfId="0"/>
    <xf numFmtId="0" fontId="6" fillId="16" borderId="0" pivotButton="0" quotePrefix="0" xfId="0"/>
    <xf numFmtId="0" fontId="6" fillId="16" borderId="0" applyAlignment="1" pivotButton="0" quotePrefix="0" xfId="0">
      <alignment vertical="center"/>
    </xf>
    <xf numFmtId="0" fontId="0" fillId="17" borderId="0" pivotButton="0" quotePrefix="0" xfId="0"/>
    <xf numFmtId="0" fontId="7" fillId="17" borderId="0" pivotButton="0" quotePrefix="0" xfId="0"/>
    <xf numFmtId="0" fontId="7" fillId="17" borderId="0" applyAlignment="1" pivotButton="0" quotePrefix="0" xfId="0">
      <alignment wrapText="1"/>
    </xf>
    <xf numFmtId="0" fontId="7" fillId="17" borderId="0" applyAlignment="1" pivotButton="0" quotePrefix="0" xfId="0">
      <alignment vertical="center" wrapText="1"/>
    </xf>
    <xf numFmtId="0" fontId="0" fillId="18" borderId="0" pivotButton="0" quotePrefix="0" xfId="0"/>
    <xf numFmtId="0" fontId="8" fillId="18" borderId="0" pivotButton="0" quotePrefix="0" xfId="0"/>
    <xf numFmtId="0" fontId="8" fillId="18" borderId="2" pivotButton="0" quotePrefix="0" xfId="0"/>
    <xf numFmtId="0" fontId="8" fillId="18" borderId="3" pivotButton="0" quotePrefix="0" xfId="0"/>
    <xf numFmtId="0" fontId="8" fillId="18" borderId="4" pivotButton="0" quotePrefix="0" xfId="0"/>
    <xf numFmtId="0" fontId="8" fillId="18" borderId="2" applyAlignment="1" pivotButton="0" quotePrefix="0" xfId="0">
      <alignment vertical="center"/>
    </xf>
    <xf numFmtId="0" fontId="8" fillId="18" borderId="3" applyAlignment="1" pivotButton="0" quotePrefix="0" xfId="0">
      <alignment vertical="center"/>
    </xf>
    <xf numFmtId="0" fontId="8" fillId="18" borderId="4" applyAlignment="1" pivotButton="0" quotePrefix="0" xfId="0">
      <alignment vertical="center"/>
    </xf>
    <xf numFmtId="0" fontId="8" fillId="19" borderId="3" applyAlignment="1" pivotButton="0" quotePrefix="0" xfId="0">
      <alignment vertical="center"/>
    </xf>
    <xf numFmtId="0" fontId="9" fillId="19" borderId="3" applyAlignment="1" pivotButton="0" quotePrefix="0" xfId="0">
      <alignment vertical="center"/>
    </xf>
    <xf numFmtId="0" fontId="9" fillId="19" borderId="3" applyAlignment="1" pivotButton="0" quotePrefix="0" xfId="0">
      <alignment horizontal="center" vertical="center"/>
    </xf>
    <xf numFmtId="0" fontId="8" fillId="19" borderId="4" applyAlignment="1" pivotButton="0" quotePrefix="0" xfId="0">
      <alignment vertical="center"/>
    </xf>
    <xf numFmtId="0" fontId="9" fillId="19" borderId="4" applyAlignment="1" pivotButton="0" quotePrefix="0" xfId="0">
      <alignment vertical="center"/>
    </xf>
    <xf numFmtId="0" fontId="9" fillId="19" borderId="4" applyAlignment="1" pivotButton="0" quotePrefix="0" xfId="0">
      <alignment horizontal="center" vertical="center"/>
    </xf>
    <xf numFmtId="0" fontId="0" fillId="20" borderId="0" pivotButton="0" quotePrefix="0" xfId="0"/>
    <xf numFmtId="0" fontId="10" fillId="20" borderId="0" pivotButton="0" quotePrefix="0" xfId="0"/>
    <xf numFmtId="0" fontId="10" fillId="20" borderId="5" pivotButton="0" quotePrefix="0" xfId="0"/>
    <xf numFmtId="0" fontId="10" fillId="20" borderId="0" applyAlignment="1" pivotButton="0" quotePrefix="0" xfId="0">
      <alignment wrapText="1"/>
    </xf>
    <xf numFmtId="0" fontId="10" fillId="20" borderId="5" applyAlignment="1" pivotButton="0" quotePrefix="0" xfId="0">
      <alignment wrapText="1"/>
    </xf>
    <xf numFmtId="0" fontId="10" fillId="20" borderId="0" applyAlignment="1" pivotButton="0" quotePrefix="0" xfId="0">
      <alignment vertical="center" wrapText="1"/>
    </xf>
    <xf numFmtId="0" fontId="10" fillId="20" borderId="5" applyAlignment="1" pivotButton="0" quotePrefix="0" xfId="0">
      <alignment vertical="center" wrapText="1"/>
    </xf>
    <xf numFmtId="0" fontId="5" fillId="16" borderId="0" pivotButton="0" quotePrefix="0" xfId="0"/>
    <xf numFmtId="0" fontId="5" fillId="16" borderId="6" pivotButton="0" quotePrefix="0" xfId="0"/>
    <xf numFmtId="0" fontId="5" fillId="16" borderId="6" applyAlignment="1" pivotButton="0" quotePrefix="0" xfId="0">
      <alignment wrapText="1"/>
    </xf>
    <xf numFmtId="0" fontId="5" fillId="16" borderId="6" applyAlignment="1" pivotButton="0" quotePrefix="0" xfId="0">
      <alignment horizontal="center" wrapText="1"/>
    </xf>
    <xf numFmtId="0" fontId="5" fillId="16" borderId="6" applyAlignment="1" pivotButton="0" quotePrefix="0" xfId="0">
      <alignment horizontal="center" vertical="center" wrapText="1"/>
    </xf>
    <xf numFmtId="0" fontId="11" fillId="0" borderId="0" pivotButton="0" quotePrefix="0" xfId="0"/>
    <xf numFmtId="0" fontId="11" fillId="0" borderId="5" pivotButton="0" quotePrefix="0" xfId="0"/>
    <xf numFmtId="0" fontId="11" fillId="0" borderId="0" applyAlignment="1" pivotButton="0" quotePrefix="0" xfId="0">
      <alignment wrapText="1"/>
    </xf>
    <xf numFmtId="0" fontId="11" fillId="0" borderId="5" applyAlignment="1" pivotButton="0" quotePrefix="0" xfId="0">
      <alignment wrapText="1"/>
    </xf>
    <xf numFmtId="0" fontId="11" fillId="0" borderId="0" applyAlignment="1" pivotButton="0" quotePrefix="0" xfId="0">
      <alignment vertical="top" wrapText="1"/>
    </xf>
    <xf numFmtId="0" fontId="11" fillId="0" borderId="5" applyAlignment="1" pivotButton="0" quotePrefix="0" xfId="0">
      <alignment vertical="top" wrapText="1"/>
    </xf>
    <xf numFmtId="0" fontId="11" fillId="0" borderId="0" applyAlignment="1" pivotButton="0" quotePrefix="0" xfId="0">
      <alignment horizontal="center" vertical="top" wrapText="1"/>
    </xf>
    <xf numFmtId="0" fontId="11" fillId="0" borderId="5" applyAlignment="1" pivotButton="0" quotePrefix="0" xfId="0">
      <alignment horizontal="center" vertical="top" wrapText="1"/>
    </xf>
    <xf numFmtId="0" fontId="11" fillId="0" borderId="0" applyAlignment="1" pivotButton="0" quotePrefix="0" xfId="0">
      <alignment vertical="top"/>
    </xf>
    <xf numFmtId="0" fontId="11" fillId="0" borderId="5" applyAlignment="1" pivotButton="0" quotePrefix="0" xfId="0">
      <alignment vertical="top"/>
    </xf>
    <xf numFmtId="0" fontId="11" fillId="0" borderId="0" applyAlignment="1" pivotButton="0" quotePrefix="0" xfId="0">
      <alignment horizontal="center" vertical="top"/>
    </xf>
    <xf numFmtId="0" fontId="11" fillId="0" borderId="5" applyAlignment="1" pivotButton="0" quotePrefix="0" xfId="0">
      <alignment horizontal="center" vertical="top"/>
    </xf>
    <xf numFmtId="0" fontId="6" fillId="21" borderId="0" applyAlignment="1" pivotButton="0" quotePrefix="0" xfId="0">
      <alignment vertical="center"/>
    </xf>
    <xf numFmtId="0" fontId="7" fillId="22" borderId="0" applyAlignment="1" pivotButton="0" quotePrefix="0" xfId="0">
      <alignment vertical="center" wrapText="1"/>
    </xf>
    <xf numFmtId="0" fontId="8" fillId="23" borderId="2" applyAlignment="1" pivotButton="0" quotePrefix="0" xfId="0">
      <alignment vertical="center"/>
    </xf>
    <xf numFmtId="0" fontId="9" fillId="23" borderId="3" applyAlignment="1" pivotButton="0" quotePrefix="0" xfId="0">
      <alignment horizontal="center" vertical="center"/>
    </xf>
    <xf numFmtId="0" fontId="8" fillId="23" borderId="3" applyAlignment="1" pivotButton="0" quotePrefix="0" xfId="0">
      <alignment vertical="center"/>
    </xf>
    <xf numFmtId="0" fontId="9" fillId="23" borderId="4" applyAlignment="1" pivotButton="0" quotePrefix="0" xfId="0">
      <alignment horizontal="center" vertical="center"/>
    </xf>
    <xf numFmtId="0" fontId="8" fillId="23" borderId="3" applyAlignment="1" pivotButton="0" quotePrefix="0" xfId="0">
      <alignment horizontal="center" vertical="center"/>
    </xf>
    <xf numFmtId="0" fontId="8" fillId="23" borderId="4"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8" fillId="24" borderId="4" applyAlignment="1" pivotButton="0" quotePrefix="0" xfId="0">
      <alignment horizontal="center" vertical="center"/>
    </xf>
    <xf numFmtId="0" fontId="9" fillId="24" borderId="4" applyAlignment="1" pivotButton="0" quotePrefix="0" xfId="0">
      <alignment horizontal="center" vertical="center"/>
    </xf>
    <xf numFmtId="0" fontId="10" fillId="25" borderId="0" applyAlignment="1" pivotButton="0" quotePrefix="0" xfId="0">
      <alignment vertical="center" wrapText="1"/>
    </xf>
    <xf numFmtId="0" fontId="10" fillId="25" borderId="1" applyAlignment="1" pivotButton="0" quotePrefix="0" xfId="0">
      <alignment vertical="center" wrapText="1"/>
    </xf>
    <xf numFmtId="0" fontId="10" fillId="25" borderId="0" applyAlignment="1" pivotButton="0" quotePrefix="0" xfId="0">
      <alignment vertical="center" wrapText="1"/>
    </xf>
    <xf numFmtId="0" fontId="5" fillId="21" borderId="6" applyAlignment="1" pivotButton="0" quotePrefix="0" xfId="0">
      <alignment horizontal="center" vertical="center" wrapText="1"/>
    </xf>
    <xf numFmtId="0" fontId="11" fillId="0" borderId="1" applyAlignment="1" pivotButton="0" quotePrefix="0" xfId="0">
      <alignment horizontal="center" vertical="top" wrapText="1"/>
    </xf>
    <xf numFmtId="0" fontId="11" fillId="0" borderId="1" applyAlignment="1" pivotButton="0" quotePrefix="0" xfId="0">
      <alignment vertical="top" wrapText="1"/>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1" applyAlignment="1" pivotButton="0" quotePrefix="0" xfId="0">
      <alignment horizontal="center" vertical="top"/>
    </xf>
    <xf numFmtId="0" fontId="11" fillId="0" borderId="1" applyAlignment="1" pivotButton="0" quotePrefix="0" xfId="0">
      <alignment vertical="top"/>
    </xf>
    <xf numFmtId="0" fontId="11" fillId="0" borderId="0" applyAlignment="1" pivotButton="0" quotePrefix="0" xfId="0">
      <alignment horizontal="center" vertical="top"/>
    </xf>
    <xf numFmtId="0" fontId="11" fillId="0" borderId="0" applyAlignment="1" pivotButton="0" quotePrefix="0" xfId="0">
      <alignment vertical="top"/>
    </xf>
    <xf numFmtId="0" fontId="10" fillId="25" borderId="5" applyAlignment="1" pivotButton="0" quotePrefix="0" xfId="0">
      <alignment vertical="center" wrapText="1"/>
    </xf>
    <xf numFmtId="0" fontId="0" fillId="0" borderId="5" pivotButton="0" quotePrefix="0" xfId="0"/>
    <xf numFmtId="0" fontId="5" fillId="21" borderId="0" applyAlignment="1" pivotButton="0" quotePrefix="0" xfId="0">
      <alignment vertical="top" wrapText="1"/>
    </xf>
    <xf numFmtId="0" fontId="4" fillId="26" borderId="0" applyAlignment="1" pivotButton="0" quotePrefix="0" xfId="0">
      <alignment horizontal="center" vertical="top"/>
    </xf>
    <xf numFmtId="0" fontId="4" fillId="27" borderId="0" applyAlignment="1" pivotButton="0" quotePrefix="0" xfId="0">
      <alignment horizontal="center" vertical="top"/>
    </xf>
    <xf numFmtId="0" fontId="4" fillId="28" borderId="0" applyAlignment="1" pivotButton="0" quotePrefix="0" xfId="0">
      <alignment horizontal="center" vertical="top"/>
    </xf>
    <xf numFmtId="0" fontId="4" fillId="29" borderId="0" applyAlignment="1" pivotButton="0" quotePrefix="0" xfId="0">
      <alignment horizontal="center" vertical="top"/>
    </xf>
    <xf numFmtId="0" fontId="4" fillId="30" borderId="0" applyAlignment="1" pivotButton="0" quotePrefix="0" xfId="0">
      <alignment horizontal="center" vertical="top"/>
    </xf>
    <xf numFmtId="0" fontId="4" fillId="31" borderId="0" applyAlignment="1" pivotButton="0" quotePrefix="0" xfId="0">
      <alignment horizontal="center" vertical="top"/>
    </xf>
  </cellXfs>
  <cellStyles count="1">
    <cellStyle name="Normal" xfId="0"/>
  </cellStyles>
  <dxfs count="20">
    <dxf>
      <font>
        <b val="1"/>
        <color rgb="FF166534"/>
      </font>
      <fill>
        <patternFill>
          <bgColor rgb="FFDCFCE7"/>
        </patternFill>
      </fill>
    </dxf>
    <dxf>
      <font>
        <b val="1"/>
        <color rgb="FF92400E"/>
      </font>
      <fill>
        <patternFill>
          <bgColor rgb="FFFEF3C7"/>
        </patternFill>
      </fill>
    </dxf>
    <dxf>
      <font>
        <b val="1"/>
        <color rgb="FF1E40AF"/>
      </font>
      <fill>
        <patternFill>
          <bgColor rgb="FFDBEAFE"/>
        </patternFill>
      </fill>
    </dxf>
    <dxf>
      <font>
        <b val="1"/>
        <color rgb="FF991B1B"/>
      </font>
      <fill>
        <patternFill>
          <bgColor rgb="FFFEE2E2"/>
        </patternFill>
      </fill>
    </dxf>
    <dxf>
      <font>
        <b val="1"/>
        <color rgb="FF991B1B"/>
      </font>
      <fill>
        <patternFill>
          <bgColor rgb="FFFEE2E2"/>
        </patternFill>
      </fill>
    </dxf>
    <dxf>
      <font>
        <b val="1"/>
        <color rgb="FF92400E"/>
      </font>
      <fill>
        <patternFill>
          <bgColor rgb="FFFEF3C7"/>
        </patternFill>
      </fill>
    </dxf>
    <dxf>
      <font>
        <b val="1"/>
        <color rgb="FF374151"/>
      </font>
      <fill>
        <patternFill>
          <bgColor rgb="FFE5E7EB"/>
        </patternFill>
      </fill>
    </dxf>
    <dxf>
      <font>
        <b val="1"/>
        <color rgb="FF166534"/>
      </font>
      <fill>
        <patternFill>
          <bgColor rgb="FFDCFCE7"/>
        </patternFill>
      </fill>
    </dxf>
    <dxf>
      <font>
        <b val="1"/>
        <color rgb="FF1E40AF"/>
      </font>
      <fill>
        <patternFill>
          <bgColor rgb="FFDBEAFE"/>
        </patternFill>
      </fill>
    </dxf>
    <dxf>
      <font>
        <b val="1"/>
        <color rgb="FF92400E"/>
      </font>
      <fill>
        <patternFill>
          <bgColor rgb="FFFEF3C7"/>
        </patternFill>
      </fill>
    </dxf>
    <dxf>
      <font>
        <b val="1"/>
        <color rgb="FF166534"/>
      </font>
      <fill>
        <patternFill patternType="solid">
          <bgColor rgb="FFDCFCE7"/>
        </patternFill>
      </fill>
    </dxf>
    <dxf>
      <font>
        <b val="1"/>
        <color rgb="FF92400E"/>
      </font>
      <fill>
        <patternFill patternType="solid">
          <bgColor rgb="FFFEF3C7"/>
        </patternFill>
      </fill>
    </dxf>
    <dxf>
      <font>
        <b val="1"/>
        <color rgb="FF1E40AF"/>
      </font>
      <fill>
        <patternFill patternType="solid">
          <bgColor rgb="FFDBEAFE"/>
        </patternFill>
      </fill>
    </dxf>
    <dxf>
      <font>
        <b val="1"/>
        <color rgb="FF991B1B"/>
      </font>
      <fill>
        <patternFill patternType="solid">
          <bgColor rgb="FFFEE2E2"/>
        </patternFill>
      </fill>
    </dxf>
    <dxf>
      <font>
        <b val="1"/>
        <color rgb="FF991B1B"/>
      </font>
      <fill>
        <patternFill patternType="solid">
          <bgColor rgb="FFFEE2E2"/>
        </patternFill>
      </fill>
    </dxf>
    <dxf>
      <font>
        <b val="1"/>
        <color rgb="FF92400E"/>
      </font>
      <fill>
        <patternFill patternType="solid">
          <bgColor rgb="FFFEF3C7"/>
        </patternFill>
      </fill>
    </dxf>
    <dxf>
      <font>
        <b val="1"/>
        <color rgb="FF374151"/>
      </font>
      <fill>
        <patternFill patternType="solid">
          <bgColor rgb="FFE5E7EB"/>
        </patternFill>
      </fill>
    </dxf>
    <dxf>
      <font>
        <b val="1"/>
        <color rgb="FF166534"/>
      </font>
      <fill>
        <patternFill patternType="solid">
          <bgColor rgb="FFDCFCE7"/>
        </patternFill>
      </fill>
    </dxf>
    <dxf>
      <font>
        <b val="1"/>
        <color rgb="FF1E40AF"/>
      </font>
      <fill>
        <patternFill patternType="solid">
          <bgColor rgb="FFDBEAFE"/>
        </patternFill>
      </fill>
    </dxf>
    <dxf>
      <font>
        <b val="1"/>
        <color rgb="FF92400E"/>
      </font>
      <fill>
        <patternFill patternType="solid">
          <bgColor rgb="FFFEF3C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4" customWidth="1" min="2" max="2"/>
  </cols>
  <sheetData>
    <row r="1">
      <c r="A1" s="1" t="inlineStr">
        <is>
          <t>Nyaymalaw - Build Plan</t>
        </is>
      </c>
    </row>
    <row r="2">
      <c r="A2" s="2" t="inlineStr">
        <is>
          <t>Generated 2026-08-27 from docs/PRD.md and docs/ARCHITECTURE.md</t>
        </is>
      </c>
    </row>
    <row r="4" ht="14" customHeight="1">
      <c r="A4" s="3" t="inlineStr"/>
      <c r="B4" s="4" t="inlineStr"/>
    </row>
    <row r="5" ht="37" customHeight="1">
      <c r="A5" s="3" t="inlineStr">
        <is>
          <t>What this is</t>
        </is>
      </c>
      <c r="B5" s="4" t="inlineStr">
        <is>
          <t>The full build to an enterprise-grade NM. Sheets: Backlog (the work), Epics (grouping and order), Dependencies (what blocks what), PRD Coverage (every decision mapped to the story or audit item that discharges it), Bugs (defect record), Spikes (timeboxed unknowns), Baseline (the measurement record), Advocate Behaviour (the 28-tenet implementation audit and improvement plan), Summary (roll-ups).</t>
        </is>
      </c>
    </row>
    <row r="6" ht="15" customHeight="1">
      <c r="A6" s="3" t="inlineStr">
        <is>
          <t>Team assumption</t>
        </is>
      </c>
      <c r="B6" s="4" t="inlineStr">
        <is>
          <t>Solo. One sequential track; dependencies are hard, not advisory.</t>
        </is>
      </c>
    </row>
    <row r="7" ht="14" customHeight="1">
      <c r="A7" s="3" t="inlineStr"/>
      <c r="B7" s="4" t="inlineStr"/>
    </row>
    <row r="8" ht="37" customHeight="1">
      <c r="A8" s="3" t="inlineStr">
        <is>
          <t>Definition of done</t>
        </is>
      </c>
      <c r="B8" s="4" t="inlineStr">
        <is>
          <t>From PRD E7 and E8, not a generic one. A story is done when its invariant test EXISTS AND HAS RUN, and - for anything on a served path - when it has been verified live in the browser and the answer read. A test that has never run does not count as a test.</t>
        </is>
      </c>
    </row>
    <row r="9" ht="26" customHeight="1">
      <c r="A9" s="3" t="inlineStr">
        <is>
          <t>Status vocabulary</t>
        </is>
      </c>
      <c r="B9" s="4" t="inlineStr">
        <is>
          <t>decided -&gt; built -&gt; tested -&gt; verified live. Nothing is reported above 'built' without naming the test that supports it and when it last ran.</t>
        </is>
      </c>
    </row>
    <row r="10" ht="14" customHeight="1">
      <c r="A10" s="3" t="inlineStr"/>
      <c r="B10" s="4" t="inlineStr"/>
    </row>
    <row r="11" ht="48" customHeight="1">
      <c r="A11" s="3" t="inlineStr">
        <is>
          <t>Estimation - read this</t>
        </is>
      </c>
      <c r="B11" s="4" t="inlineStr">
        <is>
          <t>Points are Fibonacci (1,2,3,5,8,13). Anything at 13 is a candidate to split or turn into a spike. Points alone will mislead on this project and there is direct evidence: on the s.49 gap, three confident diagnoses in a row were wrong and each was excluded only by instrumenting stage by stage. An '8-point retrieval fix' was really a 1 or a 40 depending on where the cause actually sat.</t>
        </is>
      </c>
    </row>
    <row r="12" ht="37" customHeight="1">
      <c r="A12" s="3" t="inlineStr">
        <is>
          <t>Uncertainty class</t>
        </is>
      </c>
      <c r="B12" s="4" t="inlineStr">
        <is>
          <t>Known - size is a real estimate.   Needs measurement - size is a guess until a measurement lands.   Unknown until instrumented - do NOT trust the number; run the spike first. Phase 4 onward is estimated on foundations that are not yet measured, so treat those points as provisional by default.</t>
        </is>
      </c>
    </row>
    <row r="13" ht="37" customHeight="1">
      <c r="A13" s="3" t="inlineStr">
        <is>
          <t>Ordering key</t>
        </is>
      </c>
      <c r="B13" s="4" t="inlineStr">
        <is>
          <t>Order is driven by 'What it unlocks', not by effort. The manifest is early because until it exists every later retrieval measurement is uninterpretable. Verification is early because it is the only structure that turns grounding from a prompt instruction into a property of the data path.</t>
        </is>
      </c>
    </row>
    <row r="14" ht="14" customHeight="1">
      <c r="A14" s="3" t="inlineStr"/>
      <c r="B14" s="4" t="inlineStr"/>
    </row>
    <row r="15" ht="26" customHeight="1">
      <c r="A15" s="3" t="inlineStr">
        <is>
          <t>Not in this plan</t>
        </is>
      </c>
      <c r="B15" s="4" t="inlineStr">
        <is>
          <t>Sprint dates and velocity. There is no throughput data yet, and fake sprint boundaries would be theatre. Milestones are ordered; cadence is yours to set once real throughput exists.</t>
        </is>
      </c>
    </row>
    <row r="16" ht="37" customHeight="1">
      <c r="A16" s="3" t="inlineStr">
        <is>
          <t>Test classes</t>
        </is>
      </c>
      <c r="B16" s="4" t="inlineStr">
        <is>
          <t>A = pure logic, no corpus, no LLM, every commit.   B = structural, asserted at runtime on every real turn.   C = corpus, on every ingest or index change.   D = judgement, rubric and a judge model, approved runs only.</t>
        </is>
      </c>
    </row>
    <row r="17" ht="26" customHeight="1">
      <c r="A17" s="3" t="inlineStr">
        <is>
          <t>Standing constraint</t>
        </is>
      </c>
      <c r="B17" s="4" t="inlineStr">
        <is>
          <t>Golden and end-to-end evaluations are never run without explicit per-run approval, including targeted re-runs.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18"/>
  <sheetViews>
    <sheetView workbookViewId="0">
      <selection activeCell="A1" sqref="A1"/>
    </sheetView>
  </sheetViews>
  <sheetFormatPr baseColWidth="8" defaultRowHeight="15"/>
  <cols>
    <col width="9" customWidth="1" min="1" max="1"/>
    <col width="20" customWidth="1" min="2" max="2"/>
    <col width="9" customWidth="1" min="3" max="3"/>
    <col width="56" customWidth="1" min="4" max="4"/>
    <col width="11" customWidth="1" min="5" max="5"/>
    <col width="14" customWidth="1" min="6" max="6"/>
    <col width="8" customWidth="1" min="7" max="7"/>
    <col width="6" customWidth="1" min="8" max="8"/>
    <col width="22" customWidth="1" min="9" max="9"/>
    <col width="16" customWidth="1" min="10" max="10"/>
    <col width="48" customWidth="1" min="11" max="11"/>
    <col width="56" customWidth="1" min="12" max="12"/>
    <col width="6" customWidth="1" min="13" max="13"/>
    <col width="11" customWidth="1" min="14" max="14"/>
    <col width="62" customWidth="1" min="15" max="15"/>
    <col width="34" customWidth="1" min="16" max="16"/>
    <col width="34" customWidth="1" min="17" max="17"/>
  </cols>
  <sheetData>
    <row r="1">
      <c r="A1" s="5" t="inlineStr">
        <is>
          <t>ID</t>
        </is>
      </c>
      <c r="B1" s="5" t="inlineStr">
        <is>
          <t>Phase</t>
        </is>
      </c>
      <c r="C1" s="5" t="inlineStr">
        <is>
          <t>Epic</t>
        </is>
      </c>
      <c r="D1" s="5" t="inlineStr">
        <is>
          <t>Story</t>
        </is>
      </c>
      <c r="E1" s="5" t="inlineStr">
        <is>
          <t>Type</t>
        </is>
      </c>
      <c r="F1" s="5" t="inlineStr">
        <is>
          <t>PRD rules</t>
        </is>
      </c>
      <c r="G1" s="5" t="inlineStr">
        <is>
          <t>Arch</t>
        </is>
      </c>
      <c r="H1" s="5" t="inlineStr">
        <is>
          <t>Pts</t>
        </is>
      </c>
      <c r="I1" s="5" t="inlineStr">
        <is>
          <t>Uncertainty</t>
        </is>
      </c>
      <c r="J1" s="5" t="inlineStr">
        <is>
          <t>Depends on</t>
        </is>
      </c>
      <c r="K1" s="5" t="inlineStr">
        <is>
          <t>What it unlocks</t>
        </is>
      </c>
      <c r="L1" s="5" t="inlineStr">
        <is>
          <t>Acceptance - the test</t>
        </is>
      </c>
      <c r="M1" s="5" t="inlineStr">
        <is>
          <t>Test class</t>
        </is>
      </c>
      <c r="N1" s="5" t="inlineStr">
        <is>
          <t>Status</t>
        </is>
      </c>
      <c r="O1" s="5" t="inlineStr">
        <is>
          <t>What was built</t>
        </is>
      </c>
      <c r="P1" s="5" t="inlineStr">
        <is>
          <t>Evidence</t>
        </is>
      </c>
      <c r="Q1" s="5" t="inlineStr">
        <is>
          <t>Completed</t>
        </is>
      </c>
    </row>
    <row r="2">
      <c r="A2" s="6" t="inlineStr">
        <is>
          <t>F-01</t>
        </is>
      </c>
      <c r="B2" s="7" t="inlineStr">
        <is>
          <t>Phase 0 - Foundation</t>
        </is>
      </c>
      <c r="C2" s="8" t="inlineStr">
        <is>
          <t>EP-01</t>
        </is>
      </c>
      <c r="D2" s="9" t="inlineStr">
        <is>
          <t>Split the repo into core / ports / adapters / knowledge / edge / obs</t>
        </is>
      </c>
      <c r="E2" s="8" t="inlineStr">
        <is>
          <t>Infra</t>
        </is>
      </c>
      <c r="F2" s="8" t="inlineStr">
        <is>
          <t>P1</t>
        </is>
      </c>
      <c r="G2" s="8" t="inlineStr">
        <is>
          <t>9.1</t>
        </is>
      </c>
      <c r="H2" s="10" t="n">
        <v>3</v>
      </c>
      <c r="I2" s="11" t="inlineStr">
        <is>
          <t>Known</t>
        </is>
      </c>
      <c r="J2" s="8" t="inlineStr"/>
      <c r="K2" s="9" t="inlineStr">
        <is>
          <t>Every later story can state which layer it belongs to</t>
        </is>
      </c>
      <c r="L2" s="9" t="inlineStr">
        <is>
          <t>Directory structure exists; every module has a declared layer</t>
        </is>
      </c>
      <c r="M2" s="10" t="inlineStr">
        <is>
          <t>A</t>
        </is>
      </c>
      <c r="N2" s="31" t="inlineStr">
        <is>
          <t>tested</t>
        </is>
      </c>
      <c r="O2" s="4" t="inlineStr">
        <is>
          <t>nm/ layer tree: core, ports, adapters, knowledge, edge, obs, tools, with tests split by PRD test class. Legacy tree left in place and runnable, deliberately.</t>
        </is>
      </c>
      <c r="P2" s="4" t="inlineStr">
        <is>
          <t>nm/tests/a_logic/test_layering.py (ran 2026-08-27)</t>
        </is>
      </c>
      <c r="Q2" s="4" t="inlineStr">
        <is>
          <t>2026-08-27</t>
        </is>
      </c>
    </row>
    <row r="3">
      <c r="A3" s="6" t="inlineStr">
        <is>
          <t>F-02</t>
        </is>
      </c>
      <c r="B3" s="7" t="inlineStr">
        <is>
          <t>Phase 0 - Foundation</t>
        </is>
      </c>
      <c r="C3" s="8" t="inlineStr">
        <is>
          <t>EP-01</t>
        </is>
      </c>
      <c r="D3" s="9" t="inlineStr">
        <is>
          <t>CI rule: core may import only core and ports; violation fails the build</t>
        </is>
      </c>
      <c r="E3" s="8" t="inlineStr">
        <is>
          <t>Infra</t>
        </is>
      </c>
      <c r="F3" s="8" t="inlineStr">
        <is>
          <t>P1</t>
        </is>
      </c>
      <c r="G3" s="8" t="inlineStr">
        <is>
          <t>9.1</t>
        </is>
      </c>
      <c r="H3" s="10" t="n">
        <v>2</v>
      </c>
      <c r="I3" s="11" t="inlineStr">
        <is>
          <t>Known</t>
        </is>
      </c>
      <c r="J3" s="8" t="inlineStr">
        <is>
          <t>F-01</t>
        </is>
      </c>
      <c r="K3" s="9" t="inlineStr">
        <is>
          <t>Class-A cadence becomes durable rather than aspirational</t>
        </is>
      </c>
      <c r="L3" s="9" t="inlineStr">
        <is>
          <t>A commit adding an adapter import to core/ fails CI</t>
        </is>
      </c>
      <c r="M3" s="10" t="inlineStr">
        <is>
          <t>A</t>
        </is>
      </c>
      <c r="N3" s="31" t="inlineStr">
        <is>
          <t>tested</t>
        </is>
      </c>
      <c r="O3" s="4" t="inlineStr">
        <is>
          <t>nm/tools/layercheck.py: AST check of layer rules AND the legacy boundary, in every layer. core/ports/obs proved stdlib-only. Wired into CI as a build failure, not a warning.</t>
        </is>
      </c>
      <c r="P3" s="4" t="inlineStr">
        <is>
          <t>nm/tests/a_logic/test_layering.py (ran 2026-08-27)</t>
        </is>
      </c>
      <c r="Q3" s="4" t="inlineStr">
        <is>
          <t>2026-08-27</t>
        </is>
      </c>
    </row>
    <row r="4">
      <c r="A4" s="6" t="inlineStr">
        <is>
          <t>F-03</t>
        </is>
      </c>
      <c r="B4" s="7" t="inlineStr">
        <is>
          <t>Phase 0 - Foundation</t>
        </is>
      </c>
      <c r="C4" s="8" t="inlineStr">
        <is>
          <t>EP-01</t>
        </is>
      </c>
      <c r="D4" s="9" t="inlineStr">
        <is>
          <t>Class-A test runner: no corpus, no LLM, whole suite under 10s</t>
        </is>
      </c>
      <c r="E4" s="8" t="inlineStr">
        <is>
          <t>Eval</t>
        </is>
      </c>
      <c r="F4" s="8" t="inlineStr">
        <is>
          <t>E1,E2</t>
        </is>
      </c>
      <c r="G4" s="8" t="inlineStr">
        <is>
          <t>9.2</t>
        </is>
      </c>
      <c r="H4" s="10" t="n">
        <v>3</v>
      </c>
      <c r="I4" s="11" t="inlineStr">
        <is>
          <t>Known</t>
        </is>
      </c>
      <c r="J4" s="8" t="inlineStr">
        <is>
          <t>F-01</t>
        </is>
      </c>
      <c r="K4" s="9" t="inlineStr">
        <is>
          <t>Every pure-logic PRD rule becomes enforceable at commit time</t>
        </is>
      </c>
      <c r="L4" s="9" t="inlineStr">
        <is>
          <t>Suite runs on every commit and completes under 10s with no network</t>
        </is>
      </c>
      <c r="M4" s="10" t="inlineStr">
        <is>
          <t>A</t>
        </is>
      </c>
      <c r="N4" s="31" t="inlineStr">
        <is>
          <t>tested</t>
        </is>
      </c>
      <c r="O4" s="4" t="inlineStr">
        <is>
          <t>Class-A suite enforces its own preconditions: sockets disabled for the session, legacy imports raise, 10s budget fails the run. 76 tests currently at 0.21s.</t>
        </is>
      </c>
      <c r="P4" s="4" t="inlineStr">
        <is>
          <t>nm/tests/a_logic/test_class_a_guarantees.py (ran 2026-08-27)</t>
        </is>
      </c>
      <c r="Q4" s="4" t="inlineStr">
        <is>
          <t>2026-08-27</t>
        </is>
      </c>
    </row>
    <row r="5">
      <c r="A5" s="6" t="inlineStr">
        <is>
          <t>F-04</t>
        </is>
      </c>
      <c r="B5" s="7" t="inlineStr">
        <is>
          <t>Phase 0 - Foundation</t>
        </is>
      </c>
      <c r="C5" s="8" t="inlineStr">
        <is>
          <t>EP-01</t>
        </is>
      </c>
      <c r="D5" s="9" t="inlineStr">
        <is>
          <t>Class-B runtime assertion framework writing to TurnMetrics.violations</t>
        </is>
      </c>
      <c r="E5" s="8" t="inlineStr">
        <is>
          <t>Eval</t>
        </is>
      </c>
      <c r="F5" s="8" t="inlineStr">
        <is>
          <t>E3</t>
        </is>
      </c>
      <c r="G5" s="8" t="inlineStr">
        <is>
          <t>10.2</t>
        </is>
      </c>
      <c r="H5" s="10" t="n">
        <v>5</v>
      </c>
      <c r="I5" s="11" t="inlineStr">
        <is>
          <t>Known</t>
        </is>
      </c>
      <c r="J5" s="8" t="inlineStr">
        <is>
          <t>F-01,D-01</t>
        </is>
      </c>
      <c r="K5" s="9" t="inlineStr">
        <is>
          <t>Every real turn becomes a test at no extra cost</t>
        </is>
      </c>
      <c r="L5" s="9" t="inlineStr">
        <is>
          <t>An asserted invariant failure appears in TurnMetrics and does not block the answer</t>
        </is>
      </c>
      <c r="M5" s="10" t="inlineStr">
        <is>
          <t>A</t>
        </is>
      </c>
      <c r="N5" s="31" t="inlineStr">
        <is>
          <t>tested</t>
        </is>
      </c>
      <c r="O5" s="4" t="inlineStr">
        <is>
          <t>nm/obs/invariants.py: require() records and ships, require_grounded() blocks. The rule's FAMILY decides policy, not the call site. Rule registry makes violations self-describing; an unregistered id logs at ERROR and records against OBS-1 without blocking.</t>
        </is>
      </c>
      <c r="P5" s="4" t="inlineStr">
        <is>
          <t>nm/tests/a_logic/test_obs.py (ran 2026-08-27)</t>
        </is>
      </c>
      <c r="Q5" s="4" t="inlineStr">
        <is>
          <t>2026-08-27</t>
        </is>
      </c>
    </row>
    <row r="6">
      <c r="A6" s="6" t="inlineStr">
        <is>
          <t>F-05</t>
        </is>
      </c>
      <c r="B6" s="7" t="inlineStr">
        <is>
          <t>Phase 0 - Foundation</t>
        </is>
      </c>
      <c r="C6" s="8" t="inlineStr">
        <is>
          <t>EP-01</t>
        </is>
      </c>
      <c r="D6" s="9" t="inlineStr">
        <is>
          <t>Class-C corpus test runner</t>
        </is>
      </c>
      <c r="E6" s="8" t="inlineStr">
        <is>
          <t>Eval</t>
        </is>
      </c>
      <c r="F6" s="8" t="inlineStr">
        <is>
          <t>E1</t>
        </is>
      </c>
      <c r="G6" s="8" t="inlineStr">
        <is>
          <t>9.2</t>
        </is>
      </c>
      <c r="H6" s="10" t="n">
        <v>3</v>
      </c>
      <c r="I6" s="11" t="inlineStr">
        <is>
          <t>Known</t>
        </is>
      </c>
      <c r="J6" s="8" t="inlineStr">
        <is>
          <t>F-01</t>
        </is>
      </c>
      <c r="K6" s="9" t="inlineStr">
        <is>
          <t>Corpus and retrieval quality become repeatable measurements</t>
        </is>
      </c>
      <c r="L6" s="9" t="inlineStr">
        <is>
          <t>Runner executes against a corpus snapshot and reports pass/fail per check</t>
        </is>
      </c>
      <c r="M6" s="10" t="inlineStr">
        <is>
          <t>A</t>
        </is>
      </c>
      <c r="N6" s="31" t="inlineStr">
        <is>
          <t>tested</t>
        </is>
      </c>
      <c r="O6" s="4" t="inlineStr">
        <is>
          <t>Class-C conftest: corpus fixture requiring a VERSION stamp (G21). A missing corpus SKIPS rather than fails, and the skip is reported - green with everything skipped must not read as green with everything passing.</t>
        </is>
      </c>
      <c r="P6" s="4" t="inlineStr">
        <is>
          <t>nm/tests/c_corpus/test_corpus_identity.py (ran 2026-08-27)</t>
        </is>
      </c>
      <c r="Q6" s="4" t="inlineStr">
        <is>
          <t>2026-08-27</t>
        </is>
      </c>
    </row>
    <row r="7">
      <c r="A7" s="6" t="inlineStr">
        <is>
          <t>F-06</t>
        </is>
      </c>
      <c r="B7" s="7" t="inlineStr">
        <is>
          <t>Phase 0 - Foundation</t>
        </is>
      </c>
      <c r="C7" s="8" t="inlineStr">
        <is>
          <t>EP-01</t>
        </is>
      </c>
      <c r="D7" s="9" t="inlineStr">
        <is>
          <t>Class-D rubric harness using a judge model distinct from the answering model</t>
        </is>
      </c>
      <c r="E7" s="8" t="inlineStr">
        <is>
          <t>Eval</t>
        </is>
      </c>
      <c r="F7" s="8" t="inlineStr">
        <is>
          <t>E4</t>
        </is>
      </c>
      <c r="G7" s="8" t="inlineStr">
        <is>
          <t>11</t>
        </is>
      </c>
      <c r="H7" s="10" t="n">
        <v>5</v>
      </c>
      <c r="I7" s="12" t="inlineStr">
        <is>
          <t>Needs measurement</t>
        </is>
      </c>
      <c r="J7" s="8" t="inlineStr">
        <is>
          <t>F-05</t>
        </is>
      </c>
      <c r="K7" s="9" t="inlineStr">
        <is>
          <t>Judgement-grade rules can be measured without correlated blind spots</t>
        </is>
      </c>
      <c r="L7" s="9" t="inlineStr">
        <is>
          <t>Judge model is configurably different; rubric cases are drawn from sampled real sessions</t>
        </is>
      </c>
      <c r="M7" s="10" t="inlineStr">
        <is>
          <t>D</t>
        </is>
      </c>
      <c r="N7" s="31" t="inlineStr">
        <is>
          <t>tested</t>
        </is>
      </c>
      <c r="O7" s="4" t="inlineStr">
        <is>
          <t>nm/obs/judgement.py: judge model must differ from the answering model (E4); case-set provenance required and authored sets refused (C5D); runs are proposed with a stated cost and authorise() refuses without an approval naming THIS run (E5).</t>
        </is>
      </c>
      <c r="P7" s="4" t="inlineStr">
        <is>
          <t>nm/tests/a_logic/test_foundation.py (ran 2026-08-27)</t>
        </is>
      </c>
      <c r="Q7" s="4" t="inlineStr">
        <is>
          <t>2026-08-27</t>
        </is>
      </c>
    </row>
    <row r="8">
      <c r="A8" s="6" t="inlineStr">
        <is>
          <t>F-07</t>
        </is>
      </c>
      <c r="B8" s="7" t="inlineStr">
        <is>
          <t>Phase 0 - Foundation</t>
        </is>
      </c>
      <c r="C8" s="8" t="inlineStr">
        <is>
          <t>EP-01</t>
        </is>
      </c>
      <c r="D8" s="9" t="inlineStr">
        <is>
          <t>Baseline record, seeded with the measurements already taken</t>
        </is>
      </c>
      <c r="E8" s="8" t="inlineStr">
        <is>
          <t>Eval</t>
        </is>
      </c>
      <c r="F8" s="8" t="inlineStr">
        <is>
          <t>E6</t>
        </is>
      </c>
      <c r="G8" s="8" t="inlineStr">
        <is>
          <t>10</t>
        </is>
      </c>
      <c r="H8" s="10" t="n">
        <v>2</v>
      </c>
      <c r="I8" s="11" t="inlineStr">
        <is>
          <t>Known</t>
        </is>
      </c>
      <c r="J8" s="8" t="inlineStr">
        <is>
          <t>F-08</t>
        </is>
      </c>
      <c r="K8" s="9" t="inlineStr">
        <is>
          <t>'Did this get worse' becomes answerable</t>
        </is>
      </c>
      <c r="L8" s="9" t="inlineStr">
        <is>
          <t>File holds current value, date and method for every measured quantity</t>
        </is>
      </c>
      <c r="M8" s="10" t="inlineStr">
        <is>
          <t>A</t>
        </is>
      </c>
      <c r="N8" s="31" t="inlineStr">
        <is>
          <t>tested</t>
        </is>
      </c>
      <c r="O8" s="4" t="inlineStr">
        <is>
          <t>nm/obs/baseline.py + baseline.json: 16 measured quantities with per-quantity direction, so verdicts follow intent not arithmetic. Informational quantities never read as improved or regressed. move() requires a non-blank reason (E6).</t>
        </is>
      </c>
      <c r="P8" s="4" t="inlineStr">
        <is>
          <t>nm/tests/a_logic/test_obs.py (ran 2026-08-27)</t>
        </is>
      </c>
      <c r="Q8" s="4" t="inlineStr">
        <is>
          <t>2026-08-27</t>
        </is>
      </c>
    </row>
    <row r="9">
      <c r="A9" s="6" t="inlineStr">
        <is>
          <t>F-08</t>
        </is>
      </c>
      <c r="B9" s="7" t="inlineStr">
        <is>
          <t>Phase 0 - Foundation</t>
        </is>
      </c>
      <c r="C9" s="8" t="inlineStr">
        <is>
          <t>EP-01</t>
        </is>
      </c>
      <c r="D9" s="9" t="inlineStr">
        <is>
          <t>Turn metrics: latency, call count, tokens, model mix, per-stage timings</t>
        </is>
      </c>
      <c r="E9" s="8" t="inlineStr">
        <is>
          <t>Infra</t>
        </is>
      </c>
      <c r="F9" s="8" t="inlineStr">
        <is>
          <t>D2B,E6</t>
        </is>
      </c>
      <c r="G9" s="8" t="inlineStr">
        <is>
          <t>7.13</t>
        </is>
      </c>
      <c r="H9" s="10" t="n">
        <v>3</v>
      </c>
      <c r="I9" s="11" t="inlineStr">
        <is>
          <t>Known</t>
        </is>
      </c>
      <c r="J9" s="8" t="inlineStr">
        <is>
          <t>F-01</t>
        </is>
      </c>
      <c r="K9" s="9" t="inlineStr">
        <is>
          <t>Cost regressions become detectable; D2B becomes enforceable</t>
        </is>
      </c>
      <c r="L9" s="9" t="inlineStr">
        <is>
          <t>Every turn writes a complete TurnMetrics row</t>
        </is>
      </c>
      <c r="M9" s="10" t="inlineStr">
        <is>
          <t>A</t>
        </is>
      </c>
      <c r="N9" s="31" t="inlineStr">
        <is>
          <t>tested</t>
        </is>
      </c>
      <c r="O9" s="4" t="inlineStr">
        <is>
          <t>nm/obs/metrics.py: TurnMetrics + TurnRecorder behind a ContextVar. Stage timings accumulate rather than overwrite; metrics recorded even when the turn raises; a failing sink never fails the turn. Replaces log-line timings that nothing collected.</t>
        </is>
      </c>
      <c r="P9" s="4" t="inlineStr">
        <is>
          <t>nm/tests/a_logic/test_obs.py (ran 2026-08-27)</t>
        </is>
      </c>
      <c r="Q9" s="4" t="inlineStr">
        <is>
          <t>2026-08-27</t>
        </is>
      </c>
    </row>
    <row r="10">
      <c r="A10" s="6" t="inlineStr">
        <is>
          <t>F-09</t>
        </is>
      </c>
      <c r="B10" s="7" t="inlineStr">
        <is>
          <t>Phase 0 - Foundation</t>
        </is>
      </c>
      <c r="C10" s="8" t="inlineStr">
        <is>
          <t>EP-01</t>
        </is>
      </c>
      <c r="D10" s="9" t="inlineStr">
        <is>
          <t>Status tracking: decided / built / tested / verified live</t>
        </is>
      </c>
      <c r="E10" s="8" t="inlineStr">
        <is>
          <t>Infra</t>
        </is>
      </c>
      <c r="F10" s="8" t="inlineStr">
        <is>
          <t>E7,E8</t>
        </is>
      </c>
      <c r="G10" s="8" t="inlineStr">
        <is>
          <t>12</t>
        </is>
      </c>
      <c r="H10" s="10" t="n">
        <v>2</v>
      </c>
      <c r="I10" s="11" t="inlineStr">
        <is>
          <t>Known</t>
        </is>
      </c>
      <c r="J10" s="8" t="inlineStr">
        <is>
          <t>F-03</t>
        </is>
      </c>
      <c r="K10" s="9" t="inlineStr">
        <is>
          <t>Progress claims become falsifiable</t>
        </is>
      </c>
      <c r="L10" s="9" t="inlineStr">
        <is>
          <t>Each PRD decision carries a status and the test that supports it</t>
        </is>
      </c>
      <c r="M10" s="10" t="inlineStr">
        <is>
          <t>A</t>
        </is>
      </c>
      <c r="N10" s="31" t="inlineStr">
        <is>
          <t>tested</t>
        </is>
      </c>
      <c r="O10" s="4" t="inlineStr">
        <is>
          <t>nm/core/status.py: the E7 ladder as an ordered enum. Anything above `built` requires the test AND when it last ran, enforced at construction. highest_claimable() is conservative - offline green is `tested`, never `verified live`.</t>
        </is>
      </c>
      <c r="P10" s="4" t="inlineStr">
        <is>
          <t>nm/tests/a_logic/test_foundation.py (ran 2026-08-27)</t>
        </is>
      </c>
      <c r="Q10" s="4" t="inlineStr">
        <is>
          <t>2026-08-27</t>
        </is>
      </c>
    </row>
    <row r="11">
      <c r="A11" s="6" t="inlineStr">
        <is>
          <t>F-10</t>
        </is>
      </c>
      <c r="B11" s="7" t="inlineStr">
        <is>
          <t>Phase 0 - Foundation</t>
        </is>
      </c>
      <c r="C11" s="8" t="inlineStr">
        <is>
          <t>EP-01</t>
        </is>
      </c>
      <c r="D11" s="9" t="inlineStr">
        <is>
          <t>Error policy: programming errors caught separately and logged at ERROR with traceback</t>
        </is>
      </c>
      <c r="E11" s="8" t="inlineStr">
        <is>
          <t>Infra</t>
        </is>
      </c>
      <c r="F11" s="8" t="inlineStr">
        <is>
          <t>P5</t>
        </is>
      </c>
      <c r="G11" s="8" t="inlineStr">
        <is>
          <t>10.3</t>
        </is>
      </c>
      <c r="H11" s="10" t="n">
        <v>3</v>
      </c>
      <c r="I11" s="11" t="inlineStr">
        <is>
          <t>Known</t>
        </is>
      </c>
      <c r="J11" s="8" t="inlineStr">
        <is>
          <t>F-01</t>
        </is>
      </c>
      <c r="K11" s="9" t="inlineStr">
        <is>
          <t>A NameError stops looking like a model failure</t>
        </is>
      </c>
      <c r="L11" s="9" t="inlineStr">
        <is>
          <t>A deliberate NameError in a handler surfaces at ERROR with a traceback, not a warning</t>
        </is>
      </c>
      <c r="M11" s="10" t="inlineStr">
        <is>
          <t>A</t>
        </is>
      </c>
      <c r="N11" s="31" t="inlineStr">
        <is>
          <t>tested</t>
        </is>
      </c>
      <c r="O11" s="4" t="inlineStr">
        <is>
          <t>nm/core/errors.guard() names expected failures and lets programming errors through with a traceback. nm/tools/exceptcheck.py makes it a build step (guard / re-raise / fail-open reason). Found a real violation in metrics.py on first run.</t>
        </is>
      </c>
      <c r="P11" s="4" t="inlineStr">
        <is>
          <t>nm/tests/a_logic/test_foundation.py (ran 2026-08-27)</t>
        </is>
      </c>
      <c r="Q11" s="4" t="inlineStr">
        <is>
          <t>2026-08-27</t>
        </is>
      </c>
    </row>
    <row r="12">
      <c r="A12" s="6" t="inlineStr">
        <is>
          <t>F-11</t>
        </is>
      </c>
      <c r="B12" s="7" t="inlineStr">
        <is>
          <t>Phase 0 - Foundation</t>
        </is>
      </c>
      <c r="C12" s="8" t="inlineStr">
        <is>
          <t>EP-01</t>
        </is>
      </c>
      <c r="D12" s="9" t="inlineStr">
        <is>
          <t>Prompt ownership registry: exactly one owner per step, no duplicated text</t>
        </is>
      </c>
      <c r="E12" s="8" t="inlineStr">
        <is>
          <t>Infra</t>
        </is>
      </c>
      <c r="F12" s="8" t="inlineStr">
        <is>
          <t>-</t>
        </is>
      </c>
      <c r="G12" s="8" t="inlineStr">
        <is>
          <t>10.5</t>
        </is>
      </c>
      <c r="H12" s="10" t="n">
        <v>3</v>
      </c>
      <c r="I12" s="11" t="inlineStr">
        <is>
          <t>Known</t>
        </is>
      </c>
      <c r="J12" s="8" t="inlineStr">
        <is>
          <t>F-01</t>
        </is>
      </c>
      <c r="K12" s="9" t="inlineStr">
        <is>
          <t>A prompt change lands everywhere it should, by construction</t>
        </is>
      </c>
      <c r="L12" s="9" t="inlineStr">
        <is>
          <t>No prompt string appears in two modules; a change to a step's prompt has one site</t>
        </is>
      </c>
      <c r="M12" s="10" t="inlineStr">
        <is>
          <t>A</t>
        </is>
      </c>
      <c r="N12" s="31" t="inlineStr">
        <is>
          <t>tested</t>
        </is>
      </c>
      <c r="O12" s="4" t="inlineStr">
        <is>
          <t>nm/core/steps.py: one owner per prompt. Duplicate prompt text is refused, with a whitespace-normalised fingerprint because reformatting is how the second owner appears.</t>
        </is>
      </c>
      <c r="P12" s="4" t="inlineStr">
        <is>
          <t>nm/tests/a_logic/test_foundation.py (ran 2026-08-27)</t>
        </is>
      </c>
      <c r="Q12" s="4" t="inlineStr">
        <is>
          <t>2026-08-27</t>
        </is>
      </c>
    </row>
    <row r="13">
      <c r="A13" s="6" t="inlineStr">
        <is>
          <t>F-12</t>
        </is>
      </c>
      <c r="B13" s="7" t="inlineStr">
        <is>
          <t>Phase 0 - Foundation</t>
        </is>
      </c>
      <c r="C13" s="8" t="inlineStr">
        <is>
          <t>EP-01</t>
        </is>
      </c>
      <c r="D13" s="9" t="inlineStr">
        <is>
          <t>Per-step model policy declaration; cheap model is the default</t>
        </is>
      </c>
      <c r="E13" s="8" t="inlineStr">
        <is>
          <t>Infra</t>
        </is>
      </c>
      <c r="F13" s="8" t="inlineStr">
        <is>
          <t>D2B</t>
        </is>
      </c>
      <c r="G13" s="8" t="inlineStr">
        <is>
          <t>10.6</t>
        </is>
      </c>
      <c r="H13" s="10" t="n">
        <v>2</v>
      </c>
      <c r="I13" s="11" t="inlineStr">
        <is>
          <t>Known</t>
        </is>
      </c>
      <c r="J13" s="8" t="inlineStr">
        <is>
          <t>F-08</t>
        </is>
      </c>
      <c r="K13" s="9" t="inlineStr">
        <is>
          <t>model_mix becomes derivable without scattered instrumentation</t>
        </is>
      </c>
      <c r="L13" s="9" t="inlineStr">
        <is>
          <t>Every LLM-calling step declares its model and the reason if it is not the cheap one</t>
        </is>
      </c>
      <c r="M13" s="10" t="inlineStr">
        <is>
          <t>A</t>
        </is>
      </c>
      <c r="N13" s="31" t="inlineStr">
        <is>
          <t>tested</t>
        </is>
      </c>
      <c r="O13" s="4" t="inlineStr">
        <is>
          <t>nm/core/steps.py: cheap model is the default; strong requires a justification naming the measurement. strong_model_report() is what a cost review reads (D2B).</t>
        </is>
      </c>
      <c r="P13" s="4" t="inlineStr">
        <is>
          <t>nm/tests/a_logic/test_foundation.py (ran 2026-08-27)</t>
        </is>
      </c>
      <c r="Q13" s="4" t="inlineStr">
        <is>
          <t>2026-08-27</t>
        </is>
      </c>
    </row>
    <row r="14">
      <c r="A14" s="6" t="inlineStr">
        <is>
          <t>D-01</t>
        </is>
      </c>
      <c r="B14" s="7" t="inlineStr">
        <is>
          <t>Phase 0 - Foundation</t>
        </is>
      </c>
      <c r="C14" s="8" t="inlineStr">
        <is>
          <t>EP-02</t>
        </is>
      </c>
      <c r="D14" s="9" t="inlineStr">
        <is>
          <t>Core entity definitions from the information view</t>
        </is>
      </c>
      <c r="E14" s="8" t="inlineStr">
        <is>
          <t>Core</t>
        </is>
      </c>
      <c r="F14" s="8" t="inlineStr">
        <is>
          <t>-</t>
        </is>
      </c>
      <c r="G14" s="8" t="inlineStr">
        <is>
          <t>7</t>
        </is>
      </c>
      <c r="H14" s="10" t="n">
        <v>8</v>
      </c>
      <c r="I14" s="11" t="inlineStr">
        <is>
          <t>Known</t>
        </is>
      </c>
      <c r="J14" s="8" t="inlineStr">
        <is>
          <t>F-01</t>
        </is>
      </c>
      <c r="K14" s="9" t="inlineStr">
        <is>
          <t>Every rule gets somewhere to live</t>
        </is>
      </c>
      <c r="L14" s="9" t="inlineStr">
        <is>
          <t>All entities in ARCHITECTURE 7 exist as types with non-optional fields as specified</t>
        </is>
      </c>
      <c r="M14" s="10" t="inlineStr">
        <is>
          <t>A</t>
        </is>
      </c>
      <c r="N14" s="31" t="inlineStr">
        <is>
          <t>tested</t>
        </is>
      </c>
      <c r="O14" s="4" t="inlineStr">
        <is>
          <t>re-affirmed after review fixes</t>
        </is>
      </c>
      <c r="P14" s="4" t="inlineStr">
        <is>
          <t>nm/tests/a_logic/test_entities.py (ran 2026-08-27)</t>
        </is>
      </c>
      <c r="Q14" s="4" t="inlineStr">
        <is>
          <t>2026-08-27</t>
        </is>
      </c>
    </row>
    <row r="15">
      <c r="A15" s="6" t="inlineStr">
        <is>
          <t>D-02</t>
        </is>
      </c>
      <c r="B15" s="7" t="inlineStr">
        <is>
          <t>Phase 0 - Foundation</t>
        </is>
      </c>
      <c r="C15" s="8" t="inlineStr">
        <is>
          <t>EP-02</t>
        </is>
      </c>
      <c r="D15" s="9" t="inlineStr">
        <is>
          <t>Derived mixin: depends_on, computed_at, prior, basis</t>
        </is>
      </c>
      <c r="E15" s="8" t="inlineStr">
        <is>
          <t>Core</t>
        </is>
      </c>
      <c r="F15" s="8" t="inlineStr">
        <is>
          <t>Q10,CS3,CS4</t>
        </is>
      </c>
      <c r="G15" s="8" t="inlineStr">
        <is>
          <t>7.1</t>
        </is>
      </c>
      <c r="H15" s="10" t="n">
        <v>5</v>
      </c>
      <c r="I15" s="11" t="inlineStr">
        <is>
          <t>Known</t>
        </is>
      </c>
      <c r="J15" s="8" t="inlineStr">
        <is>
          <t>D-01</t>
        </is>
      </c>
      <c r="K15" s="9" t="inlineStr">
        <is>
          <t>The fact-correction cascade becomes possible at all</t>
        </is>
      </c>
      <c r="L15" s="9" t="inlineStr">
        <is>
          <t>No derived value can be constructed without declaring its inputs</t>
        </is>
      </c>
      <c r="M15" s="10" t="inlineStr">
        <is>
          <t>A</t>
        </is>
      </c>
      <c r="N15" s="31" t="inlineStr">
        <is>
          <t>tested</t>
        </is>
      </c>
      <c r="O15" s="4" t="inlineStr">
        <is>
          <t>nm/core/derived.py: Derivation carries depends_on, computed_at, basis and ONE prior. A computed value cannot be constructed without declaring its dependencies (Q10). Prior is retained only where the change altered a conclusion, and must name the fact that changed it (CS4); a second change replaces it rather than appending, so the summary stays state and not a diff.</t>
        </is>
      </c>
      <c r="P15" s="4" t="inlineStr">
        <is>
          <t>nm/tests/a_logic/test_derivation.py (ran 2026-08-27)</t>
        </is>
      </c>
      <c r="Q15" s="4" t="inlineStr">
        <is>
          <t>2026-08-27</t>
        </is>
      </c>
    </row>
    <row r="16">
      <c r="A16" s="6" t="inlineStr">
        <is>
          <t>D-03</t>
        </is>
      </c>
      <c r="B16" s="7" t="inlineStr">
        <is>
          <t>Phase 0 - Foundation</t>
        </is>
      </c>
      <c r="C16" s="8" t="inlineStr">
        <is>
          <t>EP-02</t>
        </is>
      </c>
      <c r="D16" s="9" t="inlineStr">
        <is>
          <t>Derivation graph: invalidation and topological recompute</t>
        </is>
      </c>
      <c r="E16" s="8" t="inlineStr">
        <is>
          <t>Core</t>
        </is>
      </c>
      <c r="F16" s="8" t="inlineStr">
        <is>
          <t>Q10</t>
        </is>
      </c>
      <c r="G16" s="8" t="inlineStr">
        <is>
          <t>P4</t>
        </is>
      </c>
      <c r="H16" s="10" t="n">
        <v>8</v>
      </c>
      <c r="I16" s="12" t="inlineStr">
        <is>
          <t>Needs measurement</t>
        </is>
      </c>
      <c r="J16" s="8" t="inlineStr">
        <is>
          <t>D-02</t>
        </is>
      </c>
      <c r="K16" s="9" t="inlineStr">
        <is>
          <t>Corrections recompute exactly what changed, not everything or nothing</t>
        </is>
      </c>
      <c r="L16" s="9" t="inlineStr">
        <is>
          <t>Changing a fact recomputes only its dependents, in dependency order</t>
        </is>
      </c>
      <c r="M16" s="10" t="inlineStr">
        <is>
          <t>A</t>
        </is>
      </c>
      <c r="N16" s="31" t="inlineStr">
        <is>
          <t>tested</t>
        </is>
      </c>
      <c r="O16" s="4" t="inlineStr">
        <is>
          <t>nm/core/graph.py: DerivationGraph with transitive invalidation and a DETERMINISTIC topological recompute order, so a prerequisite is never rebuilt after the value that depends on it. Cycles are refused rather than resolved arbitrarily, and two producers of one fact is refused - there would be no single value to invalidate. unaffected_by() is what lets a no-change correction answer in one line.</t>
        </is>
      </c>
      <c r="P16" s="4" t="inlineStr">
        <is>
          <t>nm/tests/a_logic/test_matter_and_graph.py (ran 2026-08-27)</t>
        </is>
      </c>
      <c r="Q16" s="4" t="inlineStr">
        <is>
          <t>2026-08-27</t>
        </is>
      </c>
    </row>
    <row r="17">
      <c r="A17" s="6" t="inlineStr">
        <is>
          <t>D-04</t>
        </is>
      </c>
      <c r="B17" s="7" t="inlineStr">
        <is>
          <t>Phase 0 - Foundation</t>
        </is>
      </c>
      <c r="C17" s="8" t="inlineStr">
        <is>
          <t>EP-02</t>
        </is>
      </c>
      <c r="D17" s="9" t="inlineStr">
        <is>
          <t>Prior-value retention, only where a conclusion changed</t>
        </is>
      </c>
      <c r="E17" s="8" t="inlineStr">
        <is>
          <t>Core</t>
        </is>
      </c>
      <c r="F17" s="8" t="inlineStr">
        <is>
          <t>CS4</t>
        </is>
      </c>
      <c r="G17" s="8" t="inlineStr">
        <is>
          <t>7.1</t>
        </is>
      </c>
      <c r="H17" s="10" t="n">
        <v>3</v>
      </c>
      <c r="I17" s="11" t="inlineStr">
        <is>
          <t>Known</t>
        </is>
      </c>
      <c r="J17" s="8" t="inlineStr">
        <is>
          <t>D-03</t>
        </is>
      </c>
      <c r="K17" s="9" t="inlineStr">
        <is>
          <t>Revision stays visible without the summary becoming a diff</t>
        </is>
      </c>
      <c r="L17" s="9" t="inlineStr">
        <is>
          <t>A change that alters no conclusion leaves no prior; one that does, retains exactly one</t>
        </is>
      </c>
      <c r="M17" s="10" t="inlineStr">
        <is>
          <t>A</t>
        </is>
      </c>
      <c r="N17" s="31" t="inlineStr">
        <is>
          <t>tested</t>
        </is>
      </c>
      <c r="O17" s="4" t="inlineStr">
        <is>
          <t>Delivered as part of D-02: Derivation.recomputed() sets `prior` ONLY where the change altered a conclusion, and a changed conclusion must name the fact that changed it. A second change replaces the prior rather than appending, so the summary stays state and not a diff (CS2 + CS4 held together).</t>
        </is>
      </c>
      <c r="P17" s="4" t="inlineStr">
        <is>
          <t>nm/tests/a_logic/test_derivation.py (ran 2026-08-27)</t>
        </is>
      </c>
      <c r="Q17" s="4" t="inlineStr">
        <is>
          <t>2026-08-27</t>
        </is>
      </c>
    </row>
    <row r="18">
      <c r="A18" s="6" t="inlineStr">
        <is>
          <t>D-05</t>
        </is>
      </c>
      <c r="B18" s="7" t="inlineStr">
        <is>
          <t>Phase 0 - Foundation</t>
        </is>
      </c>
      <c r="C18" s="8" t="inlineStr">
        <is>
          <t>EP-02</t>
        </is>
      </c>
      <c r="D18" s="9" t="inlineStr">
        <is>
          <t>Provenance type, non-optional on Fact</t>
        </is>
      </c>
      <c r="E18" s="8" t="inlineStr">
        <is>
          <t>Core</t>
        </is>
      </c>
      <c r="F18" s="8" t="inlineStr">
        <is>
          <t>D10</t>
        </is>
      </c>
      <c r="G18" s="8" t="inlineStr">
        <is>
          <t>7.2</t>
        </is>
      </c>
      <c r="H18" s="10" t="n">
        <v>2</v>
      </c>
      <c r="I18" s="11" t="inlineStr">
        <is>
          <t>Known</t>
        </is>
      </c>
      <c r="J18" s="8" t="inlineStr">
        <is>
          <t>D-01</t>
        </is>
      </c>
      <c r="K18" s="9" t="inlineStr">
        <is>
          <t>A fact without provenance becomes unconstructable</t>
        </is>
      </c>
      <c r="L18" s="9" t="inlineStr">
        <is>
          <t>Constructing a Fact without provenance is a type error</t>
        </is>
      </c>
      <c r="M18" s="10" t="inlineStr">
        <is>
          <t>A</t>
        </is>
      </c>
      <c r="N18" s="31" t="inlineStr">
        <is>
          <t>tested</t>
        </is>
      </c>
      <c r="O18" s="4" t="inlineStr">
        <is>
          <t>nm/core/provenance.py: Provenance is non-optional on a Fact, so 'a fact without provenance' is unrepresentable rather than discouraged. Document provenance must name BOTH the document and the page - a citation to a whole file is not a citation. is_documented drives L2 certainty.</t>
        </is>
      </c>
      <c r="P18" s="4" t="inlineStr">
        <is>
          <t>nm/tests/a_logic/test_derivation.py (ran 2026-08-27)</t>
        </is>
      </c>
      <c r="Q18" s="4" t="inlineStr">
        <is>
          <t>2026-08-27</t>
        </is>
      </c>
    </row>
    <row r="19">
      <c r="A19" s="6" t="inlineStr">
        <is>
          <t>D-06</t>
        </is>
      </c>
      <c r="B19" s="7" t="inlineStr">
        <is>
          <t>Phase 0 - Foundation</t>
        </is>
      </c>
      <c r="C19" s="8" t="inlineStr">
        <is>
          <t>EP-02</t>
        </is>
      </c>
      <c r="D19" s="9" t="inlineStr">
        <is>
          <t>Material-fact classification gating the cascade</t>
        </is>
      </c>
      <c r="E19" s="8" t="inlineStr">
        <is>
          <t>Core</t>
        </is>
      </c>
      <c r="F19" s="8" t="inlineStr">
        <is>
          <t>Q10</t>
        </is>
      </c>
      <c r="G19" s="8" t="inlineStr">
        <is>
          <t>P4</t>
        </is>
      </c>
      <c r="H19" s="10" t="n">
        <v>3</v>
      </c>
      <c r="I19" s="13" t="inlineStr">
        <is>
          <t>Unknown until instrumented</t>
        </is>
      </c>
      <c r="J19" s="8" t="inlineStr">
        <is>
          <t>D-03</t>
        </is>
      </c>
      <c r="K19" s="9" t="inlineStr">
        <is>
          <t>A trivial correction stops triggering a full re-analysis</t>
        </is>
      </c>
      <c r="L19" s="9" t="inlineStr">
        <is>
          <t>A non-material correction produces a one-line response, not a re-analysis</t>
        </is>
      </c>
      <c r="M19" s="10" t="inlineStr">
        <is>
          <t>A</t>
        </is>
      </c>
      <c r="N19" s="31" t="inlineStr">
        <is>
          <t>tested</t>
        </is>
      </c>
      <c r="O19" s="4" t="inlineStr">
        <is>
          <t>nm/core/cascade.py: only MATERIAL facts trigger recomputation, so a spelling fix does not become a full re-analysis (Q10's bound). Immaterial changes are RECORDED as skipped rather than dropped - a visible decision, not a silent one. changes_between() treats a new fact as not a correction, since nothing downstream can be stale because of it.</t>
        </is>
      </c>
      <c r="P19" s="4" t="inlineStr">
        <is>
          <t>nm/tests/a_logic/test_entities.py (ran 2026-08-27)</t>
        </is>
      </c>
      <c r="Q19" s="4" t="inlineStr">
        <is>
          <t>2026-08-27</t>
        </is>
      </c>
    </row>
    <row r="20">
      <c r="A20" s="6" t="inlineStr">
        <is>
          <t>D-07</t>
        </is>
      </c>
      <c r="B20" s="7" t="inlineStr">
        <is>
          <t>Phase 0 - Foundation</t>
        </is>
      </c>
      <c r="C20" s="8" t="inlineStr">
        <is>
          <t>EP-02</t>
        </is>
      </c>
      <c r="D20" s="9" t="inlineStr">
        <is>
          <t>Class-A invariant suite for the derivation graph</t>
        </is>
      </c>
      <c r="E20" s="8" t="inlineStr">
        <is>
          <t>Eval</t>
        </is>
      </c>
      <c r="F20" s="8" t="inlineStr">
        <is>
          <t>E1</t>
        </is>
      </c>
      <c r="G20" s="8" t="inlineStr">
        <is>
          <t>9.2</t>
        </is>
      </c>
      <c r="H20" s="10" t="n">
        <v>5</v>
      </c>
      <c r="I20" s="11" t="inlineStr">
        <is>
          <t>Known</t>
        </is>
      </c>
      <c r="J20" s="8" t="inlineStr">
        <is>
          <t>D-03,F-03</t>
        </is>
      </c>
      <c r="K20" s="9" t="inlineStr">
        <is>
          <t>The cascade rules become commit-time enforced</t>
        </is>
      </c>
      <c r="L20" s="9" t="inlineStr">
        <is>
          <t>Suite covers invalidation, ordering, prior retention and degenerate inputs</t>
        </is>
      </c>
      <c r="M20" s="10" t="inlineStr">
        <is>
          <t>A</t>
        </is>
      </c>
      <c r="N20" s="31" t="inlineStr">
        <is>
          <t>tested</t>
        </is>
      </c>
      <c r="O20" s="4" t="inlineStr">
        <is>
          <t>Class-A invariant suite for the derivation graph and cascade: selective invalidation, transitivity, topological and deterministic order, cycle refusal, two-producer refusal, material-only cascade, and the no-change one-line path. 200 class-A tests total at 0.47s.</t>
        </is>
      </c>
      <c r="P20" s="4" t="inlineStr">
        <is>
          <t>nm/tests/a_logic/test_matter_and_graph.py + nm/tests/a_logic/test_entities.py (ran 2026-08-27)</t>
        </is>
      </c>
      <c r="Q20" s="4" t="inlineStr">
        <is>
          <t>2026-08-27</t>
        </is>
      </c>
    </row>
    <row r="21">
      <c r="A21" s="6" t="inlineStr">
        <is>
          <t>K-01</t>
        </is>
      </c>
      <c r="B21" s="14" t="inlineStr">
        <is>
          <t>Phase 1 - Knowledge</t>
        </is>
      </c>
      <c r="C21" s="8" t="inlineStr">
        <is>
          <t>EP-03</t>
        </is>
      </c>
      <c r="D21" s="9" t="inlineStr">
        <is>
          <t>Legal graph entity schema</t>
        </is>
      </c>
      <c r="E21" s="8" t="inlineStr">
        <is>
          <t>Knowledge</t>
        </is>
      </c>
      <c r="F21" s="8" t="inlineStr">
        <is>
          <t>-</t>
        </is>
      </c>
      <c r="G21" s="8" t="inlineStr">
        <is>
          <t>7,4</t>
        </is>
      </c>
      <c r="H21" s="10" t="n">
        <v>5</v>
      </c>
      <c r="I21" s="11" t="inlineStr">
        <is>
          <t>Known</t>
        </is>
      </c>
      <c r="J21" s="8" t="inlineStr">
        <is>
          <t>D-01</t>
        </is>
      </c>
      <c r="K21" s="9" t="inlineStr">
        <is>
          <t>Provisions and judgments become addressable structurally</t>
        </is>
      </c>
      <c r="L21" s="9" t="inlineStr">
        <is>
          <t>Act, Section, subsection, Schedule Article, Judgment, Paragraph, Court all modelled</t>
        </is>
      </c>
      <c r="M21" s="10" t="inlineStr">
        <is>
          <t>A</t>
        </is>
      </c>
      <c r="N21" s="31" t="inlineStr">
        <is>
          <t>tested</t>
        </is>
      </c>
      <c r="O21" s="4" t="inlineStr">
        <is>
          <t>nm/core/legal.py: Act, Provision (section/Schedule Article/rule/order), subdivision ladder, Judgment, Paragraph, Court and CauseOfAction as addressable nodes. Identity is a parseable id that round-trips; an Act is keyed on its normalised subject and a judgment on its case_id (measured: citation present for only 17.9% of 33,791 records).</t>
        </is>
      </c>
      <c r="P21" s="4" t="inlineStr">
        <is>
          <t>nm/tests/a_logic/test_legal_graph.py (round-trip, subject keying, subdivision walk, reserved characters) (ran 2026-08-27)</t>
        </is>
      </c>
      <c r="Q21" s="4" t="inlineStr">
        <is>
          <t>2026-08-27</t>
        </is>
      </c>
    </row>
    <row r="22">
      <c r="A22" s="6" t="inlineStr">
        <is>
          <t>K-02</t>
        </is>
      </c>
      <c r="B22" s="14" t="inlineStr">
        <is>
          <t>Phase 1 - Knowledge</t>
        </is>
      </c>
      <c r="C22" s="8" t="inlineStr">
        <is>
          <t>EP-03</t>
        </is>
      </c>
      <c r="D22" s="9" t="inlineStr">
        <is>
          <t>Validity windows on every provision</t>
        </is>
      </c>
      <c r="E22" s="8" t="inlineStr">
        <is>
          <t>Knowledge</t>
        </is>
      </c>
      <c r="F22" s="8" t="inlineStr">
        <is>
          <t>G1</t>
        </is>
      </c>
      <c r="G22" s="8" t="inlineStr">
        <is>
          <t>4</t>
        </is>
      </c>
      <c r="H22" s="10" t="n">
        <v>5</v>
      </c>
      <c r="I22" s="11" t="inlineStr">
        <is>
          <t>Known</t>
        </is>
      </c>
      <c r="J22" s="8" t="inlineStr">
        <is>
          <t>K-01</t>
        </is>
      </c>
      <c r="K22" s="9" t="inlineStr">
        <is>
          <t>The era rule becomes structural rather than remembered</t>
        </is>
      </c>
      <c r="L22" s="9" t="inlineStr">
        <is>
          <t>No provision can be stored without from/to dates</t>
        </is>
      </c>
      <c r="M22" s="10" t="inlineStr">
        <is>
          <t>A</t>
        </is>
      </c>
      <c r="N22" s="31" t="inlineStr">
        <is>
          <t>tested</t>
        </is>
      </c>
      <c r="O22" s="4" t="inlineStr">
        <is>
          <t>Validity generalised to a three-valued window (Force IN_FORCE/NOT_IN_FORCE/UNKNOWN) carrying its basis text; Provision cannot be constructed without one. An unknown window must say why it is unknown, and never excludes the provision - it is disclosed instead (Finding.must_disclose_currency). Windows are READ from the commencement clause, never inferred from the title year.</t>
        </is>
      </c>
      <c r="P22" s="4" t="inlineStr">
        <is>
          <t>nm/tests/a_logic/test_legal_graph.py + test_legal_graph_queries.py; nm/tests/c_corpus/test_legal_graph_build.py (ran 2026-08-27)</t>
        </is>
      </c>
      <c r="Q22" s="4" t="inlineStr">
        <is>
          <t>2026-08-27</t>
        </is>
      </c>
    </row>
    <row r="23">
      <c r="A23" s="6" t="inlineStr">
        <is>
          <t>K-03</t>
        </is>
      </c>
      <c r="B23" s="14" t="inlineStr">
        <is>
          <t>Phase 1 - Knowledge</t>
        </is>
      </c>
      <c r="C23" s="8" t="inlineStr">
        <is>
          <t>EP-03</t>
        </is>
      </c>
      <c r="D23" s="9" t="inlineStr">
        <is>
          <t>amends / repeals / substitutes edges</t>
        </is>
      </c>
      <c r="E23" s="8" t="inlineStr">
        <is>
          <t>Knowledge</t>
        </is>
      </c>
      <c r="F23" s="8" t="inlineStr">
        <is>
          <t>G1</t>
        </is>
      </c>
      <c r="G23" s="8" t="inlineStr">
        <is>
          <t>4</t>
        </is>
      </c>
      <c r="H23" s="10" t="n">
        <v>5</v>
      </c>
      <c r="I23" s="11" t="inlineStr">
        <is>
          <t>Known</t>
        </is>
      </c>
      <c r="J23" s="8" t="inlineStr">
        <is>
          <t>K-02</t>
        </is>
      </c>
      <c r="K23" s="9" t="inlineStr">
        <is>
          <t>Point-in-time law becomes answerable</t>
        </is>
      </c>
      <c r="L23" s="9" t="inlineStr">
        <is>
          <t>Given a date, the graph returns the text then in force</t>
        </is>
      </c>
      <c r="M23" s="10" t="inlineStr">
        <is>
          <t>C</t>
        </is>
      </c>
      <c r="N23" s="31" t="inlineStr">
        <is>
          <t>tested</t>
        </is>
      </c>
      <c r="O23" s="4" t="inlineStr">
        <is>
          <t>A provision is a sequence of versions, not a row. LegalGraph.in_force(ref, on=date) returns the text then in force, refuses a query with no governing date, reports what superseded a repealed provision, and reports UNKNOWN with a disclosure rather than silence. Repeal edges read from the repealing provision's own text: 24 Act-level repeals. Rebuilt across both bare-act stores after B-57.</t>
        </is>
      </c>
      <c r="P23" s="4" t="inlineStr">
        <is>
          <t>nm/tests/a_logic/test_legal_graph_queries.py; nm/tests/c_corpus/test_legal_graph_build.py (ran 2026-08-27)</t>
        </is>
      </c>
      <c r="Q23" s="4" t="inlineStr">
        <is>
          <t>2026-08-27</t>
        </is>
      </c>
    </row>
    <row r="24">
      <c r="A24" s="6" t="inlineStr">
        <is>
          <t>K-04</t>
        </is>
      </c>
      <c r="B24" s="14" t="inlineStr">
        <is>
          <t>Phase 1 - Knowledge</t>
        </is>
      </c>
      <c r="C24" s="8" t="inlineStr">
        <is>
          <t>EP-03</t>
        </is>
      </c>
      <c r="D24" s="9" t="inlineStr">
        <is>
          <t>corresponds-to edges: IPC-BNS, CrPC-BNSS, IEA-BSA</t>
        </is>
      </c>
      <c r="E24" s="8" t="inlineStr">
        <is>
          <t>Knowledge</t>
        </is>
      </c>
      <c r="F24" s="8" t="inlineStr">
        <is>
          <t>D3B</t>
        </is>
      </c>
      <c r="G24" s="8" t="inlineStr">
        <is>
          <t>4</t>
        </is>
      </c>
      <c r="H24" s="10" t="n">
        <v>8</v>
      </c>
      <c r="I24" s="12" t="inlineStr">
        <is>
          <t>Needs measurement</t>
        </is>
      </c>
      <c r="J24" s="8" t="inlineStr">
        <is>
          <t>K-03</t>
        </is>
      </c>
      <c r="K24" s="9" t="inlineStr">
        <is>
          <t>Pre-2024 authority becomes reachable for a new-code charge</t>
        </is>
      </c>
      <c r="L24" s="9" t="inlineStr">
        <is>
          <t>Authority under the corresponding old provision is retrieved for a charge framed under the new one</t>
        </is>
      </c>
      <c r="M24" s="10" t="inlineStr">
        <is>
          <t>C</t>
        </is>
      </c>
      <c r="N24" s="31" t="inlineStr">
        <is>
          <t>tested</t>
        </is>
      </c>
      <c r="O24" s="4" t="inlineStr">
        <is>
          <t>nm/knowledge/correspondence.py - Act-level correspondence read from each repealing provision's own text, with a verbatim span. All three code pairs resolve bidirectionally: IPC&lt;-&gt;BNS, CrPC&lt;-&gt;BNSS, IEA&lt;-&gt;BSA. 183 successions read, 16 with the predecessor held. The D3B era rule is answered from the retrieved savings clause and REFUSES where no savings text was read. Section-level correspondence is not in the corpus and stays a CandidateEdge.</t>
        </is>
      </c>
      <c r="P24" s="4" t="inlineStr">
        <is>
          <t>nm/tests/a_logic/test_correspondence.py (8 class-A rules) (ran 2026-08-27)</t>
        </is>
      </c>
      <c r="Q24" s="4" t="inlineStr">
        <is>
          <t>2026-08-27</t>
        </is>
      </c>
    </row>
    <row r="25">
      <c r="A25" s="6" t="inlineStr">
        <is>
          <t>K-05</t>
        </is>
      </c>
      <c r="B25" s="14" t="inlineStr">
        <is>
          <t>Phase 1 - Knowledge</t>
        </is>
      </c>
      <c r="C25" s="8" t="inlineStr">
        <is>
          <t>EP-03</t>
        </is>
      </c>
      <c r="D25" s="9" t="inlineStr">
        <is>
          <t>Cross-reference edges between provisions</t>
        </is>
      </c>
      <c r="E25" s="8" t="inlineStr">
        <is>
          <t>Knowledge</t>
        </is>
      </c>
      <c r="F25" s="8" t="inlineStr">
        <is>
          <t>-</t>
        </is>
      </c>
      <c r="G25" s="8" t="inlineStr">
        <is>
          <t>4</t>
        </is>
      </c>
      <c r="H25" s="10" t="n">
        <v>3</v>
      </c>
      <c r="I25" s="11" t="inlineStr">
        <is>
          <t>Known</t>
        </is>
      </c>
      <c r="J25" s="8" t="inlineStr">
        <is>
          <t>K-01</t>
        </is>
      </c>
      <c r="K25" s="9" t="inlineStr">
        <is>
          <t>Related provisions surface without a text search</t>
        </is>
      </c>
      <c r="L25" s="9" t="inlineStr">
        <is>
          <t>A provision's cross-references resolve to graph nodes</t>
        </is>
      </c>
      <c r="M25" s="10" t="inlineStr">
        <is>
          <t>C</t>
        </is>
      </c>
      <c r="N25" s="31" t="inlineStr">
        <is>
          <t>tested</t>
        </is>
      </c>
      <c r="O25" s="4" t="inlineStr">
        <is>
          <t>Cross-reference edges built from provision text; a bare 'section N' resolves within the Act, a named Act resolves through the subject key. 45,512 distinct evidenced cross-reference edges across both stores. A reference landing on no node is a counted candidate, not a drop - 6,917 of them, each naming the provision the corpus does not hold.</t>
        </is>
      </c>
      <c r="P25" s="4" t="inlineStr">
        <is>
          <t>nm/tests/c_corpus/test_legal_graph_build.py (ran 2026-08-27)</t>
        </is>
      </c>
      <c r="Q25" s="4" t="inlineStr">
        <is>
          <t>2026-08-27</t>
        </is>
      </c>
    </row>
    <row r="26">
      <c r="A26" s="6" t="inlineStr">
        <is>
          <t>K-06</t>
        </is>
      </c>
      <c r="B26" s="14" t="inlineStr">
        <is>
          <t>Phase 1 - Knowledge</t>
        </is>
      </c>
      <c r="C26" s="8" t="inlineStr">
        <is>
          <t>EP-03</t>
        </is>
      </c>
      <c r="D26" s="9" t="inlineStr">
        <is>
          <t>judgment-interprets-section edges</t>
        </is>
      </c>
      <c r="E26" s="8" t="inlineStr">
        <is>
          <t>Knowledge</t>
        </is>
      </c>
      <c r="F26" s="8" t="inlineStr">
        <is>
          <t>G14</t>
        </is>
      </c>
      <c r="G26" s="8" t="inlineStr">
        <is>
          <t>4</t>
        </is>
      </c>
      <c r="H26" s="10" t="n">
        <v>8</v>
      </c>
      <c r="I26" s="12" t="inlineStr">
        <is>
          <t>Needs measurement</t>
        </is>
      </c>
      <c r="J26" s="8" t="inlineStr">
        <is>
          <t>K-01,I-02</t>
        </is>
      </c>
      <c r="K26" s="9" t="inlineStr">
        <is>
          <t>Authorities on a provision become a lookup rather than a search</t>
        </is>
      </c>
      <c r="L26" s="9" t="inlineStr">
        <is>
          <t>Given a provision, the graph returns judgments interpreting it</t>
        </is>
      </c>
      <c r="M26" s="10" t="inlineStr">
        <is>
          <t>C</t>
        </is>
      </c>
      <c r="N26" s="31" t="inlineStr">
        <is>
          <t>tested</t>
        </is>
      </c>
      <c r="O26" s="4" t="inlineStr">
        <is>
          <t>nm/knowledge/interprets.py - G14's lookup, against a legacy table holding 0 rows. On a 1,500-judgment spread sample: 19,662 provision references, 32% resolving to a held provision, the rest kept as counted candidates. The paragraph kind travels with each edge so C3 can filter to the court's own words, and the candidate set is NOT narrowed by default.</t>
        </is>
      </c>
      <c r="P26" s="4" t="inlineStr">
        <is>
          <t>nm/tests/a_logic/test_interprets.py (9 class-A rules) (ran 2026-08-27)</t>
        </is>
      </c>
      <c r="Q26" s="4" t="inlineStr">
        <is>
          <t>2026-08-27</t>
        </is>
      </c>
    </row>
    <row r="27">
      <c r="A27" s="6" t="inlineStr">
        <is>
          <t>K-07</t>
        </is>
      </c>
      <c r="B27" s="14" t="inlineStr">
        <is>
          <t>Phase 1 - Knowledge</t>
        </is>
      </c>
      <c r="C27" s="8" t="inlineStr">
        <is>
          <t>EP-03</t>
        </is>
      </c>
      <c r="D27" s="9" t="inlineStr">
        <is>
          <t>Cause-of-action taxonomy and schema</t>
        </is>
      </c>
      <c r="E27" s="8" t="inlineStr">
        <is>
          <t>Knowledge</t>
        </is>
      </c>
      <c r="F27" s="8" t="inlineStr">
        <is>
          <t>G2</t>
        </is>
      </c>
      <c r="G27" s="8" t="inlineStr">
        <is>
          <t>4</t>
        </is>
      </c>
      <c r="H27" s="10" t="n">
        <v>3</v>
      </c>
      <c r="I27" s="11" t="inlineStr">
        <is>
          <t>Known</t>
        </is>
      </c>
      <c r="J27" s="8" t="inlineStr">
        <is>
          <t>K-01</t>
        </is>
      </c>
      <c r="K27" s="9" t="inlineStr">
        <is>
          <t>Resolution gets a subject to resolve from</t>
        </is>
      </c>
      <c r="L27" s="9" t="inlineStr">
        <is>
          <t>A cause of action is a first-class node with a stable identity</t>
        </is>
      </c>
      <c r="M27" s="10" t="inlineStr">
        <is>
          <t>A</t>
        </is>
      </c>
      <c r="N27" s="31" t="inlineStr">
        <is>
          <t>tested</t>
        </is>
      </c>
      <c r="O27" s="4" t="inlineStr">
        <is>
          <t>CauseOfAction is a first-class node with a normalised stable key, the label an advocate uses, a practice area, and aliases it answers to. Identity is the key alone, so two spellings are one node.</t>
        </is>
      </c>
      <c r="P27" s="4" t="inlineStr">
        <is>
          <t>nm/tests/a_logic/test_legal_graph.py (ran 2026-08-27)</t>
        </is>
      </c>
      <c r="Q27" s="4" t="inlineStr">
        <is>
          <t>2026-08-27</t>
        </is>
      </c>
    </row>
    <row r="28">
      <c r="A28" s="6" t="inlineStr">
        <is>
          <t>K-08</t>
        </is>
      </c>
      <c r="B28" s="14" t="inlineStr">
        <is>
          <t>Phase 1 - Knowledge</t>
        </is>
      </c>
      <c r="C28" s="8" t="inlineStr">
        <is>
          <t>EP-03</t>
        </is>
      </c>
      <c r="D28" s="9" t="inlineStr">
        <is>
          <t>Curate cause-of-action to Limitation Article map for launch areas</t>
        </is>
      </c>
      <c r="E28" s="8" t="inlineStr">
        <is>
          <t>Knowledge</t>
        </is>
      </c>
      <c r="F28" s="8" t="inlineStr">
        <is>
          <t>G2,D7D</t>
        </is>
      </c>
      <c r="G28" s="8" t="inlineStr">
        <is>
          <t>4</t>
        </is>
      </c>
      <c r="H28" s="10" t="n">
        <v>13</v>
      </c>
      <c r="I28" s="13" t="inlineStr">
        <is>
          <t>Unknown until instrumented</t>
        </is>
      </c>
      <c r="J28" s="8" t="inlineStr">
        <is>
          <t>K-07</t>
        </is>
      </c>
      <c r="K28" s="9" t="inlineStr">
        <is>
          <t>The single highest-value resolution; a governing Article stops being a ranking outcome</t>
        </is>
      </c>
      <c r="L28" s="9" t="inlineStr">
        <is>
          <t>For every launch-area cause of action, the map yields an Article with a citation</t>
        </is>
      </c>
      <c r="M28" s="10" t="inlineStr">
        <is>
          <t>C</t>
        </is>
      </c>
      <c r="N28" s="31" t="inlineStr">
        <is>
          <t>tested</t>
        </is>
      </c>
      <c r="O28" s="4" t="inlineStr">
        <is>
          <t>nm/knowledge/resolution.py + causes.json - cause-of-action to limitation Article for the launch areas. Every land &amp; revenue cause yields an exact Article with the provision's own text read from the graph at resolution time; entries are pointers, never copies, so no period or accrual rule is written down a second time. An uncurated cause returns nothing rather than a nearest match.</t>
        </is>
      </c>
      <c r="P28" s="4" t="inlineStr">
        <is>
          <t>nm/tests/a_logic/test_resolution.py (8 class-A rules) (ran 2026-08-27)</t>
        </is>
      </c>
      <c r="Q28" s="4" t="inlineStr">
        <is>
          <t>2026-08-27</t>
        </is>
      </c>
    </row>
    <row r="29">
      <c r="A29" s="6" t="inlineStr">
        <is>
          <t>K-09</t>
        </is>
      </c>
      <c r="B29" s="14" t="inlineStr">
        <is>
          <t>Phase 1 - Knowledge</t>
        </is>
      </c>
      <c r="C29" s="8" t="inlineStr">
        <is>
          <t>EP-03</t>
        </is>
      </c>
      <c r="D29" s="9" t="inlineStr">
        <is>
          <t>Curate cause-of-action to forum map</t>
        </is>
      </c>
      <c r="E29" s="8" t="inlineStr">
        <is>
          <t>Knowledge</t>
        </is>
      </c>
      <c r="F29" s="8" t="inlineStr">
        <is>
          <t>G2</t>
        </is>
      </c>
      <c r="G29" s="8" t="inlineStr">
        <is>
          <t>4</t>
        </is>
      </c>
      <c r="H29" s="10" t="n">
        <v>8</v>
      </c>
      <c r="I29" s="13" t="inlineStr">
        <is>
          <t>Unknown until instrumented</t>
        </is>
      </c>
      <c r="J29" s="8" t="inlineStr">
        <is>
          <t>K-07</t>
        </is>
      </c>
      <c r="K29" s="9" t="inlineStr">
        <is>
          <t>Forum stops being searched</t>
        </is>
      </c>
      <c r="L29" s="9" t="inlineStr">
        <is>
          <t>For every launch-area cause of action, the map yields a forum with its ousting statute where one applies</t>
        </is>
      </c>
      <c r="M29" s="10" t="inlineStr">
        <is>
          <t>C</t>
        </is>
      </c>
      <c r="N29" s="31" t="inlineStr">
        <is>
          <t>tested</t>
        </is>
      </c>
      <c r="O29" s="4" t="inlineStr">
        <is>
          <t>Same map, forum side: every matrimonial and bail cause yields the provision that confers jurisdiction, with the ousting statute where one applies (Rent Controller, Family Court). 7 entries point at CPC sections the corpus does not hold and are reported as defects by CauseMap.unresolved() rather than routed around - that is defect B-59 surfacing through the map.</t>
        </is>
      </c>
      <c r="P29" s="4" t="inlineStr">
        <is>
          <t>nm/tests/a_logic/test_resolution.py (ran 2026-08-27)</t>
        </is>
      </c>
      <c r="Q29" s="4" t="inlineStr">
        <is>
          <t>2026-08-27</t>
        </is>
      </c>
    </row>
    <row r="30">
      <c r="A30" s="6" t="inlineStr">
        <is>
          <t>K-10</t>
        </is>
      </c>
      <c r="B30" s="14" t="inlineStr">
        <is>
          <t>Phase 1 - Knowledge</t>
        </is>
      </c>
      <c r="C30" s="8" t="inlineStr">
        <is>
          <t>EP-03</t>
        </is>
      </c>
      <c r="D30" s="9" t="inlineStr">
        <is>
          <t>Deterministic, versioned graph build pipeline</t>
        </is>
      </c>
      <c r="E30" s="8" t="inlineStr">
        <is>
          <t>Knowledge</t>
        </is>
      </c>
      <c r="F30" s="8" t="inlineStr">
        <is>
          <t>G21</t>
        </is>
      </c>
      <c r="G30" s="8" t="inlineStr">
        <is>
          <t>10.4</t>
        </is>
      </c>
      <c r="H30" s="10" t="n">
        <v>5</v>
      </c>
      <c r="I30" s="11" t="inlineStr">
        <is>
          <t>Known</t>
        </is>
      </c>
      <c r="J30" s="8" t="inlineStr">
        <is>
          <t>K-03</t>
        </is>
      </c>
      <c r="K30" s="9" t="inlineStr">
        <is>
          <t>Graph state becomes reproducible and diffable</t>
        </is>
      </c>
      <c r="L30" s="9" t="inlineStr">
        <is>
          <t>A rebuild from the same sources produces an identical graph with a recorded version</t>
        </is>
      </c>
      <c r="M30" s="10" t="inlineStr">
        <is>
          <t>C</t>
        </is>
      </c>
      <c r="N30" s="31" t="inlineStr">
        <is>
          <t>tested</t>
        </is>
      </c>
      <c r="O30" s="4" t="inlineStr">
        <is>
          <t>Deterministic build with imposed ordering: the same sources rebuild an identical fingerprint regardless of read order, the fingerprint covers the sources, and a graph is REFUSED against sources it was not built from. Full corpus build across both stores: 1,648 Acts, 173,562 provisions, 45,536 edges, 7,120 candidates in 287s. Both stores are now recorded as sources, so a build that read only one would not verify against a build that read both.</t>
        </is>
      </c>
      <c r="P30" s="4" t="inlineStr">
        <is>
          <t>nm/tests/a_logic/test_legal_graph_queries.py; nm/tests/c_corpus/test_legal_graph_build.py (ran 2026-08-27)</t>
        </is>
      </c>
      <c r="Q30" s="4" t="inlineStr">
        <is>
          <t>2026-08-27</t>
        </is>
      </c>
    </row>
    <row r="31">
      <c r="A31" s="6" t="inlineStr">
        <is>
          <t>K-11</t>
        </is>
      </c>
      <c r="B31" s="14" t="inlineStr">
        <is>
          <t>Phase 1 - Knowledge</t>
        </is>
      </c>
      <c r="C31" s="8" t="inlineStr">
        <is>
          <t>EP-03</t>
        </is>
      </c>
      <c r="D31" s="9" t="inlineStr">
        <is>
          <t>Invariant: an edge without a verbatim span is not an edge</t>
        </is>
      </c>
      <c r="E31" s="8" t="inlineStr">
        <is>
          <t>Eval</t>
        </is>
      </c>
      <c r="F31" s="8" t="inlineStr">
        <is>
          <t>G15</t>
        </is>
      </c>
      <c r="G31" s="8" t="inlineStr">
        <is>
          <t>4</t>
        </is>
      </c>
      <c r="H31" s="10" t="n">
        <v>3</v>
      </c>
      <c r="I31" s="11" t="inlineStr">
        <is>
          <t>Known</t>
        </is>
      </c>
      <c r="J31" s="8" t="inlineStr">
        <is>
          <t>K-10,F-03</t>
        </is>
      </c>
      <c r="K31" s="9" t="inlineStr">
        <is>
          <t>Structural claims get the same grounding discipline as prose</t>
        </is>
      </c>
      <c r="L31" s="9" t="inlineStr">
        <is>
          <t>Constructing an edge without a span fails</t>
        </is>
      </c>
      <c r="M31" s="10" t="inlineStr">
        <is>
          <t>A</t>
        </is>
      </c>
      <c r="N31" s="31" t="inlineStr">
        <is>
          <t>tested</t>
        </is>
      </c>
      <c r="O31" s="4" t="inlineStr">
        <is>
          <t>Edge refuses construction without a verbatim span and a locator; an asserted edge must name who asserted it; an asymmetric relation cannot be reversed. Landed with the schema rather than after the build (dependency on K-10/F-03 was wrong) - the type is a stronger enforcement point than a build-time check. Bound on over-application: CandidateEdge keeps an unevidenced relation countable instead of dropping it.</t>
        </is>
      </c>
      <c r="P31" s="4" t="inlineStr">
        <is>
          <t>nm/tests/a_logic/test_legal_graph.py; nm/tests/c_corpus/test_legal_graph_build.py (ran 2026-08-27)</t>
        </is>
      </c>
      <c r="Q31" s="4" t="inlineStr">
        <is>
          <t>2026-08-27</t>
        </is>
      </c>
    </row>
    <row r="32">
      <c r="A32" s="6" t="inlineStr">
        <is>
          <t>M-01</t>
        </is>
      </c>
      <c r="B32" s="14" t="inlineStr">
        <is>
          <t>Phase 1 - Knowledge</t>
        </is>
      </c>
      <c r="C32" s="8" t="inlineStr">
        <is>
          <t>EP-04</t>
        </is>
      </c>
      <c r="D32" s="9" t="inlineStr">
        <is>
          <t>ManifestEntry schema</t>
        </is>
      </c>
      <c r="E32" s="8" t="inlineStr">
        <is>
          <t>Knowledge</t>
        </is>
      </c>
      <c r="F32" s="8" t="inlineStr">
        <is>
          <t>D5A</t>
        </is>
      </c>
      <c r="G32" s="8" t="inlineStr">
        <is>
          <t>7.12</t>
        </is>
      </c>
      <c r="H32" s="10" t="n">
        <v>2</v>
      </c>
      <c r="I32" s="11" t="inlineStr">
        <is>
          <t>Known</t>
        </is>
      </c>
      <c r="J32" s="8" t="inlineStr">
        <is>
          <t>D-01</t>
        </is>
      </c>
      <c r="K32" s="9" t="inlineStr">
        <is>
          <t>Coverage becomes an object rather than an inference</t>
        </is>
      </c>
      <c r="L32" s="9" t="inlineStr">
        <is>
          <t>Entry holds intended, actual, gap and reconciliation stamp</t>
        </is>
      </c>
      <c r="M32" s="10" t="inlineStr">
        <is>
          <t>A</t>
        </is>
      </c>
      <c r="N32" s="31" t="inlineStr">
        <is>
          <t>tested</t>
        </is>
      </c>
      <c r="O32" s="4" t="inlineStr">
        <is>
          <t>Delivered by D-01 and refined here. ManifestEntry now carries an Extent - either a numeric range or WHOLE - because curating against the real corpus showed the original Span-only shape could not express 'we intend the whole Act but have not verified its section count'. Asserting a made-up range would report gaps that are not gaps and miss ones that are.</t>
        </is>
      </c>
      <c r="P32" s="4" t="inlineStr">
        <is>
          <t>nm/tests/a_logic/test_entities.py (ran 2026-08-27)</t>
        </is>
      </c>
      <c r="Q32" s="4" t="inlineStr">
        <is>
          <t>2026-08-27</t>
        </is>
      </c>
    </row>
    <row r="33">
      <c r="A33" s="6" t="inlineStr">
        <is>
          <t>M-02</t>
        </is>
      </c>
      <c r="B33" s="14" t="inlineStr">
        <is>
          <t>Phase 1 - Knowledge</t>
        </is>
      </c>
      <c r="C33" s="8" t="inlineStr">
        <is>
          <t>EP-04</t>
        </is>
      </c>
      <c r="D33" s="9" t="inlineStr">
        <is>
          <t>Curate the manifest for the current corpus</t>
        </is>
      </c>
      <c r="E33" s="8" t="inlineStr">
        <is>
          <t>Knowledge</t>
        </is>
      </c>
      <c r="F33" s="8" t="inlineStr">
        <is>
          <t>M1</t>
        </is>
      </c>
      <c r="G33" s="8" t="inlineStr">
        <is>
          <t>7.12</t>
        </is>
      </c>
      <c r="H33" s="10" t="n">
        <v>8</v>
      </c>
      <c r="I33" s="11" t="inlineStr">
        <is>
          <t>Known</t>
        </is>
      </c>
      <c r="J33" s="8" t="inlineStr">
        <is>
          <t>M-01</t>
        </is>
      </c>
      <c r="K33" s="9" t="inlineStr">
        <is>
          <t>Absence becomes detectable for the first time</t>
        </is>
      </c>
      <c r="L33" s="9" t="inlineStr">
        <is>
          <t>Every Act and court in scope has an intended-coverage assertion</t>
        </is>
      </c>
      <c r="M33" s="10" t="inlineStr">
        <is>
          <t>C</t>
        </is>
      </c>
      <c r="N33" s="31" t="inlineStr">
        <is>
          <t>tested</t>
        </is>
      </c>
      <c r="O33" s="4" t="inlineStr">
        <is>
          <t>nm/knowledge/manifest.json: 30 subjects the product NEEDS - 3 courts with date ranges, 27 Acts as WHOLE - asserted deliberately rather than derived from the index (M1). Keys are normalised through subject_key, because the corpus holds 93.5% of Acts under two id conventions and a manifest keyed on raw act_id would double-count every second one.</t>
        </is>
      </c>
      <c r="P33" s="4" t="inlineStr">
        <is>
          <t>nm/tests/a_logic/test_manifest.py (ran 2026-08-27)</t>
        </is>
      </c>
      <c r="Q33" s="4" t="inlineStr">
        <is>
          <t>2026-08-27</t>
        </is>
      </c>
    </row>
    <row r="34">
      <c r="A34" s="6" t="inlineStr">
        <is>
          <t>M-03</t>
        </is>
      </c>
      <c r="B34" s="14" t="inlineStr">
        <is>
          <t>Phase 1 - Knowledge</t>
        </is>
      </c>
      <c r="C34" s="8" t="inlineStr">
        <is>
          <t>EP-04</t>
        </is>
      </c>
      <c r="D34" s="9" t="inlineStr">
        <is>
          <t>Reconciliation job computing intended minus actual</t>
        </is>
      </c>
      <c r="E34" s="8" t="inlineStr">
        <is>
          <t>Knowledge</t>
        </is>
      </c>
      <c r="F34" s="8" t="inlineStr">
        <is>
          <t>M1,M5</t>
        </is>
      </c>
      <c r="G34" s="8" t="inlineStr">
        <is>
          <t>7.12</t>
        </is>
      </c>
      <c r="H34" s="10" t="n">
        <v>5</v>
      </c>
      <c r="I34" s="11" t="inlineStr">
        <is>
          <t>Known</t>
        </is>
      </c>
      <c r="J34" s="8" t="inlineStr">
        <is>
          <t>M-02</t>
        </is>
      </c>
      <c r="K34" s="9" t="inlineStr">
        <is>
          <t>The ingestion backlog becomes a number rather than a hunch</t>
        </is>
      </c>
      <c r="L34" s="9" t="inlineStr">
        <is>
          <t>Job reports the gap per subject and stamps the corpus version</t>
        </is>
      </c>
      <c r="M34" s="10" t="inlineStr">
        <is>
          <t>C</t>
        </is>
      </c>
      <c r="N34" s="31" t="inlineStr">
        <is>
          <t>tested</t>
        </is>
      </c>
      <c r="O34" s="4" t="inlineStr">
        <is>
          <t>Reconciliation extended from presence to coverage, and CORRECTED. An Act is observed for the integrity of its own section numbering - sections absent below the highest the corpus holds - which needs no external truth about how long an Act is. Thin ingestion and a corrupt section number are separated scale-free (one gap wider than everything held): corpus-wide 91 thin against 312 mis-numbered, of 1,648 subjects. The queue is ordered BY THE MANIFEST, so an intended Act outranks an unintended one whatever the hole counts. Correction: the first measurement read only one of the two bare-act stores and was wrong (B-57); all reading now goes through nm/knowledge/corpus.py, which raises rather than tolerating a partial read.</t>
        </is>
      </c>
      <c r="P34" s="4" t="inlineStr">
        <is>
          <t>nm/tests/a_logic/test_manifest.py (numbering rules, intended-first ordering); test_layering.py (one owner for the corpus layout); nm/tests/c_corpus/test_coverage_defect.py (ran 2026-08-27)</t>
        </is>
      </c>
      <c r="Q34" s="4" t="inlineStr">
        <is>
          <t>2026-08-27</t>
        </is>
      </c>
    </row>
    <row r="35">
      <c r="A35" s="6" t="inlineStr">
        <is>
          <t>M-04</t>
        </is>
      </c>
      <c r="B35" s="14" t="inlineStr">
        <is>
          <t>Phase 1 - Knowledge</t>
        </is>
      </c>
      <c r="C35" s="8" t="inlineStr">
        <is>
          <t>EP-04</t>
        </is>
      </c>
      <c r="D35" s="9" t="inlineStr">
        <is>
          <t>coverage_state(): the three-state answer</t>
        </is>
      </c>
      <c r="E35" s="8" t="inlineStr">
        <is>
          <t>Core</t>
        </is>
      </c>
      <c r="F35" s="8" t="inlineStr">
        <is>
          <t>G7</t>
        </is>
      </c>
      <c r="G35" s="8" t="inlineStr">
        <is>
          <t>7.12</t>
        </is>
      </c>
      <c r="H35" s="10" t="n">
        <v>3</v>
      </c>
      <c r="I35" s="11" t="inlineStr">
        <is>
          <t>Known</t>
        </is>
      </c>
      <c r="J35" s="8" t="inlineStr">
        <is>
          <t>M-03</t>
        </is>
      </c>
      <c r="K35" s="9" t="inlineStr">
        <is>
          <t>An honest refusal becomes distinguishable from a defect</t>
        </is>
      </c>
      <c r="L35" s="9" t="inlineStr">
        <is>
          <t>Function returns ANSWERED / NOT_HELD / HELD_NOT_FOUND and nothing else</t>
        </is>
      </c>
      <c r="M35" s="10" t="inlineStr">
        <is>
          <t>A</t>
        </is>
      </c>
      <c r="N35" s="31" t="inlineStr">
        <is>
          <t>tested</t>
        </is>
      </c>
      <c r="O35" s="4" t="inlineStr">
        <is>
          <t>coverage_state() gives the three-state answer, computed from the manifest and never inferred from hit counts. Check order is the point: not intended -&gt; NOT_HELD; intended but never ingested -&gt; NOT_HELD with a NAMEABLE gap; intended, held, still missing -&gt; HELD_NOT_FOUND, a defect. A miss inside a held-but-unverified Act reads as a defect, per D0A: a false defect costs one check, a false 'not held' costs a wrong refusal.</t>
        </is>
      </c>
      <c r="P35" s="4" t="inlineStr">
        <is>
          <t>nm/tests/a_logic/test_entities.py (ran 2026-08-27)</t>
        </is>
      </c>
      <c r="Q35" s="4" t="inlineStr">
        <is>
          <t>2026-08-27</t>
        </is>
      </c>
    </row>
    <row r="36">
      <c r="A36" s="6" t="inlineStr">
        <is>
          <t>M-05</t>
        </is>
      </c>
      <c r="B36" s="14" t="inlineStr">
        <is>
          <t>Phase 1 - Knowledge</t>
        </is>
      </c>
      <c r="C36" s="8" t="inlineStr">
        <is>
          <t>EP-04</t>
        </is>
      </c>
      <c r="D36" s="9" t="inlineStr">
        <is>
          <t>HELD_NOT_FOUND escalation and defect reporting</t>
        </is>
      </c>
      <c r="E36" s="8" t="inlineStr">
        <is>
          <t>Core</t>
        </is>
      </c>
      <c r="F36" s="8" t="inlineStr">
        <is>
          <t>G7,M3</t>
        </is>
      </c>
      <c r="G36" s="8" t="inlineStr">
        <is>
          <t>7.12</t>
        </is>
      </c>
      <c r="H36" s="10" t="n">
        <v>3</v>
      </c>
      <c r="I36" s="11" t="inlineStr">
        <is>
          <t>Known</t>
        </is>
      </c>
      <c r="J36" s="8" t="inlineStr">
        <is>
          <t>M-04</t>
        </is>
      </c>
      <c r="K36" s="9" t="inlineStr">
        <is>
          <t>Retrieval defects stop being disclosed as corpus gaps</t>
        </is>
      </c>
      <c r="L36" s="9" t="inlineStr">
        <is>
          <t>A held provision returning nothing raises a defect, never a refusal</t>
        </is>
      </c>
      <c r="M36" s="10" t="inlineStr">
        <is>
          <t>B</t>
        </is>
      </c>
      <c r="N36" s="31" t="inlineStr">
        <is>
          <t>tested</t>
        </is>
      </c>
      <c r="O36" s="4" t="inlineStr">
        <is>
          <t>nm/core/coverage.escalate(): a HELD_NOT_FOUND records a G7 violation into the turn and refuses to act on the result. An honest NOT_HELD records nothing. This is what stops a retrieval defect being dressed up as a corpus gap - the failure that made D5's refusal rule unfalsifiable.</t>
        </is>
      </c>
      <c r="P36" s="4" t="inlineStr">
        <is>
          <t>nm/tests/a_logic/test_entities.py (ran 2026-08-27)</t>
        </is>
      </c>
      <c r="Q36" s="4" t="inlineStr">
        <is>
          <t>2026-08-27</t>
        </is>
      </c>
    </row>
    <row r="37">
      <c r="A37" s="6" t="inlineStr">
        <is>
          <t>M-06</t>
        </is>
      </c>
      <c r="B37" s="14" t="inlineStr">
        <is>
          <t>Phase 1 - Knowledge</t>
        </is>
      </c>
      <c r="C37" s="8" t="inlineStr">
        <is>
          <t>EP-04</t>
        </is>
      </c>
      <c r="D37" s="9" t="inlineStr">
        <is>
          <t>Manifest versioning and staleness refusal</t>
        </is>
      </c>
      <c r="E37" s="8" t="inlineStr">
        <is>
          <t>Knowledge</t>
        </is>
      </c>
      <c r="F37" s="8" t="inlineStr">
        <is>
          <t>M5,G21</t>
        </is>
      </c>
      <c r="G37" s="8" t="inlineStr">
        <is>
          <t>10.4</t>
        </is>
      </c>
      <c r="H37" s="10" t="n">
        <v>3</v>
      </c>
      <c r="I37" s="11" t="inlineStr">
        <is>
          <t>Known</t>
        </is>
      </c>
      <c r="J37" s="8" t="inlineStr">
        <is>
          <t>M-03</t>
        </is>
      </c>
      <c r="K37" s="9" t="inlineStr">
        <is>
          <t>A drifted manifest stops being worse than none</t>
        </is>
      </c>
      <c r="L37" s="9" t="inlineStr">
        <is>
          <t>A manifest whose reconciliation predates the index is refused</t>
        </is>
      </c>
      <c r="M37" s="10" t="inlineStr">
        <is>
          <t>C</t>
        </is>
      </c>
      <c r="N37" s="31" t="inlineStr">
        <is>
          <t>tested</t>
        </is>
      </c>
      <c r="O37" s="4" t="inlineStr">
        <is>
          <t>require_current() REFUSES a manifest reconciled against a different corpus version, rather than warning. A drifted manifest turns real gaps into confident refusals and real defects into disclosures - it fails in both directions at once, so it is refused.</t>
        </is>
      </c>
      <c r="P37" s="4" t="inlineStr">
        <is>
          <t>nm/tests/a_logic/test_manifest.py (ran 2026-08-27)</t>
        </is>
      </c>
      <c r="Q37" s="4" t="inlineStr">
        <is>
          <t>2026-08-27</t>
        </is>
      </c>
    </row>
    <row r="38">
      <c r="A38" s="6" t="inlineStr">
        <is>
          <t>M-07</t>
        </is>
      </c>
      <c r="B38" s="14" t="inlineStr">
        <is>
          <t>Phase 1 - Knowledge</t>
        </is>
      </c>
      <c r="C38" s="8" t="inlineStr">
        <is>
          <t>EP-04</t>
        </is>
      </c>
      <c r="D38" s="9" t="inlineStr">
        <is>
          <t>Class-C test: held provision, zero results, defect raised</t>
        </is>
      </c>
      <c r="E38" s="8" t="inlineStr">
        <is>
          <t>Eval</t>
        </is>
      </c>
      <c r="F38" s="8" t="inlineStr">
        <is>
          <t>M3</t>
        </is>
      </c>
      <c r="G38" s="8" t="inlineStr">
        <is>
          <t>9.2</t>
        </is>
      </c>
      <c r="H38" s="10" t="n">
        <v>3</v>
      </c>
      <c r="I38" s="11" t="inlineStr">
        <is>
          <t>Known</t>
        </is>
      </c>
      <c r="J38" s="8" t="inlineStr">
        <is>
          <t>M-05,F-05</t>
        </is>
      </c>
      <c r="K38" s="9" t="inlineStr">
        <is>
          <t>The zero-miss requirement becomes enforceable</t>
        </is>
      </c>
      <c r="L38" s="9" t="inlineStr">
        <is>
          <t>Test asserts the defect path fires and the refusal path does not</t>
        </is>
      </c>
      <c r="M38" s="10" t="inlineStr">
        <is>
          <t>C</t>
        </is>
      </c>
      <c r="N38" s="31" t="inlineStr">
        <is>
          <t>tested</t>
        </is>
      </c>
      <c r="O38" s="4" t="inlineStr">
        <is>
          <t>Class-C suite, 7 tests, passing against the real corpus: a held provision returning nothing raises HELD_NOT_FOUND (a defect), an uningested subject returns NOT_HELD (an honest refusal), every intended subject was actually looked at, and act_id collisions are reported rather than silently merged. Required adding a VERSION stamp so the corpus can identify itself (G21).</t>
        </is>
      </c>
      <c r="P38" s="4" t="inlineStr">
        <is>
          <t>nm/tests/c_corpus/test_coverage_defect.py (ran 2026-08-27)</t>
        </is>
      </c>
      <c r="Q38" s="4" t="inlineStr">
        <is>
          <t>2026-08-27</t>
        </is>
      </c>
    </row>
    <row r="39">
      <c r="A39" s="6" t="inlineStr">
        <is>
          <t>I-01</t>
        </is>
      </c>
      <c r="B39" s="14" t="inlineStr">
        <is>
          <t>Phase 1 - Knowledge</t>
        </is>
      </c>
      <c r="C39" s="8" t="inlineStr">
        <is>
          <t>EP-05</t>
        </is>
      </c>
      <c r="D39" s="9" t="inlineStr">
        <is>
          <t>Bare Act ingestion at section granularity</t>
        </is>
      </c>
      <c r="E39" s="8" t="inlineStr">
        <is>
          <t>Knowledge</t>
        </is>
      </c>
      <c r="F39" s="8" t="inlineStr">
        <is>
          <t>-</t>
        </is>
      </c>
      <c r="G39" s="8" t="inlineStr">
        <is>
          <t>5</t>
        </is>
      </c>
      <c r="H39" s="10" t="n">
        <v>8</v>
      </c>
      <c r="I39" s="11" t="inlineStr">
        <is>
          <t>Known</t>
        </is>
      </c>
      <c r="J39" s="8" t="inlineStr">
        <is>
          <t>K-02</t>
        </is>
      </c>
      <c r="K39" s="9" t="inlineStr">
        <is>
          <t>Statutes enter the graph with structure intact</t>
        </is>
      </c>
      <c r="L39" s="9" t="inlineStr">
        <is>
          <t>Sections, subsections, provisos and illustrations are separately addressable</t>
        </is>
      </c>
      <c r="M39" s="10" t="inlineStr">
        <is>
          <t>C</t>
        </is>
      </c>
      <c r="N39" s="31" t="inlineStr">
        <is>
          <t>tested</t>
        </is>
      </c>
      <c r="O39" s="4" t="inlineStr">
        <is>
          <t>nm/knowledge/ingest.py::_real_scopes rewritten (B-59). The Orders were being segmented all along - 106 scopes opened - and the dissolution step threw 105 of them away, because it split by text density at the WIDEST GAP in the sorted densities. The two populations are real (0-15 for the contents listing, 143-1,299 for the code) but the widest gap in the whole set is 394 and sits INSIDE the upper one, between two unusually long Orders, so the split landed at 905. The lesson generalises past this module: the largest gap in a distribution is not the boundary between two populations - it migrates to the sparse tail, and a tail is sparse by definition. Replaced by the fact the document supplies: a code prints Orders I to LI and then starts again at Order I, so a run another run reprints is the listing, and a second signal catches a listing that never restarts (a scope carrying no text at all). A dissolved scope keeps the heads that carry text - the Act's own sections are printed between the listing and the rules, so all of them sit under the last listed Order. Measured on the CPC: 18 Order provisions to 592 across 51 Orders, sections 134 to 146, and Order VII Rule 11 addressable.</t>
        </is>
      </c>
      <c r="P39" s="4" t="inlineStr">
        <is>
          <t>nm/tests/a_logic/test_ingest.py::test_a_reprinted_run_of_orders_is_the_listing_and_the_second_one_is_the_code, ::test_sections_printed_between_the_listing_and_the_code_survive, ::test_an_act_that_genuinely_restarts_its_orders_keeps_both (ran 2026-08-28)</t>
        </is>
      </c>
      <c r="Q39" s="4" t="inlineStr">
        <is>
          <t>2026-08-28</t>
        </is>
      </c>
    </row>
    <row r="40">
      <c r="A40" s="6" t="inlineStr">
        <is>
          <t>I-02</t>
        </is>
      </c>
      <c r="B40" s="14" t="inlineStr">
        <is>
          <t>Phase 1 - Knowledge</t>
        </is>
      </c>
      <c r="C40" s="8" t="inlineStr">
        <is>
          <t>EP-05</t>
        </is>
      </c>
      <c r="D40" s="9" t="inlineStr">
        <is>
          <t>Judgment ingestion with paragraph classification</t>
        </is>
      </c>
      <c r="E40" s="8" t="inlineStr">
        <is>
          <t>Knowledge</t>
        </is>
      </c>
      <c r="F40" s="8" t="inlineStr">
        <is>
          <t>C3</t>
        </is>
      </c>
      <c r="G40" s="8" t="inlineStr">
        <is>
          <t>5</t>
        </is>
      </c>
      <c r="H40" s="10" t="n">
        <v>8</v>
      </c>
      <c r="I40" s="11" t="inlineStr">
        <is>
          <t>Known</t>
        </is>
      </c>
      <c r="J40" s="8" t="inlineStr">
        <is>
          <t>K-01</t>
        </is>
      </c>
      <c r="K40" s="9" t="inlineStr">
        <is>
          <t>Attribution to the court becomes possible</t>
        </is>
      </c>
      <c r="L40" s="9" t="inlineStr">
        <is>
          <t>Every paragraph carries a kind; unclassified is explicit, not absent</t>
        </is>
      </c>
      <c r="M40" s="10" t="inlineStr">
        <is>
          <t>C</t>
        </is>
      </c>
      <c r="N40" s="31" t="inlineStr">
        <is>
          <t>tested</t>
        </is>
      </c>
      <c r="O40" s="4" t="inlineStr">
        <is>
          <t>nm/knowledge/judgments.py::_ascending_run (B-63). A marker's span is evidence about its own paragraph and nothing more. Measured, a 2022 Supreme Court judgment offered the markers 1, 2, 3, 366, 4 - the 366 a citation fragment - and 366's span ran 4,251 characters to the next marker while the true paragraph 4 held 576, so the chain 1,2,3,366 outweighed 1,2,3,4 and 60% of the judgment became one 'paragraph 366' carrying one kind and one attribution. That is a C3 problem, not a tidiness one. A document with five markers has no paragraphs 4 to 365, so a number larger than the count of markers cannot be a paragraph index: it is not rejected, it is simply not paid for the text it swallowed, and where two readings then weigh the same the one whose numbering counts its own paragraphs wins. The cap is deliberately narrow - requiring 1, 2, 3 was tried and one hidden marker truncated whole chains (B-62). Measured over 300 judgments: the final paragraph shrank in 37 and grew in 2, releasing 389,262 characters. Residue: judgments with no numbering at all, where one block is an honest reading.</t>
        </is>
      </c>
      <c r="P40" s="4" t="inlineStr">
        <is>
          <t>nm/tests/a_logic/test_judgments.py::test_a_number_that_cannot_be_a_paragraph_index_is_not_paid_for_what_it_swallowed, ::test_a_sparsely_numbered_judgment_is_not_truncated_by_the_same_rule (ran 2026-08-28)</t>
        </is>
      </c>
      <c r="Q40" s="4" t="inlineStr">
        <is>
          <t>2026-08-28</t>
        </is>
      </c>
    </row>
    <row r="41">
      <c r="A41" s="6" t="inlineStr">
        <is>
          <t>I-03</t>
        </is>
      </c>
      <c r="B41" s="14" t="inlineStr">
        <is>
          <t>Phase 1 - Knowledge</t>
        </is>
      </c>
      <c r="C41" s="8" t="inlineStr">
        <is>
          <t>EP-05</t>
        </is>
      </c>
      <c r="D41" s="9" t="inlineStr">
        <is>
          <t>Ingest Telangana High Court, 2019 onward</t>
        </is>
      </c>
      <c r="E41" s="8" t="inlineStr">
        <is>
          <t>Knowledge</t>
        </is>
      </c>
      <c r="F41" s="8" t="inlineStr">
        <is>
          <t>D3A</t>
        </is>
      </c>
      <c r="G41" s="8" t="inlineStr">
        <is>
          <t>5</t>
        </is>
      </c>
      <c r="H41" s="10" t="n">
        <v>13</v>
      </c>
      <c r="I41" s="13" t="inlineStr">
        <is>
          <t>Unknown until instrumented</t>
        </is>
      </c>
      <c r="J41" s="8" t="inlineStr">
        <is>
          <t>I-02</t>
        </is>
      </c>
      <c r="K41" s="9" t="inlineStr">
        <is>
          <t>The binding court for the jurisdiction stops being absent</t>
        </is>
      </c>
      <c r="L41" s="9" t="inlineStr">
        <is>
          <t>Manifest shows non-zero Telangana HC coverage for 2019 onward</t>
        </is>
      </c>
      <c r="M41" s="10" t="inlineStr">
        <is>
          <t>C</t>
        </is>
      </c>
      <c r="N41" s="8" t="inlineStr">
        <is>
          <t>decided</t>
        </is>
      </c>
    </row>
    <row r="42">
      <c r="A42" s="6" t="inlineStr">
        <is>
          <t>I-04</t>
        </is>
      </c>
      <c r="B42" s="14" t="inlineStr">
        <is>
          <t>Phase 1 - Knowledge</t>
        </is>
      </c>
      <c r="C42" s="8" t="inlineStr">
        <is>
          <t>EP-05</t>
        </is>
      </c>
      <c r="D42" s="9" t="inlineStr">
        <is>
          <t>Classification pass over unclassified paragraphs</t>
        </is>
      </c>
      <c r="E42" s="8" t="inlineStr">
        <is>
          <t>Knowledge</t>
        </is>
      </c>
      <c r="F42" s="8" t="inlineStr">
        <is>
          <t>C3</t>
        </is>
      </c>
      <c r="G42" s="8" t="inlineStr">
        <is>
          <t>5</t>
        </is>
      </c>
      <c r="H42" s="10" t="n">
        <v>8</v>
      </c>
      <c r="I42" s="12" t="inlineStr">
        <is>
          <t>Needs measurement</t>
        </is>
      </c>
      <c r="J42" s="8" t="inlineStr">
        <is>
          <t>I-02</t>
        </is>
      </c>
      <c r="K42" s="9" t="inlineStr">
        <is>
          <t>A quarter of the case corpus moves from unusable to attributable</t>
        </is>
      </c>
      <c r="L42" s="9" t="inlineStr">
        <is>
          <t>Unknown share is reported after the pass; residue keeps the interim rule</t>
        </is>
      </c>
      <c r="M42" s="10" t="inlineStr">
        <is>
          <t>C</t>
        </is>
      </c>
      <c r="N42" s="15" t="inlineStr">
        <is>
          <t>built</t>
        </is>
      </c>
      <c r="O42" s="4" t="inlineStr">
        <is>
          <t>nm/knowledge/classify.py - the pass's plan and result type. A low-confidence reading stays UNKNOWN, and a residue of zero is treated as a DEFECT signal rather than a win. Cost measured on a spread sample and scaled: ~250,398 unclassified paragraphs, ~114.5M input tokens. Not run - E5 requires approval.</t>
        </is>
      </c>
      <c r="P42" s="4" t="inlineStr">
        <is>
          <t>nm/tests/a_logic/test_classify.py (8 class-A rules) (ran 2026-08-27)</t>
        </is>
      </c>
      <c r="Q42" s="4" t="inlineStr">
        <is>
          <t>2026-08-27</t>
        </is>
      </c>
    </row>
    <row r="43">
      <c r="A43" s="6" t="inlineStr">
        <is>
          <t>I-05</t>
        </is>
      </c>
      <c r="B43" s="14" t="inlineStr">
        <is>
          <t>Phase 1 - Knowledge</t>
        </is>
      </c>
      <c r="C43" s="8" t="inlineStr">
        <is>
          <t>EP-05</t>
        </is>
      </c>
      <c r="D43" s="9" t="inlineStr">
        <is>
          <t>Era metadata: commencement and repeal dates on ingest</t>
        </is>
      </c>
      <c r="E43" s="8" t="inlineStr">
        <is>
          <t>Knowledge</t>
        </is>
      </c>
      <c r="F43" s="8" t="inlineStr">
        <is>
          <t>D3B,G1</t>
        </is>
      </c>
      <c r="G43" s="8" t="inlineStr">
        <is>
          <t>5</t>
        </is>
      </c>
      <c r="H43" s="10" t="n">
        <v>5</v>
      </c>
      <c r="I43" s="11" t="inlineStr">
        <is>
          <t>Known</t>
        </is>
      </c>
      <c r="J43" s="8" t="inlineStr">
        <is>
          <t>K-02</t>
        </is>
      </c>
      <c r="K43" s="9" t="inlineStr">
        <is>
          <t>Point-in-time resolution gets its inputs</t>
        </is>
      </c>
      <c r="L43" s="9" t="inlineStr">
        <is>
          <t>Every ingested provision carries commencement and, where applicable, repeal</t>
        </is>
      </c>
      <c r="M43" s="10" t="inlineStr">
        <is>
          <t>C</t>
        </is>
      </c>
      <c r="N43" s="31" t="inlineStr">
        <is>
          <t>tested</t>
        </is>
      </c>
      <c r="O43" s="4" t="inlineStr">
        <is>
          <t>nm/knowledge/sources.py - an Act is named by what it STATES, not by what it is filed as (B-60, B-42). A filename is a lossy rendering of a title: the filesystem cannot hold a slash, so `Municipal Councils/Nagar Panchayats` is filed as `CouncilsNagar` and keys to a different subject. Measured, 60 of 1,655 raw files carry a filename naming a different Act than the document does - sixty times what the defect recorded - and one of them took its name from a definition clause forty lines into the text. The title is read STRUCTURALLY, as the line above the instrument-number line where both scrape templates put it, rather than by pattern: the worst-keyed Act ends in a bare year and matches no reasonable title regex, and it is exactly the file whose name came from a definition clause. 1,613 of 1,655 state a title; the remaining 42 keep the filename and say so, so no subject is silently keyed on the weaker source. Zero-width encoding artefacts are stripped wherever a raw value is read: a byte-order mark is invisible, so two titles differing only by one look identical and compare unequal.</t>
        </is>
      </c>
      <c r="P43" s="4" t="inlineStr">
        <is>
          <t>nm/tests/a_logic/test_sources_title.py (6 tests); nm/tests/c_corpus/test_source_titles.py::test_the_act_named_from_a_definition_clause_is_keyed_on_its_real_title (ran 2026-08-28)</t>
        </is>
      </c>
      <c r="Q43" s="4" t="inlineStr">
        <is>
          <t>2026-08-28</t>
        </is>
      </c>
    </row>
    <row r="44">
      <c r="A44" s="6" t="inlineStr">
        <is>
          <t>I-06</t>
        </is>
      </c>
      <c r="B44" s="14" t="inlineStr">
        <is>
          <t>Phase 1 - Knowledge</t>
        </is>
      </c>
      <c r="C44" s="8" t="inlineStr">
        <is>
          <t>EP-05</t>
        </is>
      </c>
      <c r="D44" s="9" t="inlineStr">
        <is>
          <t>Idempotent ingest with deduplication</t>
        </is>
      </c>
      <c r="E44" s="8" t="inlineStr">
        <is>
          <t>Knowledge</t>
        </is>
      </c>
      <c r="F44" s="8" t="inlineStr">
        <is>
          <t>-</t>
        </is>
      </c>
      <c r="G44" s="8" t="inlineStr">
        <is>
          <t>5</t>
        </is>
      </c>
      <c r="H44" s="10" t="n">
        <v>5</v>
      </c>
      <c r="I44" s="11" t="inlineStr">
        <is>
          <t>Known</t>
        </is>
      </c>
      <c r="J44" s="8" t="inlineStr">
        <is>
          <t>I-01</t>
        </is>
      </c>
      <c r="K44" s="9" t="inlineStr">
        <is>
          <t>Re-ingestion stops silently duplicating the corpus</t>
        </is>
      </c>
      <c r="L44" s="9" t="inlineStr">
        <is>
          <t>Re-running ingestion over the same source changes nothing</t>
        </is>
      </c>
      <c r="M44" s="10" t="inlineStr">
        <is>
          <t>C</t>
        </is>
      </c>
      <c r="N44" s="31" t="inlineStr">
        <is>
          <t>tested</t>
        </is>
      </c>
      <c r="O44" s="4" t="inlineStr">
        <is>
          <t>Ingestion is a pure fold over a sorted input, so re-running cannot duplicate: verified identical across two runs. Deduplication resolves 16,956 ids claimed by more than one provision - a section printing a second lettered list, and two files keying to one subject - by keeping the fuller text, which is the union-preserving choice measured in subject.py. Every discarded copy is reported.</t>
        </is>
      </c>
      <c r="P44" s="4" t="inlineStr">
        <is>
          <t>test_ingest_corpus.py::test_re_running_ingestion_over_the_same_source_changes_nothing (ran 2026-08-27)</t>
        </is>
      </c>
      <c r="Q44" s="4" t="inlineStr">
        <is>
          <t>2026-08-27</t>
        </is>
      </c>
    </row>
    <row r="45">
      <c r="A45" s="6" t="inlineStr">
        <is>
          <t>I-07</t>
        </is>
      </c>
      <c r="B45" s="14" t="inlineStr">
        <is>
          <t>Phase 1 - Knowledge</t>
        </is>
      </c>
      <c r="C45" s="8" t="inlineStr">
        <is>
          <t>EP-05</t>
        </is>
      </c>
      <c r="D45" s="9" t="inlineStr">
        <is>
          <t>Artefact identity stamping on every derived store</t>
        </is>
      </c>
      <c r="E45" s="8" t="inlineStr">
        <is>
          <t>Knowledge</t>
        </is>
      </c>
      <c r="F45" s="8" t="inlineStr">
        <is>
          <t>G21</t>
        </is>
      </c>
      <c r="G45" s="8" t="inlineStr">
        <is>
          <t>10.4</t>
        </is>
      </c>
      <c r="H45" s="10" t="n">
        <v>3</v>
      </c>
      <c r="I45" s="11" t="inlineStr">
        <is>
          <t>Known</t>
        </is>
      </c>
      <c r="J45" s="8" t="inlineStr">
        <is>
          <t>I-06</t>
        </is>
      </c>
      <c r="K45" s="9" t="inlineStr">
        <is>
          <t>Staleness becomes detectable across all derived artefacts</t>
        </is>
      </c>
      <c r="L45" s="9" t="inlineStr">
        <is>
          <t>Every index, store and summary records what it was built from</t>
        </is>
      </c>
      <c r="M45" s="10" t="inlineStr">
        <is>
          <t>C</t>
        </is>
      </c>
      <c r="N45" s="31" t="inlineStr">
        <is>
          <t>tested</t>
        </is>
      </c>
      <c r="O45" s="4" t="inlineStr">
        <is>
          <t>nm/knowledge/artefact.py - one owner for G21. An artefact cannot be constructed without naming its inputs, and the builder is part of the identity so a store rebuilt by a changed prompt is a different artefact even when every input byte matches. Generalises the rule that previously existed separately on the graph and the manifest.</t>
        </is>
      </c>
      <c r="P45" s="4" t="inlineStr">
        <is>
          <t>nm/tests/a_logic/test_artefact.py (9 class-A rules) (ran 2026-08-27)</t>
        </is>
      </c>
      <c r="Q45" s="4" t="inlineStr">
        <is>
          <t>2026-08-27</t>
        </is>
      </c>
    </row>
    <row r="46">
      <c r="A46" s="6" t="inlineStr">
        <is>
          <t>I-08</t>
        </is>
      </c>
      <c r="B46" s="14" t="inlineStr">
        <is>
          <t>Phase 1 - Knowledge</t>
        </is>
      </c>
      <c r="C46" s="8" t="inlineStr">
        <is>
          <t>EP-05</t>
        </is>
      </c>
      <c r="D46" s="9" t="inlineStr">
        <is>
          <t>Stale-artefact refusal</t>
        </is>
      </c>
      <c r="E46" s="8" t="inlineStr">
        <is>
          <t>Knowledge</t>
        </is>
      </c>
      <c r="F46" s="8" t="inlineStr">
        <is>
          <t>G21</t>
        </is>
      </c>
      <c r="G46" s="8" t="inlineStr">
        <is>
          <t>10.4</t>
        </is>
      </c>
      <c r="H46" s="10" t="n">
        <v>3</v>
      </c>
      <c r="I46" s="11" t="inlineStr">
        <is>
          <t>Known</t>
        </is>
      </c>
      <c r="J46" s="8" t="inlineStr">
        <is>
          <t>I-07</t>
        </is>
      </c>
      <c r="K46" s="9" t="inlineStr">
        <is>
          <t>A stale index stops serving old results silently</t>
        </is>
      </c>
      <c r="L46" s="9" t="inlineStr">
        <is>
          <t>An artefact older than its source is refused, not used</t>
        </is>
      </c>
      <c r="M46" s="10" t="inlineStr">
        <is>
          <t>C</t>
        </is>
      </c>
      <c r="N46" s="31" t="inlineStr">
        <is>
          <t>tested</t>
        </is>
      </c>
      <c r="O46" s="4" t="inlineStr">
        <is>
          <t>Identity.require_current refuses rather than warns, and the refusal names what changed, what vanished and what is present but was not built from. Bounded so an artefact is judged only against the inputs it declared - an index over the Acts is not refused because the case store moved.</t>
        </is>
      </c>
      <c r="P46" s="4" t="inlineStr">
        <is>
          <t>nm/tests/a_logic/test_artefact.py::test_an_artefact_whose_source_changed_is_refused_not_warned_about and peers (ran 2026-08-27)</t>
        </is>
      </c>
      <c r="Q46" s="4" t="inlineStr">
        <is>
          <t>2026-08-27</t>
        </is>
      </c>
    </row>
    <row r="47">
      <c r="A47" s="34" t="inlineStr">
        <is>
          <t>I-09</t>
        </is>
      </c>
      <c r="B47" s="40" t="inlineStr">
        <is>
          <t>Phase 1 - Knowledge</t>
        </is>
      </c>
      <c r="C47" s="35" t="inlineStr">
        <is>
          <t>EP-05</t>
        </is>
      </c>
      <c r="D47" s="4" t="inlineStr">
        <is>
          <t>Close the thinly-ingested Acts, intended subjects first</t>
        </is>
      </c>
      <c r="E47" s="35" t="inlineStr">
        <is>
          <t>Knowledge</t>
        </is>
      </c>
      <c r="F47" s="35" t="inlineStr">
        <is>
          <t>D5A,M4,D4</t>
        </is>
      </c>
      <c r="G47" s="35" t="inlineStr">
        <is>
          <t>10.4</t>
        </is>
      </c>
      <c r="H47" s="30" t="n">
        <v>13</v>
      </c>
      <c r="I47" s="41" t="inlineStr">
        <is>
          <t>Needs measurement</t>
        </is>
      </c>
      <c r="J47" s="35" t="inlineStr">
        <is>
          <t>I-01,M-03</t>
        </is>
      </c>
      <c r="K47" s="4" t="inlineStr">
        <is>
          <t>Coverage claims become true at section granularity, so a refusal is honest and a gap is nameable</t>
        </is>
      </c>
      <c r="L47" s="4" t="inlineStr">
        <is>
          <t>No manifest subject reports sections absent below the highest it holds; the residue is disclosed with a reason per Act rather than counted</t>
        </is>
      </c>
      <c r="M47" s="30" t="inlineStr">
        <is>
          <t>C</t>
        </is>
      </c>
      <c r="N47" s="45" t="inlineStr">
        <is>
          <t>tested</t>
        </is>
      </c>
      <c r="O47" s="4" t="inlineStr">
        <is>
          <t>nm/knowledge/gaps.py - per-Act disclosure joining numbering holes to the refusal records ingestion writes, so a hole carries the reason it exists instead of being counted. Over 1,641 Acts: 1,479 contiguous, 162 with something absent, 205 holes carrying a reason and 144 honest residue. Intended manifest subjects lead the backlog whatever their hole counts.</t>
        </is>
      </c>
      <c r="P47" s="4" t="inlineStr">
        <is>
          <t>nm/tests/a_logic/test_gaps.py (7 class-A rules) (ran 2026-08-27)</t>
        </is>
      </c>
      <c r="Q47" s="4" t="inlineStr">
        <is>
          <t>2026-08-27</t>
        </is>
      </c>
    </row>
    <row r="48">
      <c r="A48" s="34" t="inlineStr">
        <is>
          <t>I-10</t>
        </is>
      </c>
      <c r="B48" s="40" t="inlineStr">
        <is>
          <t>Phase 1 - Knowledge</t>
        </is>
      </c>
      <c r="C48" s="35" t="inlineStr">
        <is>
          <t>EP-05</t>
        </is>
      </c>
      <c r="D48" s="4" t="inlineStr">
        <is>
          <t>Section identifiers parsed as identifiers, not as any number on the line</t>
        </is>
      </c>
      <c r="E48" s="35" t="inlineStr">
        <is>
          <t>Knowledge</t>
        </is>
      </c>
      <c r="F48" s="35" t="inlineStr">
        <is>
          <t>D5A,G1</t>
        </is>
      </c>
      <c r="G48" s="35" t="inlineStr">
        <is>
          <t>7</t>
        </is>
      </c>
      <c r="H48" s="30" t="n">
        <v>5</v>
      </c>
      <c r="I48" s="41" t="inlineStr">
        <is>
          <t>Known</t>
        </is>
      </c>
      <c r="J48" s="35" t="inlineStr">
        <is>
          <t>I-01</t>
        </is>
      </c>
      <c r="K48" s="4" t="inlineStr">
        <is>
          <t>A provision id addresses the provision; numbering integrity becomes a usable coverage signal instead of noise</t>
        </is>
      </c>
      <c r="L48" s="4" t="inlineStr">
        <is>
          <t>No Act has a numbering gap wider than the count of sections it holds; a number that cannot be parsed as an identifier fails ingestion rather than being stored</t>
        </is>
      </c>
      <c r="M48" s="30" t="inlineStr">
        <is>
          <t>C</t>
        </is>
      </c>
      <c r="N48" s="45" t="inlineStr">
        <is>
          <t>tested</t>
        </is>
      </c>
      <c r="O48" s="4" t="inlineStr">
        <is>
          <t>Section identifiers are parsed as identifiers: a candidate opening a gap out of scale with the numbering the Act itself holds is refused with its reason and locator, never stored. Acts carrying an out-of-scale gap fell from 312 to 23, and the residue is Acts holding fewer than three identifiers, where no outlier test has a spread to work with. 174 identifiers refused across the tree.</t>
        </is>
      </c>
      <c r="P48" s="4" t="inlineStr">
        <is>
          <t>test_ingest.py::test_an_identifier_the_acts_own_numbering_cannot_hold_is_refused; test_ingest_corpus.py::test_no_act_holds_a_numbering_gap_wider_than_its_own_section_count (ran 2026-08-27)</t>
        </is>
      </c>
      <c r="Q48" s="4" t="inlineStr">
        <is>
          <t>2026-08-27</t>
        </is>
      </c>
    </row>
    <row r="49">
      <c r="A49" s="6" t="inlineStr">
        <is>
          <t>X-01</t>
        </is>
      </c>
      <c r="B49" s="14" t="inlineStr">
        <is>
          <t>Phase 1 - Knowledge</t>
        </is>
      </c>
      <c r="C49" s="8" t="inlineStr">
        <is>
          <t>EP-06</t>
        </is>
      </c>
      <c r="D49" s="9" t="inlineStr">
        <is>
          <t>Lexical index build</t>
        </is>
      </c>
      <c r="E49" s="8" t="inlineStr">
        <is>
          <t>Knowledge</t>
        </is>
      </c>
      <c r="F49" s="8" t="inlineStr">
        <is>
          <t>G3</t>
        </is>
      </c>
      <c r="G49" s="8" t="inlineStr">
        <is>
          <t>5</t>
        </is>
      </c>
      <c r="H49" s="10" t="n">
        <v>5</v>
      </c>
      <c r="I49" s="11" t="inlineStr">
        <is>
          <t>Known</t>
        </is>
      </c>
      <c r="J49" s="8" t="inlineStr">
        <is>
          <t>I-01</t>
        </is>
      </c>
      <c r="K49" s="9" t="inlineStr">
        <is>
          <t>Exact matching on section numbers and defined terms</t>
        </is>
      </c>
      <c r="L49" s="9" t="inlineStr">
        <is>
          <t>Index built, versioned and reconciled against source counts</t>
        </is>
      </c>
      <c r="M49" s="10" t="inlineStr">
        <is>
          <t>C</t>
        </is>
      </c>
      <c r="N49" s="31" t="inlineStr">
        <is>
          <t>tested</t>
        </is>
      </c>
      <c r="O49" s="4" t="inlineStr">
        <is>
          <t>nm/knowledge/index.py - BM25 over 291,359 provisions, 48,110 terms, built in 8s and reconciled against its source count. An unseen term contributes nothing rather than a penalty. Article 59 now ranks FIRST for 'cancel or set aside an instrument' - the provision measured at rank 53 of 60 in the original defect.</t>
        </is>
      </c>
      <c r="P49" s="4" t="inlineStr">
        <is>
          <t>nm/tests/a_logic/test_index.py (9 class-A rules) (ran 2026-08-27)</t>
        </is>
      </c>
      <c r="Q49" s="4" t="inlineStr">
        <is>
          <t>2026-08-27</t>
        </is>
      </c>
    </row>
    <row r="50">
      <c r="A50" s="6" t="inlineStr">
        <is>
          <t>X-02</t>
        </is>
      </c>
      <c r="B50" s="14" t="inlineStr">
        <is>
          <t>Phase 1 - Knowledge</t>
        </is>
      </c>
      <c r="C50" s="8" t="inlineStr">
        <is>
          <t>EP-06</t>
        </is>
      </c>
      <c r="D50" s="9" t="inlineStr">
        <is>
          <t>Dense index build</t>
        </is>
      </c>
      <c r="E50" s="8" t="inlineStr">
        <is>
          <t>Knowledge</t>
        </is>
      </c>
      <c r="F50" s="8" t="inlineStr">
        <is>
          <t>G3</t>
        </is>
      </c>
      <c r="G50" s="8" t="inlineStr">
        <is>
          <t>5</t>
        </is>
      </c>
      <c r="H50" s="10" t="n">
        <v>5</v>
      </c>
      <c r="I50" s="11" t="inlineStr">
        <is>
          <t>Known</t>
        </is>
      </c>
      <c r="J50" s="8" t="inlineStr">
        <is>
          <t>I-01</t>
        </is>
      </c>
      <c r="K50" s="9" t="inlineStr">
        <is>
          <t>Paraphrase matching</t>
        </is>
      </c>
      <c r="L50" s="9" t="inlineStr">
        <is>
          <t>Index built, versioned and reconciled</t>
        </is>
      </c>
      <c r="M50" s="10" t="inlineStr">
        <is>
          <t>C</t>
        </is>
      </c>
      <c r="N50" s="31" t="inlineStr">
        <is>
          <t>tested</t>
        </is>
      </c>
      <c r="O50" s="4" t="inlineStr">
        <is>
          <t>nm/knowledge/embed.py - dense index built on GPU: 284,447 provisions embedded with all-MiniLM-L6-v2 in 509s, 384 dimensions, stamped with an Identity whose builder carries the model so a store built by a different checkpoint is refused rather than blended. Skips 995 provisions with no text and 5,917 too short to carry meaning. hybrid() fuses lexical and dense on RANK (RRF), not on score - measured, BM25 runs 20-34 and cosine 0-1, so adding them let the lexical leg swamp the dense one entirely. Fusion decides order and never membership: the lexical tail is appended below the fused head.</t>
        </is>
      </c>
      <c r="P50" s="4" t="inlineStr">
        <is>
          <t>nm/tests/a_logic/test_index.py (12 class-A rules incl. dense counting, encoder refusal, fusion membership) (ran 2026-08-27)</t>
        </is>
      </c>
      <c r="Q50" s="4" t="inlineStr">
        <is>
          <t>2026-08-27</t>
        </is>
      </c>
    </row>
    <row r="51">
      <c r="A51" s="6" t="inlineStr">
        <is>
          <t>X-03</t>
        </is>
      </c>
      <c r="B51" s="14" t="inlineStr">
        <is>
          <t>Phase 1 - Knowledge</t>
        </is>
      </c>
      <c r="C51" s="8" t="inlineStr">
        <is>
          <t>EP-06</t>
        </is>
      </c>
      <c r="D51" s="9" t="inlineStr">
        <is>
          <t>Section-level summaries</t>
        </is>
      </c>
      <c r="E51" s="8" t="inlineStr">
        <is>
          <t>Knowledge</t>
        </is>
      </c>
      <c r="F51" s="8" t="inlineStr">
        <is>
          <t>G20</t>
        </is>
      </c>
      <c r="G51" s="8" t="inlineStr">
        <is>
          <t>5</t>
        </is>
      </c>
      <c r="H51" s="10" t="n">
        <v>8</v>
      </c>
      <c r="I51" s="11" t="inlineStr">
        <is>
          <t>Known</t>
        </is>
      </c>
      <c r="J51" s="8" t="inlineStr">
        <is>
          <t>I-01</t>
        </is>
      </c>
      <c r="K51" s="9" t="inlineStr">
        <is>
          <t>The missing middle granularity</t>
        </is>
      </c>
      <c r="L51" s="9" t="inlineStr">
        <is>
          <t>Every section has a summary carrying its source identity</t>
        </is>
      </c>
      <c r="M51" s="10" t="inlineStr">
        <is>
          <t>C</t>
        </is>
      </c>
      <c r="N51" s="15" t="inlineStr">
        <is>
          <t>built</t>
        </is>
      </c>
      <c r="O51" s="4" t="inlineStr">
        <is>
          <t>nm/knowledge/summaries.py - Summary type carrying its source digest, section-level per G20. Cost measured and proposed, not initiated: 67,315 sections, ~17.2M input tokens on the cheap model. No summaries generated - E5 requires a bulk run to be approved.</t>
        </is>
      </c>
      <c r="P51" s="4" t="inlineStr">
        <is>
          <t>nm/tests/a_logic/test_summaries.py (11 class-A rules) (ran 2026-08-27)</t>
        </is>
      </c>
      <c r="Q51" s="4" t="inlineStr">
        <is>
          <t>2026-08-27</t>
        </is>
      </c>
    </row>
    <row r="52">
      <c r="A52" s="6" t="inlineStr">
        <is>
          <t>X-04</t>
        </is>
      </c>
      <c r="B52" s="14" t="inlineStr">
        <is>
          <t>Phase 1 - Knowledge</t>
        </is>
      </c>
      <c r="C52" s="8" t="inlineStr">
        <is>
          <t>EP-06</t>
        </is>
      </c>
      <c r="D52" s="9" t="inlineStr">
        <is>
          <t>Holding summaries: what a judgment decided, on what facts</t>
        </is>
      </c>
      <c r="E52" s="8" t="inlineStr">
        <is>
          <t>Knowledge</t>
        </is>
      </c>
      <c r="F52" s="8" t="inlineStr">
        <is>
          <t>G19</t>
        </is>
      </c>
      <c r="G52" s="8" t="inlineStr">
        <is>
          <t>5</t>
        </is>
      </c>
      <c r="H52" s="10" t="n">
        <v>13</v>
      </c>
      <c r="I52" s="13" t="inlineStr">
        <is>
          <t>Unknown until instrumented</t>
        </is>
      </c>
      <c r="J52" s="8" t="inlineStr">
        <is>
          <t>I-02</t>
        </is>
      </c>
      <c r="K52" s="9" t="inlineStr">
        <is>
          <t>On-point-ness gets a representation, so weight stops winning by default</t>
        </is>
      </c>
      <c r="L52" s="9" t="inlineStr">
        <is>
          <t>Every judgment has a holding summary distinct from its subject summary</t>
        </is>
      </c>
      <c r="M52" s="10" t="inlineStr">
        <is>
          <t>C</t>
        </is>
      </c>
      <c r="N52" s="15" t="inlineStr">
        <is>
          <t>built</t>
        </is>
      </c>
      <c r="O52" s="4" t="inlineStr">
        <is>
          <t>Holding summaries are a separate TYPE from subject summaries so one cannot stand for the other - a system holding only subject summaries has no representation of on-point-ness and citation weight wins by default. Cost measured on a spread sample and scaled: ~30,236 judgments, ~210M input tokens. Not run.</t>
        </is>
      </c>
      <c r="P52" s="4" t="inlineStr">
        <is>
          <t>nm/tests/a_logic/test_summaries.py::test_the_two_kinds_are_separate_types_so_one_cannot_stand_for_the_other (ran 2026-08-27)</t>
        </is>
      </c>
      <c r="Q52" s="4" t="inlineStr">
        <is>
          <t>2026-08-27</t>
        </is>
      </c>
    </row>
    <row r="53">
      <c r="A53" s="6" t="inlineStr">
        <is>
          <t>X-05</t>
        </is>
      </c>
      <c r="B53" s="14" t="inlineStr">
        <is>
          <t>Phase 1 - Knowledge</t>
        </is>
      </c>
      <c r="C53" s="8" t="inlineStr">
        <is>
          <t>EP-06</t>
        </is>
      </c>
      <c r="D53" s="9" t="inlineStr">
        <is>
          <t>Summary provenance and staleness refusal</t>
        </is>
      </c>
      <c r="E53" s="8" t="inlineStr">
        <is>
          <t>Knowledge</t>
        </is>
      </c>
      <c r="F53" s="8" t="inlineStr">
        <is>
          <t>G21</t>
        </is>
      </c>
      <c r="G53" s="8" t="inlineStr">
        <is>
          <t>10.4</t>
        </is>
      </c>
      <c r="H53" s="10" t="n">
        <v>3</v>
      </c>
      <c r="I53" s="11" t="inlineStr">
        <is>
          <t>Known</t>
        </is>
      </c>
      <c r="J53" s="8" t="inlineStr">
        <is>
          <t>X-03,I-08</t>
        </is>
      </c>
      <c r="K53" s="9" t="inlineStr">
        <is>
          <t>A fluent stale summary stops being invisible</t>
        </is>
      </c>
      <c r="L53" s="9" t="inlineStr">
        <is>
          <t>A summary whose source changed is refused until regenerated</t>
        </is>
      </c>
      <c r="M53" s="10" t="inlineStr">
        <is>
          <t>C</t>
        </is>
      </c>
      <c r="N53" s="31" t="inlineStr">
        <is>
          <t>tested</t>
        </is>
      </c>
      <c r="O53" s="4" t="inlineStr">
        <is>
          <t>A summary carries the digest of the exact provision text it was written from and is refused when that text changes - finer than store-level identity, because a summary goes stale one provision at a time. Staleness is reported per summary so one amended section costs one summary rather than the store.</t>
        </is>
      </c>
      <c r="P53" s="4" t="inlineStr">
        <is>
          <t>nm/tests/a_logic/test_summaries.py::test_a_summary_whose_source_changed_is_refused and peers (ran 2026-08-27)</t>
        </is>
      </c>
      <c r="Q53" s="4" t="inlineStr">
        <is>
          <t>2026-08-27</t>
        </is>
      </c>
    </row>
    <row r="54">
      <c r="A54" s="6" t="inlineStr">
        <is>
          <t>X-06</t>
        </is>
      </c>
      <c r="B54" s="14" t="inlineStr">
        <is>
          <t>Phase 1 - Knowledge</t>
        </is>
      </c>
      <c r="C54" s="8" t="inlineStr">
        <is>
          <t>EP-06</t>
        </is>
      </c>
      <c r="D54" s="9" t="inlineStr">
        <is>
          <t>Guard: no citation may resolve to a summary</t>
        </is>
      </c>
      <c r="E54" s="8" t="inlineStr">
        <is>
          <t>Eval</t>
        </is>
      </c>
      <c r="F54" s="8" t="inlineStr">
        <is>
          <t>G18</t>
        </is>
      </c>
      <c r="G54" s="8" t="inlineStr">
        <is>
          <t>10.2</t>
        </is>
      </c>
      <c r="H54" s="10" t="n">
        <v>2</v>
      </c>
      <c r="I54" s="11" t="inlineStr">
        <is>
          <t>Known</t>
        </is>
      </c>
      <c r="J54" s="8" t="inlineStr">
        <is>
          <t>V-01</t>
        </is>
      </c>
      <c r="K54" s="9" t="inlineStr">
        <is>
          <t>Inference-dressed-as-citation becomes unconstructable</t>
        </is>
      </c>
      <c r="L54" s="9" t="inlineStr">
        <is>
          <t>A Finding whose span resolves to a summary fails construction</t>
        </is>
      </c>
      <c r="M54" s="10" t="inlineStr">
        <is>
          <t>B</t>
        </is>
      </c>
      <c r="N54" s="31" t="inlineStr">
        <is>
          <t>tested</t>
        </is>
      </c>
      <c r="O54" s="4" t="inlineStr">
        <is>
          <t>Enforced at Finding construction: from_summary raises, so a summary cannot become a citation however it is passed around. Summary deliberately exposes no attribute named span, so a caller reaching for one cannot silently receive a paraphrase.</t>
        </is>
      </c>
      <c r="P54" s="4" t="inlineStr">
        <is>
          <t>nm/tests/a_logic/test_summaries.py::test_a_finding_whose_span_came_from_a_summary_cannot_be_constructed (ran 2026-08-27)</t>
        </is>
      </c>
      <c r="Q54" s="4" t="inlineStr">
        <is>
          <t>2026-08-27</t>
        </is>
      </c>
    </row>
    <row r="55">
      <c r="A55" s="6" t="inlineStr">
        <is>
          <t>C-01</t>
        </is>
      </c>
      <c r="B55" s="14" t="inlineStr">
        <is>
          <t>Phase 1 - Knowledge</t>
        </is>
      </c>
      <c r="C55" s="8" t="inlineStr">
        <is>
          <t>EP-07</t>
        </is>
      </c>
      <c r="D55" s="9" t="inlineStr">
        <is>
          <t>Citation candidate extraction from structure, with measured recall</t>
        </is>
      </c>
      <c r="E55" s="8" t="inlineStr">
        <is>
          <t>Knowledge</t>
        </is>
      </c>
      <c r="F55" s="8" t="inlineStr">
        <is>
          <t>C5A</t>
        </is>
      </c>
      <c r="G55" s="8" t="inlineStr">
        <is>
          <t>G12</t>
        </is>
      </c>
      <c r="H55" s="10" t="n">
        <v>8</v>
      </c>
      <c r="I55" s="13" t="inlineStr">
        <is>
          <t>Unknown until instrumented</t>
        </is>
      </c>
      <c r="J55" s="8" t="inlineStr">
        <is>
          <t>I-02</t>
        </is>
      </c>
      <c r="K55" s="9" t="inlineStr">
        <is>
          <t>The recall net stops being an assumed quantity</t>
        </is>
      </c>
      <c r="L55" s="9" t="inlineStr">
        <is>
          <t>Recall measured against a hand-vetted sample before the extractor is trusted</t>
        </is>
      </c>
      <c r="M55" s="10" t="inlineStr">
        <is>
          <t>C</t>
        </is>
      </c>
      <c r="N55" s="31" t="inlineStr">
        <is>
          <t>tested</t>
        </is>
      </c>
      <c r="O55" s="4" t="inlineStr">
        <is>
          <t>nm/knowledge/citations.py - a vocabulary-free candidate net: any paragraph naming a cited case is a candidate. Measured on 1,500 judgments / 15,834 paragraphs: 21.1% name a cited case, against the 19.3% explicit-form floor and the 1.5% cited_cases field that misses nine in ten. Short forms ('(supra)', 'the said judgment') add 3,418 mentions and are reported separately so the net's own hole stays visible.</t>
        </is>
      </c>
      <c r="P55" s="4" t="inlineStr">
        <is>
          <t>nm/tests/a_logic/test_citations.py (C-01 rules) (ran 2026-08-27)</t>
        </is>
      </c>
      <c r="Q55" s="4" t="inlineStr">
        <is>
          <t>2026-08-27</t>
        </is>
      </c>
    </row>
    <row r="56">
      <c r="A56" s="6" t="inlineStr">
        <is>
          <t>C-02</t>
        </is>
      </c>
      <c r="B56" s="14" t="inlineStr">
        <is>
          <t>Phase 1 - Knowledge</t>
        </is>
      </c>
      <c r="C56" s="8" t="inlineStr">
        <is>
          <t>EP-07</t>
        </is>
      </c>
      <c r="D56" s="9" t="inlineStr">
        <is>
          <t>Treatment reading pass: relation, scope, span, confidence</t>
        </is>
      </c>
      <c r="E56" s="8" t="inlineStr">
        <is>
          <t>Knowledge</t>
        </is>
      </c>
      <c r="F56" s="8" t="inlineStr">
        <is>
          <t>C5A</t>
        </is>
      </c>
      <c r="G56" s="8" t="inlineStr">
        <is>
          <t>G12</t>
        </is>
      </c>
      <c r="H56" s="10" t="n">
        <v>13</v>
      </c>
      <c r="I56" s="12" t="inlineStr">
        <is>
          <t>Needs measurement</t>
        </is>
      </c>
      <c r="J56" s="8" t="inlineStr">
        <is>
          <t>C-01</t>
        </is>
      </c>
      <c r="K56" s="9" t="inlineStr">
        <is>
          <t>Treatment stops depending on a phrase list that can never be complete</t>
        </is>
      </c>
      <c r="L56" s="9" t="inlineStr">
        <is>
          <t>A phrasing absent from any word list still classifies correctly</t>
        </is>
      </c>
      <c r="M56" s="10" t="inlineStr">
        <is>
          <t>C</t>
        </is>
      </c>
      <c r="N56" s="15" t="inlineStr">
        <is>
          <t>built</t>
        </is>
      </c>
      <c r="O56" s="4" t="inlineStr">
        <is>
          <t>TreatmentReading is the typed result of the reading pass, refusing construction without both a verbatim span and a scope. The pass itself is not run: E5 requires a bulk model run to be proposed and approved. Everything downstream - the edge, the flag, the measurement - is written and tested against the type before a single model call is authorised.</t>
        </is>
      </c>
      <c r="P56" s="4" t="inlineStr">
        <is>
          <t>nm/tests/a_logic/test_citations.py::test_a_treatment_without_its_scope_is_refused (ran 2026-08-27)</t>
        </is>
      </c>
      <c r="Q56" s="4" t="inlineStr">
        <is>
          <t>2026-08-27</t>
        </is>
      </c>
    </row>
    <row r="57">
      <c r="A57" s="6" t="inlineStr">
        <is>
          <t>C-03</t>
        </is>
      </c>
      <c r="B57" s="14" t="inlineStr">
        <is>
          <t>Phase 1 - Knowledge</t>
        </is>
      </c>
      <c r="C57" s="8" t="inlineStr">
        <is>
          <t>EP-07</t>
        </is>
      </c>
      <c r="D57" s="9" t="inlineStr">
        <is>
          <t>Treatment as a scoped edge on (citing, cited, proposition)</t>
        </is>
      </c>
      <c r="E57" s="8" t="inlineStr">
        <is>
          <t>Knowledge</t>
        </is>
      </c>
      <c r="F57" s="8" t="inlineStr">
        <is>
          <t>C5B</t>
        </is>
      </c>
      <c r="G57" s="8" t="inlineStr">
        <is>
          <t>7.10</t>
        </is>
      </c>
      <c r="H57" s="10" t="n">
        <v>3</v>
      </c>
      <c r="I57" s="11" t="inlineStr">
        <is>
          <t>Known</t>
        </is>
      </c>
      <c r="J57" s="8" t="inlineStr">
        <is>
          <t>C-02</t>
        </is>
      </c>
      <c r="K57" s="9" t="inlineStr">
        <is>
          <t>Over-flagging stops destroying usable authority</t>
        </is>
      </c>
      <c r="L57" s="9" t="inlineStr">
        <is>
          <t>A judgment overruled on one point still reads as authority on another</t>
        </is>
      </c>
      <c r="M57" s="10" t="inlineStr">
        <is>
          <t>A</t>
        </is>
      </c>
      <c r="N57" s="31" t="inlineStr">
        <is>
          <t>tested</t>
        </is>
      </c>
      <c r="O57" s="4" t="inlineStr">
        <is>
          <t>Treatment is an edge on (citing, cited) carrying its scope, never a label on a case - a judgment overruled on limitation remains good authority on possession. An unread citation is a CandidateEdge: countable, never traversed.</t>
        </is>
      </c>
      <c r="P57" s="4" t="inlineStr">
        <is>
          <t>nm/tests/a_logic/test_citations.py::test_treatment_is_an_edge_between_two_judgments_carrying_its_scope (ran 2026-08-27)</t>
        </is>
      </c>
      <c r="Q57" s="4" t="inlineStr">
        <is>
          <t>2026-08-27</t>
        </is>
      </c>
    </row>
    <row r="58">
      <c r="A58" s="6" t="inlineStr">
        <is>
          <t>C-04</t>
        </is>
      </c>
      <c r="B58" s="14" t="inlineStr">
        <is>
          <t>Phase 1 - Knowledge</t>
        </is>
      </c>
      <c r="C58" s="8" t="inlineStr">
        <is>
          <t>EP-07</t>
        </is>
      </c>
      <c r="D58" s="9" t="inlineStr">
        <is>
          <t>Sampled gold set and hand-vetting workflow</t>
        </is>
      </c>
      <c r="E58" s="8" t="inlineStr">
        <is>
          <t>Eval</t>
        </is>
      </c>
      <c r="F58" s="8" t="inlineStr">
        <is>
          <t>C5D</t>
        </is>
      </c>
      <c r="G58" s="8" t="inlineStr">
        <is>
          <t>11</t>
        </is>
      </c>
      <c r="H58" s="10" t="n">
        <v>8</v>
      </c>
      <c r="I58" s="11" t="inlineStr">
        <is>
          <t>Known</t>
        </is>
      </c>
      <c r="J58" s="8" t="inlineStr">
        <is>
          <t>C-01</t>
        </is>
      </c>
      <c r="K58" s="9" t="inlineStr">
        <is>
          <t>Measurements stop testing only what their author anticipated</t>
        </is>
      </c>
      <c r="L58" s="9" t="inlineStr">
        <is>
          <t>Gold set records sampling method, seed, size and vetter</t>
        </is>
      </c>
      <c r="M58" s="10" t="inlineStr">
        <is>
          <t>C</t>
        </is>
      </c>
      <c r="N58" s="31" t="inlineStr">
        <is>
          <t>tested</t>
        </is>
      </c>
      <c r="O58" s="4" t="inlineStr">
        <is>
          <t>nm/knowledge/citations.py + nm/knowledge/gold/citator_gold_set.json - a 200-item gold set DRAWN, not composed: uniform random over 26,817 citation mentions from a stride sample spanning the whole judgment tree, seed 20260827, method and draw date recorded, forms spread across versus/reporter/supra/said. The file carries vetting instructions and an empty vetter field, and CitatorMeasurement refuses to emit any figure until that field is filled - so the set cannot be quoted from before a person has checked it.</t>
        </is>
      </c>
      <c r="P58" s="4" t="inlineStr">
        <is>
          <t>nm/tests/a_logic/test_citations.py::test_a_gold_set_records_how_it_was_drawn, ::test_the_same_seed_draws_the_same_sample, ::test_no_measurement_may_be_quoted_from_an_unvetted_set (ran 2026-08-27)</t>
        </is>
      </c>
      <c r="Q58" s="4" t="inlineStr">
        <is>
          <t>2026-08-27</t>
        </is>
      </c>
    </row>
    <row r="59">
      <c r="A59" s="6" t="inlineStr">
        <is>
          <t>C-05</t>
        </is>
      </c>
      <c r="B59" s="14" t="inlineStr">
        <is>
          <t>Phase 1 - Knowledge</t>
        </is>
      </c>
      <c r="C59" s="8" t="inlineStr">
        <is>
          <t>EP-07</t>
        </is>
      </c>
      <c r="D59" s="9" t="inlineStr">
        <is>
          <t>Citator precision and recall measurement, displayed with the flag</t>
        </is>
      </c>
      <c r="E59" s="8" t="inlineStr">
        <is>
          <t>Eval</t>
        </is>
      </c>
      <c r="F59" s="8" t="inlineStr">
        <is>
          <t>C5</t>
        </is>
      </c>
      <c r="G59" s="8" t="inlineStr">
        <is>
          <t>G12</t>
        </is>
      </c>
      <c r="H59" s="10" t="n">
        <v>5</v>
      </c>
      <c r="I59" s="12" t="inlineStr">
        <is>
          <t>Needs measurement</t>
        </is>
      </c>
      <c r="J59" s="8" t="inlineStr">
        <is>
          <t>C-04</t>
        </is>
      </c>
      <c r="K59" s="9" t="inlineStr">
        <is>
          <t>The flag can state its own reliability</t>
        </is>
      </c>
      <c r="L59" s="9" t="inlineStr">
        <is>
          <t>Displayed reliability is the measured figure, not an implied certainty</t>
        </is>
      </c>
      <c r="M59" s="10" t="inlineStr">
        <is>
          <t>C</t>
        </is>
      </c>
      <c r="N59" s="15" t="inlineStr">
        <is>
          <t>built</t>
        </is>
      </c>
      <c r="O59" s="4" t="inlineStr">
        <is>
          <t>CitatorMeasurement computes precision and recall and renders the flag AT the measured figure, never as implied certainty, and never says 'good law'. No figure exists yet because no gold set has been hand-vetted - the type refuses to produce flag text without one, which is the story blocking itself correctly rather than shipping a number nobody checked.</t>
        </is>
      </c>
      <c r="P59" s="4" t="inlineStr">
        <is>
          <t>nm/tests/a_logic/test_citations.py::test_the_flag_states_its_measured_reliability_and_never_says_good_law (ran 2026-08-27)</t>
        </is>
      </c>
      <c r="Q59" s="4" t="inlineStr">
        <is>
          <t>2026-08-27</t>
        </is>
      </c>
    </row>
    <row r="60">
      <c r="A60" s="6" t="inlineStr">
        <is>
          <t>C-06</t>
        </is>
      </c>
      <c r="B60" s="14" t="inlineStr">
        <is>
          <t>Phase 1 - Knowledge</t>
        </is>
      </c>
      <c r="C60" s="8" t="inlineStr">
        <is>
          <t>EP-07</t>
        </is>
      </c>
      <c r="D60" s="9" t="inlineStr">
        <is>
          <t>Authority line assembly: leading, followers, qualifiers, current position</t>
        </is>
      </c>
      <c r="E60" s="8" t="inlineStr">
        <is>
          <t>Core</t>
        </is>
      </c>
      <c r="F60" s="8" t="inlineStr">
        <is>
          <t>G13</t>
        </is>
      </c>
      <c r="G60" s="8" t="inlineStr">
        <is>
          <t>7.11</t>
        </is>
      </c>
      <c r="H60" s="10" t="n">
        <v>8</v>
      </c>
      <c r="I60" s="13" t="inlineStr">
        <is>
          <t>Unknown until instrumented</t>
        </is>
      </c>
      <c r="J60" s="8" t="inlineStr">
        <is>
          <t>C-03,K-06</t>
        </is>
      </c>
      <c r="K60" s="9" t="inlineStr">
        <is>
          <t>An advocate gets the line, not an isolated case</t>
        </is>
      </c>
      <c r="L60" s="9" t="inlineStr">
        <is>
          <t>Given a provision, the line assembles with its current position stated</t>
        </is>
      </c>
      <c r="M60" s="10" t="inlineStr">
        <is>
          <t>C</t>
        </is>
      </c>
      <c r="N60" s="31" t="inlineStr">
        <is>
          <t>tested</t>
        </is>
      </c>
      <c r="O60" s="4" t="inlineStr">
        <is>
          <t>nm/knowledge/authority.py - assembles leading case, followers, qualifiers with scope, and where the position rests now. A treatment with no verified span does not enter the line and is returned as unverified, so the graph cannot manufacture a line from incidental mentions. No leading authority is reported as a coverage statement, never as a denial that any exists.</t>
        </is>
      </c>
      <c r="P60" s="4" t="inlineStr">
        <is>
          <t>nm/tests/a_logic/test_citations.py (C-06 rules) (ran 2026-08-27)</t>
        </is>
      </c>
      <c r="Q60" s="4" t="inlineStr">
        <is>
          <t>2026-08-27</t>
        </is>
      </c>
    </row>
    <row r="61">
      <c r="A61" s="6" t="inlineStr">
        <is>
          <t>C-07</t>
        </is>
      </c>
      <c r="B61" s="14" t="inlineStr">
        <is>
          <t>Phase 1 - Knowledge</t>
        </is>
      </c>
      <c r="C61" s="8" t="inlineStr">
        <is>
          <t>EP-07</t>
        </is>
      </c>
      <c r="D61" s="9" t="inlineStr">
        <is>
          <t>Answer-time treatment check on cited authorities</t>
        </is>
      </c>
      <c r="E61" s="8" t="inlineStr">
        <is>
          <t>Core</t>
        </is>
      </c>
      <c r="F61" s="8" t="inlineStr">
        <is>
          <t>C5C</t>
        </is>
      </c>
      <c r="G61" s="8" t="inlineStr">
        <is>
          <t>G12</t>
        </is>
      </c>
      <c r="H61" s="10" t="n">
        <v>5</v>
      </c>
      <c r="I61" s="11" t="inlineStr">
        <is>
          <t>Known</t>
        </is>
      </c>
      <c r="J61" s="8" t="inlineStr">
        <is>
          <t>C-03</t>
        </is>
      </c>
      <c r="K61" s="9" t="inlineStr">
        <is>
          <t>The guarantee stops depending on a precomputed store being current</t>
        </is>
      </c>
      <c r="L61" s="9" t="inlineStr">
        <is>
          <t>Every authority about to be cited is checked against citing judgments held</t>
        </is>
      </c>
      <c r="M61" s="10" t="inlineStr">
        <is>
          <t>B</t>
        </is>
      </c>
      <c r="N61" s="31" t="inlineStr">
        <is>
          <t>tested</t>
        </is>
      </c>
      <c r="O61" s="4" t="inlineStr">
        <is>
          <t>check_at_answer_time re-checks each authority against the citing judgments held at the moment of citing, and records when the precomputed store said nothing while the check found adverse treatment. The flag states its own limit - checked against the corpus, which is not exhaustive - and never says good law.</t>
        </is>
      </c>
      <c r="P61" s="4" t="inlineStr">
        <is>
          <t>nm/tests/a_logic/test_citations.py::test_an_authority_is_rechecked_at_answer_time (ran 2026-08-27)</t>
        </is>
      </c>
      <c r="Q61" s="4" t="inlineStr">
        <is>
          <t>2026-08-27</t>
        </is>
      </c>
    </row>
    <row r="62">
      <c r="A62" s="6" t="inlineStr">
        <is>
          <t>C-08</t>
        </is>
      </c>
      <c r="B62" s="14" t="inlineStr">
        <is>
          <t>Phase 1 - Knowledge</t>
        </is>
      </c>
      <c r="C62" s="8" t="inlineStr">
        <is>
          <t>EP-07</t>
        </is>
      </c>
      <c r="D62" s="9" t="inlineStr">
        <is>
          <t>Guard: citation count never determines use</t>
        </is>
      </c>
      <c r="E62" s="8" t="inlineStr">
        <is>
          <t>Eval</t>
        </is>
      </c>
      <c r="F62" s="8" t="inlineStr">
        <is>
          <t>G12</t>
        </is>
      </c>
      <c r="G62" s="8" t="inlineStr">
        <is>
          <t>G12</t>
        </is>
      </c>
      <c r="H62" s="10" t="n">
        <v>2</v>
      </c>
      <c r="I62" s="11" t="inlineStr">
        <is>
          <t>Known</t>
        </is>
      </c>
      <c r="J62" s="8" t="inlineStr">
        <is>
          <t>C-06</t>
        </is>
      </c>
      <c r="K62" s="9" t="inlineStr">
        <is>
          <t>Prominence stops standing in for authority or relevance</t>
        </is>
      </c>
      <c r="L62" s="9" t="inlineStr">
        <is>
          <t>Citation count appears in no authority statement and gates no selection</t>
        </is>
      </c>
      <c r="M62" s="10" t="inlineStr">
        <is>
          <t>B</t>
        </is>
      </c>
      <c r="N62" s="31" t="inlineStr">
        <is>
          <t>tested</t>
        </is>
      </c>
      <c r="O62" s="4" t="inlineStr">
        <is>
          <t>Enforced by absence: Rankable has no citation-count field at all, so a ranking cannot use a number it was never given and adding it later is a visible edit. prominence() names itself, and break_a_tie() REFUSES unless the two authorities are already equal on bindingness and on-point-ness.</t>
        </is>
      </c>
      <c r="P62" s="4" t="inlineStr">
        <is>
          <t>nm/tests/a_logic/test_citations.py::test_a_ranking_input_carries_no_citation_count_at_all (ran 2026-08-27)</t>
        </is>
      </c>
      <c r="Q62" s="4" t="inlineStr">
        <is>
          <t>2026-08-27</t>
        </is>
      </c>
    </row>
    <row r="63">
      <c r="A63" s="6" t="inlineStr">
        <is>
          <t>C-09</t>
        </is>
      </c>
      <c r="B63" s="14" t="inlineStr">
        <is>
          <t>Phase 1 - Knowledge</t>
        </is>
      </c>
      <c r="C63" s="8" t="inlineStr">
        <is>
          <t>EP-07</t>
        </is>
      </c>
      <c r="D63" s="9" t="inlineStr">
        <is>
          <t>Guard: absence of citation never demotes</t>
        </is>
      </c>
      <c r="E63" s="8" t="inlineStr">
        <is>
          <t>Eval</t>
        </is>
      </c>
      <c r="F63" s="8" t="inlineStr">
        <is>
          <t>G16</t>
        </is>
      </c>
      <c r="G63" s="8" t="inlineStr">
        <is>
          <t>G12</t>
        </is>
      </c>
      <c r="H63" s="10" t="n">
        <v>2</v>
      </c>
      <c r="I63" s="11" t="inlineStr">
        <is>
          <t>Known</t>
        </is>
      </c>
      <c r="J63" s="8" t="inlineStr">
        <is>
          <t>C-06</t>
        </is>
      </c>
      <c r="K63" s="9" t="inlineStr">
        <is>
          <t>Recent judgments stop being penalised for being recent</t>
        </is>
      </c>
      <c r="L63" s="9" t="inlineStr">
        <is>
          <t>No ranking path reduces a score for a low citation count</t>
        </is>
      </c>
      <c r="M63" s="10" t="inlineStr">
        <is>
          <t>A</t>
        </is>
      </c>
      <c r="N63" s="31" t="inlineStr">
        <is>
          <t>tested</t>
        </is>
      </c>
      <c r="O63" s="4" t="inlineStr">
        <is>
          <t>Same absence closes G16: with no count in the ranking input there is no path by which a low one can demote. A recent judgment with high on-point-ness outranks an older one, and an on-point persuasive case ranking first does not become binding.</t>
        </is>
      </c>
      <c r="P63" s="4" t="inlineStr">
        <is>
          <t>nm/tests/a_logic/test_citations.py::test_ranking_never_demotes_for_a_low_citation_count (ran 2026-08-27)</t>
        </is>
      </c>
      <c r="Q63" s="4" t="inlineStr">
        <is>
          <t>2026-08-27</t>
        </is>
      </c>
    </row>
    <row r="64">
      <c r="A64" s="6" t="inlineStr">
        <is>
          <t>R-01</t>
        </is>
      </c>
      <c r="B64" s="15" t="inlineStr">
        <is>
          <t>Phase 2 - Evidence</t>
        </is>
      </c>
      <c r="C64" s="8" t="inlineStr">
        <is>
          <t>EP-08</t>
        </is>
      </c>
      <c r="D64" s="9" t="inlineStr">
        <is>
          <t>EvidenceNeed contract carrying the matter's structured state</t>
        </is>
      </c>
      <c r="E64" s="8" t="inlineStr">
        <is>
          <t>Core</t>
        </is>
      </c>
      <c r="F64" s="8" t="inlineStr">
        <is>
          <t>G2</t>
        </is>
      </c>
      <c r="G64" s="8" t="inlineStr">
        <is>
          <t>8.2</t>
        </is>
      </c>
      <c r="H64" s="10" t="n">
        <v>3</v>
      </c>
      <c r="I64" s="11" t="inlineStr">
        <is>
          <t>Known</t>
        </is>
      </c>
      <c r="J64" s="8" t="inlineStr">
        <is>
          <t>D-01</t>
        </is>
      </c>
      <c r="K64" s="9" t="inlineStr">
        <is>
          <t>The query becomes the matter rather than a sentence</t>
        </is>
      </c>
      <c r="L64" s="9" t="inlineStr">
        <is>
          <t>A need cannot be constructed from a bare text string</t>
        </is>
      </c>
      <c r="M64" s="10" t="inlineStr">
        <is>
          <t>A</t>
        </is>
      </c>
      <c r="N64" s="31" t="inlineStr">
        <is>
          <t>tested</t>
        </is>
      </c>
      <c r="O64" s="4" t="inlineStr">
        <is>
          <t>nm/evidence/need.py - EvidenceNeed carries question, cause, forum, governing date, jurisdiction, relief and legal scope; construction refuses a bare text-string need.</t>
        </is>
      </c>
      <c r="P64" s="4" t="inlineStr">
        <is>
          <t>nm/tests/a_logic/test_phase2_evidence.py::test_r01_a_need_cannot_be_a_bare_text_string (ran 2026-08-27)</t>
        </is>
      </c>
      <c r="Q64" s="4" t="inlineStr">
        <is>
          <t>2026-08-27</t>
        </is>
      </c>
    </row>
    <row r="65">
      <c r="A65" s="6" t="inlineStr">
        <is>
          <t>R-02</t>
        </is>
      </c>
      <c r="B65" s="15" t="inlineStr">
        <is>
          <t>Phase 2 - Evidence</t>
        </is>
      </c>
      <c r="C65" s="8" t="inlineStr">
        <is>
          <t>EP-08</t>
        </is>
      </c>
      <c r="D65" s="9" t="inlineStr">
        <is>
          <t>Limitation Article resolution from cause of action</t>
        </is>
      </c>
      <c r="E65" s="8" t="inlineStr">
        <is>
          <t>Evidence</t>
        </is>
      </c>
      <c r="F65" s="8" t="inlineStr">
        <is>
          <t>G2,D7D</t>
        </is>
      </c>
      <c r="G65" s="8" t="inlineStr">
        <is>
          <t>4</t>
        </is>
      </c>
      <c r="H65" s="10" t="n">
        <v>8</v>
      </c>
      <c r="I65" s="11" t="inlineStr">
        <is>
          <t>Known</t>
        </is>
      </c>
      <c r="J65" s="8" t="inlineStr">
        <is>
          <t>K-08,R-01</t>
        </is>
      </c>
      <c r="K65" s="9" t="inlineStr">
        <is>
          <t>The highest-value resolution; Article stops being a ranking outcome</t>
        </is>
      </c>
      <c r="L65" s="9" t="inlineStr">
        <is>
          <t>Resolution returns an Article with a citation and no similarity in its derivation</t>
        </is>
      </c>
      <c r="M65" s="10" t="inlineStr">
        <is>
          <t>C</t>
        </is>
      </c>
      <c r="N65" s="31" t="inlineStr">
        <is>
          <t>tested</t>
        </is>
      </c>
      <c r="O65" s="4" t="inlineStr">
        <is>
          <t>nm/evidence/resolve.py - limitation_finding resolves a curated cause to a provision Finding through CauseMap and LegalGraph, carrying citation text and structural derivation only.</t>
        </is>
      </c>
      <c r="P65" s="4" t="inlineStr">
        <is>
          <t>nm/tests/a_logic/test_phase2_evidence.py::test_r02_limitation_resolution_returns_a_finding_not_a_ranked_hit (ran 2026-08-27)</t>
        </is>
      </c>
      <c r="Q65" s="4" t="inlineStr">
        <is>
          <t>2026-08-27</t>
        </is>
      </c>
    </row>
    <row r="66">
      <c r="A66" s="6" t="inlineStr">
        <is>
          <t>R-03</t>
        </is>
      </c>
      <c r="B66" s="15" t="inlineStr">
        <is>
          <t>Phase 2 - Evidence</t>
        </is>
      </c>
      <c r="C66" s="8" t="inlineStr">
        <is>
          <t>EP-08</t>
        </is>
      </c>
      <c r="D66" s="9" t="inlineStr">
        <is>
          <t>Forum resolution</t>
        </is>
      </c>
      <c r="E66" s="8" t="inlineStr">
        <is>
          <t>Evidence</t>
        </is>
      </c>
      <c r="F66" s="8" t="inlineStr">
        <is>
          <t>G2</t>
        </is>
      </c>
      <c r="G66" s="8" t="inlineStr">
        <is>
          <t>4</t>
        </is>
      </c>
      <c r="H66" s="10" t="n">
        <v>8</v>
      </c>
      <c r="I66" s="13" t="inlineStr">
        <is>
          <t>Unknown until instrumented</t>
        </is>
      </c>
      <c r="J66" s="8" t="inlineStr">
        <is>
          <t>K-09,R-01</t>
        </is>
      </c>
      <c r="K66" s="9" t="inlineStr">
        <is>
          <t>Forum stops being searched</t>
        </is>
      </c>
      <c r="L66" s="9" t="inlineStr">
        <is>
          <t>Resolution returns a forum and any ousting statute</t>
        </is>
      </c>
      <c r="M66" s="10" t="inlineStr">
        <is>
          <t>C</t>
        </is>
      </c>
      <c r="N66" s="31" t="inlineStr">
        <is>
          <t>tested</t>
        </is>
      </c>
      <c r="O66" s="4" t="inlineStr">
        <is>
          <t>nm/evidence/resolve.py - forum_finding resolves a cause to the forum/ousting provision through the same date-aware graph path as limitation resolution.</t>
        </is>
      </c>
      <c r="P66" s="4" t="inlineStr">
        <is>
          <t>nm/tests/a_logic/test_resolution.py::test_a_forum_answer_carries_the_provision_that_confers_jurisdiction (ran 2026-08-27)</t>
        </is>
      </c>
      <c r="Q66" s="4" t="inlineStr">
        <is>
          <t>2026-08-27</t>
        </is>
      </c>
    </row>
    <row r="67">
      <c r="A67" s="6" t="inlineStr">
        <is>
          <t>R-04</t>
        </is>
      </c>
      <c r="B67" s="15" t="inlineStr">
        <is>
          <t>Phase 2 - Evidence</t>
        </is>
      </c>
      <c r="C67" s="8" t="inlineStr">
        <is>
          <t>EP-08</t>
        </is>
      </c>
      <c r="D67" s="9" t="inlineStr">
        <is>
          <t>Era-correct provision resolution by date of conduct</t>
        </is>
      </c>
      <c r="E67" s="8" t="inlineStr">
        <is>
          <t>Evidence</t>
        </is>
      </c>
      <c r="F67" s="8" t="inlineStr">
        <is>
          <t>G1,D3B</t>
        </is>
      </c>
      <c r="G67" s="8" t="inlineStr">
        <is>
          <t>4</t>
        </is>
      </c>
      <c r="H67" s="10" t="n">
        <v>5</v>
      </c>
      <c r="I67" s="11" t="inlineStr">
        <is>
          <t>Known</t>
        </is>
      </c>
      <c r="J67" s="8" t="inlineStr">
        <is>
          <t>K-03,I-05</t>
        </is>
      </c>
      <c r="K67" s="9" t="inlineStr">
        <is>
          <t>A pre-2024 matter stops being answered in current numbering</t>
        </is>
      </c>
      <c r="L67" s="9" t="inlineStr">
        <is>
          <t>A query without a governing date is rejected, not defaulted to today</t>
        </is>
      </c>
      <c r="M67" s="10" t="inlineStr">
        <is>
          <t>C</t>
        </is>
      </c>
      <c r="N67" s="31" t="inlineStr">
        <is>
          <t>tested</t>
        </is>
      </c>
      <c r="O67" s="4" t="inlineStr">
        <is>
          <t>nm/evidence/resolve.py plus nm/knowledge/resolution.py - resolution now requires a governing date and reads the graph point-in-time answer, not the latest stored version.</t>
        </is>
      </c>
      <c r="P67" s="4" t="inlineStr">
        <is>
          <t>nm/tests/a_logic/test_phase2_evidence.py::test_r04_resolution_uses_the_conduct_date (ran 2026-08-27)</t>
        </is>
      </c>
      <c r="Q67" s="4" t="inlineStr">
        <is>
          <t>2026-08-27</t>
        </is>
      </c>
    </row>
    <row r="68">
      <c r="A68" s="6" t="inlineStr">
        <is>
          <t>R-05</t>
        </is>
      </c>
      <c r="B68" s="15" t="inlineStr">
        <is>
          <t>Phase 2 - Evidence</t>
        </is>
      </c>
      <c r="C68" s="8" t="inlineStr">
        <is>
          <t>EP-08</t>
        </is>
      </c>
      <c r="D68" s="9" t="inlineStr">
        <is>
          <t>Elements-to-prove resolution from a provision</t>
        </is>
      </c>
      <c r="E68" s="8" t="inlineStr">
        <is>
          <t>Evidence</t>
        </is>
      </c>
      <c r="F68" s="8" t="inlineStr">
        <is>
          <t>P1</t>
        </is>
      </c>
      <c r="G68" s="8" t="inlineStr">
        <is>
          <t>4</t>
        </is>
      </c>
      <c r="H68" s="10" t="n">
        <v>8</v>
      </c>
      <c r="I68" s="13" t="inlineStr">
        <is>
          <t>Unknown until instrumented</t>
        </is>
      </c>
      <c r="J68" s="8" t="inlineStr">
        <is>
          <t>K-01</t>
        </is>
      </c>
      <c r="K68" s="9" t="inlineStr">
        <is>
          <t>Proof analysis gets its input structurally</t>
        </is>
      </c>
      <c r="L68" s="9" t="inlineStr">
        <is>
          <t>Given a provision, the elements it requires are returned</t>
        </is>
      </c>
      <c r="M68" s="10" t="inlineStr">
        <is>
          <t>C</t>
        </is>
      </c>
      <c r="N68" s="31" t="inlineStr">
        <is>
          <t>tested</t>
        </is>
      </c>
      <c r="O68" s="4" t="inlineStr">
        <is>
          <t>nm/evidence/resolve.py - elements_from_provision reads enumerated elements literally from the provision span and returns no invented legal test where none is enumerated.</t>
        </is>
      </c>
      <c r="P68" s="4" t="inlineStr">
        <is>
          <t>nm/tests/a_logic/test_phase2_evidence.py::test_r05_elements_are_read_from_the_provision_not_remembered (ran 2026-08-27)</t>
        </is>
      </c>
      <c r="Q68" s="4" t="inlineStr">
        <is>
          <t>2026-08-27</t>
        </is>
      </c>
    </row>
    <row r="69">
      <c r="A69" s="6" t="inlineStr">
        <is>
          <t>R-06</t>
        </is>
      </c>
      <c r="B69" s="15" t="inlineStr">
        <is>
          <t>Phase 2 - Evidence</t>
        </is>
      </c>
      <c r="C69" s="8" t="inlineStr">
        <is>
          <t>EP-08</t>
        </is>
      </c>
      <c r="D69" s="9" t="inlineStr">
        <is>
          <t>Resolution confidence and clean fallback into search</t>
        </is>
      </c>
      <c r="E69" s="8" t="inlineStr">
        <is>
          <t>Evidence</t>
        </is>
      </c>
      <c r="F69" s="8" t="inlineStr">
        <is>
          <t>G10</t>
        </is>
      </c>
      <c r="G69" s="8" t="inlineStr">
        <is>
          <t>4</t>
        </is>
      </c>
      <c r="H69" s="10" t="n">
        <v>5</v>
      </c>
      <c r="I69" s="11" t="inlineStr">
        <is>
          <t>Known</t>
        </is>
      </c>
      <c r="J69" s="8" t="inlineStr">
        <is>
          <t>R-02</t>
        </is>
      </c>
      <c r="K69" s="9" t="inlineStr">
        <is>
          <t>A wrong resolution degrades instead of asserting</t>
        </is>
      </c>
      <c r="L69" s="9" t="inlineStr">
        <is>
          <t>Below threshold, the need falls through to search and says so</t>
        </is>
      </c>
      <c r="M69" s="10" t="inlineStr">
        <is>
          <t>C</t>
        </is>
      </c>
      <c r="N69" s="31" t="inlineStr">
        <is>
          <t>tested</t>
        </is>
      </c>
      <c r="O69" s="4" t="inlineStr">
        <is>
          <t>nm/evidence/resolve.py - unresolved or below-confidence structural resolution returns an explicit Fallback that says search should run.</t>
        </is>
      </c>
      <c r="P69" s="4" t="inlineStr">
        <is>
          <t>nm/tests/a_logic/test_phase2_evidence.py::test_r06_resolution_declines_cleanly_into_search (ran 2026-08-27)</t>
        </is>
      </c>
      <c r="Q69" s="4" t="inlineStr">
        <is>
          <t>2026-08-27</t>
        </is>
      </c>
    </row>
    <row r="70">
      <c r="A70" s="6" t="inlineStr">
        <is>
          <t>R-07</t>
        </is>
      </c>
      <c r="B70" s="15" t="inlineStr">
        <is>
          <t>Phase 2 - Evidence</t>
        </is>
      </c>
      <c r="C70" s="8" t="inlineStr">
        <is>
          <t>EP-08</t>
        </is>
      </c>
      <c r="D70" s="9" t="inlineStr">
        <is>
          <t>Invariant: no similarity score appears in a resolved derivation</t>
        </is>
      </c>
      <c r="E70" s="8" t="inlineStr">
        <is>
          <t>Eval</t>
        </is>
      </c>
      <c r="F70" s="8" t="inlineStr">
        <is>
          <t>G2</t>
        </is>
      </c>
      <c r="G70" s="8" t="inlineStr">
        <is>
          <t>9.2</t>
        </is>
      </c>
      <c r="H70" s="10" t="n">
        <v>3</v>
      </c>
      <c r="I70" s="11" t="inlineStr">
        <is>
          <t>Known</t>
        </is>
      </c>
      <c r="J70" s="8" t="inlineStr">
        <is>
          <t>R-02,F-03</t>
        </is>
      </c>
      <c r="K70" s="9" t="inlineStr">
        <is>
          <t>Resolution stays resolution</t>
        </is>
      </c>
      <c r="L70" s="9" t="inlineStr">
        <is>
          <t>A resolved Finding's provenance contains no ranking step</t>
        </is>
      </c>
      <c r="M70" s="10" t="inlineStr">
        <is>
          <t>A</t>
        </is>
      </c>
      <c r="N70" s="31" t="inlineStr">
        <is>
          <t>tested</t>
        </is>
      </c>
      <c r="O70" s="4" t="inlineStr">
        <is>
          <t>nm/evidence/resolve.py - ResolutionTrace records structural steps and confidence only; no similarity score exists in resolved provenance.</t>
        </is>
      </c>
      <c r="P70" s="4" t="inlineStr">
        <is>
          <t>nm/tests/a_logic/test_phase2_evidence.py::test_r02_limitation_resolution_returns_a_finding_not_a_ranked_hit (ran 2026-08-27)</t>
        </is>
      </c>
      <c r="Q70" s="4" t="inlineStr">
        <is>
          <t>2026-08-27</t>
        </is>
      </c>
    </row>
    <row r="71">
      <c r="A71" s="6" t="inlineStr">
        <is>
          <t>S-01</t>
        </is>
      </c>
      <c r="B71" s="15" t="inlineStr">
        <is>
          <t>Phase 2 - Evidence</t>
        </is>
      </c>
      <c r="C71" s="8" t="inlineStr">
        <is>
          <t>EP-09</t>
        </is>
      </c>
      <c r="D71" s="9" t="inlineStr">
        <is>
          <t>Hybrid lexical and dense search inside a legally-derived scope</t>
        </is>
      </c>
      <c r="E71" s="8" t="inlineStr">
        <is>
          <t>Evidence</t>
        </is>
      </c>
      <c r="F71" s="8" t="inlineStr">
        <is>
          <t>G3,G4</t>
        </is>
      </c>
      <c r="G71" s="8" t="inlineStr">
        <is>
          <t>4</t>
        </is>
      </c>
      <c r="H71" s="10" t="n">
        <v>8</v>
      </c>
      <c r="I71" s="11" t="inlineStr">
        <is>
          <t>Known</t>
        </is>
      </c>
      <c r="J71" s="8" t="inlineStr">
        <is>
          <t>X-01,X-02,R-02</t>
        </is>
      </c>
      <c r="K71" s="9" t="inlineStr">
        <is>
          <t>Search runs on a reasoned scope rather than a guessed one</t>
        </is>
      </c>
      <c r="L71" s="9" t="inlineStr">
        <is>
          <t>Scope is derived from resolution output, never from a summary embedding</t>
        </is>
      </c>
      <c r="M71" s="10" t="inlineStr">
        <is>
          <t>C</t>
        </is>
      </c>
      <c r="N71" s="31" t="inlineStr">
        <is>
          <t>tested</t>
        </is>
      </c>
      <c r="O71" s="4" t="inlineStr">
        <is>
          <t>nm/evidence/search.py - scoped_hybrid_search runs lexical+dense search inside a LegalScope derived from resolution output, not from summaries.</t>
        </is>
      </c>
      <c r="P71" s="4" t="inlineStr">
        <is>
          <t>nm/tests/a_logic/test_phase2_evidence.py::test_s01_search_runs_inside_a_scope_from_resolution (ran 2026-08-27)</t>
        </is>
      </c>
      <c r="Q71" s="4" t="inlineStr">
        <is>
          <t>2026-08-27</t>
        </is>
      </c>
    </row>
    <row r="72">
      <c r="A72" s="6" t="inlineStr">
        <is>
          <t>S-02</t>
        </is>
      </c>
      <c r="B72" s="15" t="inlineStr">
        <is>
          <t>Phase 2 - Evidence</t>
        </is>
      </c>
      <c r="C72" s="8" t="inlineStr">
        <is>
          <t>EP-09</t>
        </is>
      </c>
      <c r="D72" s="9" t="inlineStr">
        <is>
          <t>Remove hard similarity gates; similarity may only reorder</t>
        </is>
      </c>
      <c r="E72" s="8" t="inlineStr">
        <is>
          <t>Evidence</t>
        </is>
      </c>
      <c r="F72" s="8" t="inlineStr">
        <is>
          <t>G5</t>
        </is>
      </c>
      <c r="G72" s="8" t="inlineStr">
        <is>
          <t>4</t>
        </is>
      </c>
      <c r="H72" s="10" t="n">
        <v>5</v>
      </c>
      <c r="I72" s="11" t="inlineStr">
        <is>
          <t>Known</t>
        </is>
      </c>
      <c r="J72" s="8" t="inlineStr">
        <is>
          <t>S-01</t>
        </is>
      </c>
      <c r="K72" s="9" t="inlineStr">
        <is>
          <t>A ranking wobble stops becoming a permanent miss</t>
        </is>
      </c>
      <c r="L72" s="9" t="inlineStr">
        <is>
          <t>No candidate is removed by a top-k or absolute-threshold cut</t>
        </is>
      </c>
      <c r="M72" s="10" t="inlineStr">
        <is>
          <t>C</t>
        </is>
      </c>
      <c r="N72" s="31" t="inlineStr">
        <is>
          <t>tested</t>
        </is>
      </c>
      <c r="O72" s="4" t="inlineStr">
        <is>
          <t>nm/evidence/search.py - the search wrapper delegates ordering to hybrid search and does not apply a top-k or absolute similarity gate.</t>
        </is>
      </c>
      <c r="P72" s="4" t="inlineStr">
        <is>
          <t>nm/tests/a_logic/test_phase2_evidence.py::test_s02_similarity_does_not_remove_candidates (ran 2026-08-27)</t>
        </is>
      </c>
      <c r="Q72" s="4" t="inlineStr">
        <is>
          <t>2026-08-27</t>
        </is>
      </c>
    </row>
    <row r="73">
      <c r="A73" s="6" t="inlineStr">
        <is>
          <t>S-03</t>
        </is>
      </c>
      <c r="B73" s="15" t="inlineStr">
        <is>
          <t>Phase 2 - Evidence</t>
        </is>
      </c>
      <c r="C73" s="8" t="inlineStr">
        <is>
          <t>EP-09</t>
        </is>
      </c>
      <c r="D73" s="9" t="inlineStr">
        <is>
          <t>Measured outlier rejection with its gap recorded</t>
        </is>
      </c>
      <c r="E73" s="8" t="inlineStr">
        <is>
          <t>Evidence</t>
        </is>
      </c>
      <c r="F73" s="8" t="inlineStr">
        <is>
          <t>G5</t>
        </is>
      </c>
      <c r="G73" s="8" t="inlineStr">
        <is>
          <t>4</t>
        </is>
      </c>
      <c r="H73" s="10" t="n">
        <v>5</v>
      </c>
      <c r="I73" s="12" t="inlineStr">
        <is>
          <t>Needs measurement</t>
        </is>
      </c>
      <c r="J73" s="8" t="inlineStr">
        <is>
          <t>S-02</t>
        </is>
      </c>
      <c r="K73" s="9" t="inlineStr">
        <is>
          <t>Off-subject candidates can be rejected without reopening gating</t>
        </is>
      </c>
      <c r="L73" s="9" t="inlineStr">
        <is>
          <t>Every similarity exclusion records the measured gap that justifies it</t>
        </is>
      </c>
      <c r="M73" s="10" t="inlineStr">
        <is>
          <t>C</t>
        </is>
      </c>
      <c r="N73" s="31" t="inlineStr">
        <is>
          <t>tested</t>
        </is>
      </c>
      <c r="O73" s="4" t="inlineStr">
        <is>
          <t>nm/evidence/search.py - measured outlier rejection is the only similarity exclusion path and requires a positive measured gap plus a reason.</t>
        </is>
      </c>
      <c r="P73" s="4" t="inlineStr">
        <is>
          <t>nm/tests/a_logic/test_phase2_evidence.py::test_s03_only_measured_outliers_are_excluded_and_recorded (ran 2026-08-27)</t>
        </is>
      </c>
      <c r="Q73" s="4" t="inlineStr">
        <is>
          <t>2026-08-27</t>
        </is>
      </c>
    </row>
    <row r="74">
      <c r="A74" s="6" t="inlineStr">
        <is>
          <t>S-04</t>
        </is>
      </c>
      <c r="B74" s="15" t="inlineStr">
        <is>
          <t>Phase 2 - Evidence</t>
        </is>
      </c>
      <c r="C74" s="8" t="inlineStr">
        <is>
          <t>EP-09</t>
        </is>
      </c>
      <c r="D74" s="9" t="inlineStr">
        <is>
          <t>Per-stage exclusion recording for diagnosis on demand</t>
        </is>
      </c>
      <c r="E74" s="8" t="inlineStr">
        <is>
          <t>Evidence</t>
        </is>
      </c>
      <c r="F74" s="8" t="inlineStr">
        <is>
          <t>G8</t>
        </is>
      </c>
      <c r="G74" s="8" t="inlineStr">
        <is>
          <t>4</t>
        </is>
      </c>
      <c r="H74" s="10" t="n">
        <v>3</v>
      </c>
      <c r="I74" s="11" t="inlineStr">
        <is>
          <t>Known</t>
        </is>
      </c>
      <c r="J74" s="8" t="inlineStr">
        <is>
          <t>S-02</t>
        </is>
      </c>
      <c r="K74" s="9" t="inlineStr">
        <is>
          <t>A miss becomes diagnosable rather than merely absent</t>
        </is>
      </c>
      <c r="L74" s="9" t="inlineStr">
        <is>
          <t>Each restricting stage can report what it dropped</t>
        </is>
      </c>
      <c r="M74" s="10" t="inlineStr">
        <is>
          <t>C</t>
        </is>
      </c>
      <c r="N74" s="31" t="inlineStr">
        <is>
          <t>tested</t>
        </is>
      </c>
      <c r="O74" s="4" t="inlineStr">
        <is>
          <t>nm/evidence/search.py - SearchReport keeps per-stage exclusions for diagnosis on demand.</t>
        </is>
      </c>
      <c r="P74" s="4" t="inlineStr">
        <is>
          <t>nm/tests/a_logic/test_phase2_evidence.py::test_s03_only_measured_outliers_are_excluded_and_recorded (ran 2026-08-27)</t>
        </is>
      </c>
      <c r="Q74" s="4" t="inlineStr">
        <is>
          <t>2026-08-27</t>
        </is>
      </c>
    </row>
    <row r="75">
      <c r="A75" s="6" t="inlineStr">
        <is>
          <t>S-05</t>
        </is>
      </c>
      <c r="B75" s="15" t="inlineStr">
        <is>
          <t>Phase 2 - Evidence</t>
        </is>
      </c>
      <c r="C75" s="8" t="inlineStr">
        <is>
          <t>EP-09</t>
        </is>
      </c>
      <c r="D75" s="9" t="inlineStr">
        <is>
          <t>Bounded evidence rounds per turn</t>
        </is>
      </c>
      <c r="E75" s="8" t="inlineStr">
        <is>
          <t>Core</t>
        </is>
      </c>
      <c r="F75" s="8" t="inlineStr">
        <is>
          <t>-</t>
        </is>
      </c>
      <c r="G75" s="8" t="inlineStr">
        <is>
          <t>8.2</t>
        </is>
      </c>
      <c r="H75" s="10" t="n">
        <v>3</v>
      </c>
      <c r="I75" s="11" t="inlineStr">
        <is>
          <t>Known</t>
        </is>
      </c>
      <c r="J75" s="8" t="inlineStr">
        <is>
          <t>R-01</t>
        </is>
      </c>
      <c r="K75" s="9" t="inlineStr">
        <is>
          <t>Turn cost becomes attributable</t>
        </is>
      </c>
      <c r="L75" s="9" t="inlineStr">
        <is>
          <t>Rounds are capped; hitting the cap is recorded, not silent</t>
        </is>
      </c>
      <c r="M75" s="10" t="inlineStr">
        <is>
          <t>B</t>
        </is>
      </c>
      <c r="N75" s="31" t="inlineStr">
        <is>
          <t>tested</t>
        </is>
      </c>
      <c r="O75" s="4" t="inlineStr">
        <is>
          <t>nm/evidence/need.py - EvidenceRoundBudget caps retrieval rounds and records when the cap is hit.</t>
        </is>
      </c>
      <c r="P75" s="4" t="inlineStr">
        <is>
          <t>nm/tests/a_logic/test_phase2_evidence.py::test_s05_round_cap_is_recorded_not_silent (ran 2026-08-27)</t>
        </is>
      </c>
      <c r="Q75" s="4" t="inlineStr">
        <is>
          <t>2026-08-27</t>
        </is>
      </c>
    </row>
    <row r="76">
      <c r="A76" s="6" t="inlineStr">
        <is>
          <t>S-06</t>
        </is>
      </c>
      <c r="B76" s="15" t="inlineStr">
        <is>
          <t>Phase 2 - Evidence</t>
        </is>
      </c>
      <c r="C76" s="8" t="inlineStr">
        <is>
          <t>EP-09</t>
        </is>
      </c>
      <c r="D76" s="9" t="inlineStr">
        <is>
          <t>Retrieval acceptance set: sampled matter-provision pairs, recall@k</t>
        </is>
      </c>
      <c r="E76" s="8" t="inlineStr">
        <is>
          <t>Eval</t>
        </is>
      </c>
      <c r="F76" s="8" t="inlineStr">
        <is>
          <t>G11</t>
        </is>
      </c>
      <c r="G76" s="8" t="inlineStr">
        <is>
          <t>9.2</t>
        </is>
      </c>
      <c r="H76" s="10" t="n">
        <v>13</v>
      </c>
      <c r="I76" s="13" t="inlineStr">
        <is>
          <t>Unknown until instrumented</t>
        </is>
      </c>
      <c r="J76" s="8" t="inlineStr">
        <is>
          <t>C-04,M-03</t>
        </is>
      </c>
      <c r="K76" s="9" t="inlineStr">
        <is>
          <t>Retrieval quality becomes a number for the first time</t>
        </is>
      </c>
      <c r="L76" s="9" t="inlineStr">
        <is>
          <t>Pairs drawn from real matters and hand-vetted; recall@k reported per release</t>
        </is>
      </c>
      <c r="M76" s="10" t="inlineStr">
        <is>
          <t>C</t>
        </is>
      </c>
      <c r="N76" s="31" t="inlineStr">
        <is>
          <t>tested</t>
        </is>
      </c>
      <c r="O76" s="4" t="inlineStr">
        <is>
          <t>nm/evidence/acceptance.py - retrieval acceptance sets are sampled matter-provision pairs and recall@k may only report from person-vetted pairs.</t>
        </is>
      </c>
      <c r="P76" s="4" t="inlineStr">
        <is>
          <t>nm/tests/a_logic/test_phase2_evidence.py::test_s06_recall_at_k_requires_person_vetted_real_pairs (ran 2026-08-27)</t>
        </is>
      </c>
      <c r="Q76" s="4" t="inlineStr">
        <is>
          <t>2026-08-27</t>
        </is>
      </c>
    </row>
    <row r="77">
      <c r="A77" s="34" t="inlineStr">
        <is>
          <t>S-09</t>
        </is>
      </c>
      <c r="B77" s="43" t="inlineStr">
        <is>
          <t>Phase 2 - Evidence</t>
        </is>
      </c>
      <c r="C77" s="35" t="inlineStr">
        <is>
          <t>EP-09</t>
        </is>
      </c>
      <c r="D77" s="4" t="inlineStr">
        <is>
          <t>Coverage is stated per LEVEL: held, indexed, retrievable</t>
        </is>
      </c>
      <c r="E77" s="35" t="inlineStr">
        <is>
          <t>Retrieval</t>
        </is>
      </c>
      <c r="F77" s="35" t="inlineStr">
        <is>
          <t>G7,D5,D5A,M4</t>
        </is>
      </c>
      <c r="G77" s="35" t="inlineStr">
        <is>
          <t>7.12,10.4</t>
        </is>
      </c>
      <c r="H77" s="30" t="n">
        <v>8</v>
      </c>
      <c r="I77" s="44" t="inlineStr">
        <is>
          <t>Known</t>
        </is>
      </c>
      <c r="J77" s="35" t="inlineStr">
        <is>
          <t>M-03,R-01</t>
        </is>
      </c>
      <c r="K77" s="4" t="inlineStr">
        <is>
          <t>A miss can be attributed to the layer that caused it, so an un-indexed provision stops looking like an honest refusal</t>
        </is>
      </c>
      <c r="L77" s="4" t="inlineStr">
        <is>
          <t>For any provision, the system reports whether it is held in the corpus, present in the search index, and reachable by query - separately; a provision held but deliberately un-indexed is reported as such and never as NOT_HELD</t>
        </is>
      </c>
      <c r="M77" s="30" t="inlineStr">
        <is>
          <t>C</t>
        </is>
      </c>
      <c r="N77" s="45" t="inlineStr">
        <is>
          <t>tested</t>
        </is>
      </c>
      <c r="O77" s="4" t="inlineStr">
        <is>
          <t>nm/evidence/search.py - CoverageByLevel reports held, indexed and reachable as separate states for a provision.</t>
        </is>
      </c>
      <c r="P77" s="4" t="inlineStr">
        <is>
          <t>nm/tests/a_logic/test_phase2_evidence.py::test_s09_coverage_reports_held_indexed_and_reachable_separately (ran 2026-08-27)</t>
        </is>
      </c>
      <c r="Q77" s="4" t="inlineStr">
        <is>
          <t>2026-08-27</t>
        </is>
      </c>
    </row>
    <row r="78">
      <c r="A78" s="34" t="inlineStr">
        <is>
          <t>S-10</t>
        </is>
      </c>
      <c r="B78" s="43" t="inlineStr">
        <is>
          <t>Phase 2 - Evidence</t>
        </is>
      </c>
      <c r="C78" s="35" t="inlineStr">
        <is>
          <t>EP-09</t>
        </is>
      </c>
      <c r="D78" s="4" t="inlineStr">
        <is>
          <t>Every store a query touches is read through one owner</t>
        </is>
      </c>
      <c r="E78" s="35" t="inlineStr">
        <is>
          <t>Retrieval</t>
        </is>
      </c>
      <c r="F78" s="35" t="inlineStr">
        <is>
          <t>G21,D5</t>
        </is>
      </c>
      <c r="G78" s="35" t="inlineStr">
        <is>
          <t>9.1,10.4</t>
        </is>
      </c>
      <c r="H78" s="30" t="n">
        <v>5</v>
      </c>
      <c r="I78" s="44" t="inlineStr">
        <is>
          <t>Known</t>
        </is>
      </c>
      <c r="J78" s="35" t="inlineStr">
        <is>
          <t>I-07</t>
        </is>
      </c>
      <c r="K78" s="4" t="inlineStr">
        <is>
          <t>A partial read cannot masquerade as a complete one anywhere on the serving path</t>
        </is>
      </c>
      <c r="L78" s="4" t="inlineStr">
        <is>
          <t>A search path that omits one of the stores its answer depends on fails the build, not the query; a missing store raises rather than returning fewer results</t>
        </is>
      </c>
      <c r="M78" s="30" t="inlineStr">
        <is>
          <t>A</t>
        </is>
      </c>
      <c r="N78" s="45" t="inlineStr">
        <is>
          <t>tested</t>
        </is>
      </c>
      <c r="O78" s="4" t="inlineStr">
        <is>
          <t>nm/evidence/search.py - require_store_owner fails a query path early when any store it depends on is absent.</t>
        </is>
      </c>
      <c r="P78" s="4" t="inlineStr">
        <is>
          <t>nm/tests/a_logic/test_phase2_evidence.py::test_s10_a_missing_store_fails_before_search (ran 2026-08-27)</t>
        </is>
      </c>
      <c r="Q78" s="4" t="inlineStr">
        <is>
          <t>2026-08-27</t>
        </is>
      </c>
    </row>
    <row r="79">
      <c r="A79" s="6" t="inlineStr">
        <is>
          <t>V-01</t>
        </is>
      </c>
      <c r="B79" s="15" t="inlineStr">
        <is>
          <t>Phase 2 - Evidence</t>
        </is>
      </c>
      <c r="C79" s="8" t="inlineStr">
        <is>
          <t>EP-10</t>
        </is>
      </c>
      <c r="D79" s="9" t="inlineStr">
        <is>
          <t>Finding contract type</t>
        </is>
      </c>
      <c r="E79" s="8" t="inlineStr">
        <is>
          <t>Core</t>
        </is>
      </c>
      <c r="F79" s="8" t="inlineStr">
        <is>
          <t>G9</t>
        </is>
      </c>
      <c r="G79" s="8" t="inlineStr">
        <is>
          <t>7.10</t>
        </is>
      </c>
      <c r="H79" s="10" t="n">
        <v>5</v>
      </c>
      <c r="I79" s="11" t="inlineStr">
        <is>
          <t>Known</t>
        </is>
      </c>
      <c r="J79" s="8" t="inlineStr">
        <is>
          <t>D-01</t>
        </is>
      </c>
      <c r="K79" s="9" t="inlineStr">
        <is>
          <t>Obligations get enforced at the boundary instead of downstream</t>
        </is>
      </c>
      <c r="L79" s="9" t="inlineStr">
        <is>
          <t>No consumer receives a passage without binding status, validity and locator</t>
        </is>
      </c>
      <c r="M79" s="10" t="inlineStr">
        <is>
          <t>A</t>
        </is>
      </c>
      <c r="N79" s="31" t="inlineStr">
        <is>
          <t>tested</t>
        </is>
      </c>
      <c r="O79" s="4" t="inlineStr">
        <is>
          <t>nm/core/evidence.py and nm/evidence/verify.py - output-facing retrieval values are Finding objects, not raw chunks.</t>
        </is>
      </c>
      <c r="P79" s="4" t="inlineStr">
        <is>
          <t>nm/tests/a_logic/test_phase2_evidence.py::test_v08_clean_finding_passes_without_violations (ran 2026-08-27)</t>
        </is>
      </c>
      <c r="Q79" s="4" t="inlineStr">
        <is>
          <t>2026-08-27</t>
        </is>
      </c>
    </row>
    <row r="80">
      <c r="A80" s="6" t="inlineStr">
        <is>
          <t>V-02</t>
        </is>
      </c>
      <c r="B80" s="15" t="inlineStr">
        <is>
          <t>Phase 2 - Evidence</t>
        </is>
      </c>
      <c r="C80" s="8" t="inlineStr">
        <is>
          <t>EP-10</t>
        </is>
      </c>
      <c r="D80" s="9" t="inlineStr">
        <is>
          <t>In-force check at the relevant date</t>
        </is>
      </c>
      <c r="E80" s="8" t="inlineStr">
        <is>
          <t>Evidence</t>
        </is>
      </c>
      <c r="F80" s="8" t="inlineStr">
        <is>
          <t>G1</t>
        </is>
      </c>
      <c r="G80" s="8" t="inlineStr">
        <is>
          <t>7.10</t>
        </is>
      </c>
      <c r="H80" s="10" t="n">
        <v>3</v>
      </c>
      <c r="I80" s="11" t="inlineStr">
        <is>
          <t>Known</t>
        </is>
      </c>
      <c r="J80" s="8" t="inlineStr">
        <is>
          <t>V-01,K-02</t>
        </is>
      </c>
      <c r="K80" s="9" t="inlineStr">
        <is>
          <t>A repealed provision stops being citable for a later matter</t>
        </is>
      </c>
      <c r="L80" s="9" t="inlineStr">
        <is>
          <t>A Finding outside its validity window cannot be used</t>
        </is>
      </c>
      <c r="M80" s="10" t="inlineStr">
        <is>
          <t>B</t>
        </is>
      </c>
      <c r="N80" s="31" t="inlineStr">
        <is>
          <t>tested</t>
        </is>
      </c>
      <c r="O80" s="4" t="inlineStr">
        <is>
          <t>nm/evidence/verify.py - review_finding checks currency at the matter's relevant date and records G1 on stale provisions.</t>
        </is>
      </c>
      <c r="P80" s="4" t="inlineStr">
        <is>
          <t>nm/tests/a_logic/test_phase2_evidence.py::test_v02_v03_v04_v05_finding_verification_records_non_grounding_failures (ran 2026-08-27)</t>
        </is>
      </c>
      <c r="Q80" s="4" t="inlineStr">
        <is>
          <t>2026-08-27</t>
        </is>
      </c>
    </row>
    <row r="81">
      <c r="A81" s="6" t="inlineStr">
        <is>
          <t>V-03</t>
        </is>
      </c>
      <c r="B81" s="15" t="inlineStr">
        <is>
          <t>Phase 2 - Evidence</t>
        </is>
      </c>
      <c r="C81" s="8" t="inlineStr">
        <is>
          <t>EP-10</t>
        </is>
      </c>
      <c r="D81" s="9" t="inlineStr">
        <is>
          <t>Paragraph-kind gate on attribution</t>
        </is>
      </c>
      <c r="E81" s="8" t="inlineStr">
        <is>
          <t>Evidence</t>
        </is>
      </c>
      <c r="F81" s="8" t="inlineStr">
        <is>
          <t>C3</t>
        </is>
      </c>
      <c r="G81" s="8" t="inlineStr">
        <is>
          <t>7.10</t>
        </is>
      </c>
      <c r="H81" s="10" t="n">
        <v>3</v>
      </c>
      <c r="I81" s="11" t="inlineStr">
        <is>
          <t>Known</t>
        </is>
      </c>
      <c r="J81" s="8" t="inlineStr">
        <is>
          <t>V-01,I-02</t>
        </is>
      </c>
      <c r="K81" s="9" t="inlineStr">
        <is>
          <t>Counsel's submission stops being quotable as the holding</t>
        </is>
      </c>
      <c r="L81" s="9" t="inlineStr">
        <is>
          <t>A proposition attributed to an arguments paragraph fails</t>
        </is>
      </c>
      <c r="M81" s="10" t="inlineStr">
        <is>
          <t>B</t>
        </is>
      </c>
      <c r="N81" s="31" t="inlineStr">
        <is>
          <t>tested</t>
        </is>
      </c>
      <c r="O81" s="4" t="inlineStr">
        <is>
          <t>nm/evidence/verify.py - review_finding applies the paragraph-kind attribution gate and records C3 violations.</t>
        </is>
      </c>
      <c r="P81" s="4" t="inlineStr">
        <is>
          <t>nm/tests/a_logic/test_phase2_evidence.py::test_v02_v03_v04_v05_finding_verification_records_non_grounding_failures (ran 2026-08-27)</t>
        </is>
      </c>
      <c r="Q81" s="4" t="inlineStr">
        <is>
          <t>2026-08-27</t>
        </is>
      </c>
    </row>
    <row r="82">
      <c r="A82" s="6" t="inlineStr">
        <is>
          <t>V-04</t>
        </is>
      </c>
      <c r="B82" s="15" t="inlineStr">
        <is>
          <t>Phase 2 - Evidence</t>
        </is>
      </c>
      <c r="C82" s="8" t="inlineStr">
        <is>
          <t>EP-10</t>
        </is>
      </c>
      <c r="D82" s="9" t="inlineStr">
        <is>
          <t>Binding status computed for this matter's forum</t>
        </is>
      </c>
      <c r="E82" s="8" t="inlineStr">
        <is>
          <t>Evidence</t>
        </is>
      </c>
      <c r="F82" s="8" t="inlineStr">
        <is>
          <t>C1,C2</t>
        </is>
      </c>
      <c r="G82" s="8" t="inlineStr">
        <is>
          <t>7.10</t>
        </is>
      </c>
      <c r="H82" s="10" t="n">
        <v>5</v>
      </c>
      <c r="I82" s="11" t="inlineStr">
        <is>
          <t>Known</t>
        </is>
      </c>
      <c r="J82" s="8" t="inlineStr">
        <is>
          <t>V-01,K-01</t>
        </is>
      </c>
      <c r="K82" s="9" t="inlineStr">
        <is>
          <t>Authority stops being implied</t>
        </is>
      </c>
      <c r="L82" s="9" t="inlineStr">
        <is>
          <t>Every citation carries binding or persuasive, relative to this forum</t>
        </is>
      </c>
      <c r="M82" s="10" t="inlineStr">
        <is>
          <t>B</t>
        </is>
      </c>
      <c r="N82" s="31" t="inlineStr">
        <is>
          <t>tested</t>
        </is>
      </c>
      <c r="O82" s="4" t="inlineStr">
        <is>
          <t>nm/evidence/verify.py - binding_for computes binding/persuasive status relative to this matter's forum, including the AP/Telangana date boundary.</t>
        </is>
      </c>
      <c r="P82" s="4" t="inlineStr">
        <is>
          <t>nm/tests/a_logic/test_phase2_evidence.py::test_v02_v03_v04_v05_finding_verification_records_non_grounding_failures (ran 2026-08-27)</t>
        </is>
      </c>
      <c r="Q82" s="4" t="inlineStr">
        <is>
          <t>2026-08-27</t>
        </is>
      </c>
    </row>
    <row r="83">
      <c r="A83" s="6" t="inlineStr">
        <is>
          <t>V-05</t>
        </is>
      </c>
      <c r="B83" s="15" t="inlineStr">
        <is>
          <t>Phase 2 - Evidence</t>
        </is>
      </c>
      <c r="C83" s="8" t="inlineStr">
        <is>
          <t>EP-10</t>
        </is>
      </c>
      <c r="D83" s="9" t="inlineStr">
        <is>
          <t>Treatment attachment with scope</t>
        </is>
      </c>
      <c r="E83" s="8" t="inlineStr">
        <is>
          <t>Evidence</t>
        </is>
      </c>
      <c r="F83" s="8" t="inlineStr">
        <is>
          <t>C5B</t>
        </is>
      </c>
      <c r="G83" s="8" t="inlineStr">
        <is>
          <t>7.10</t>
        </is>
      </c>
      <c r="H83" s="10" t="n">
        <v>3</v>
      </c>
      <c r="I83" s="11" t="inlineStr">
        <is>
          <t>Known</t>
        </is>
      </c>
      <c r="J83" s="8" t="inlineStr">
        <is>
          <t>V-01,C-03</t>
        </is>
      </c>
      <c r="K83" s="9" t="inlineStr">
        <is>
          <t>A flagged case keeps its usable scope</t>
        </is>
      </c>
      <c r="L83" s="9" t="inlineStr">
        <is>
          <t>Treatment travels with the Finding, carrying what it was overruled on</t>
        </is>
      </c>
      <c r="M83" s="10" t="inlineStr">
        <is>
          <t>B</t>
        </is>
      </c>
      <c r="N83" s="31" t="inlineStr">
        <is>
          <t>tested</t>
        </is>
      </c>
      <c r="O83" s="4" t="inlineStr">
        <is>
          <t>nm/evidence/verify.py - treatment travels with the Finding and review_finding checks that treatment scope remains present.</t>
        </is>
      </c>
      <c r="P83" s="4" t="inlineStr">
        <is>
          <t>nm/tests/a_logic/test_phase2_evidence.py::test_v02_v03_v04_v05_finding_verification_records_non_grounding_failures (ran 2026-08-27)</t>
        </is>
      </c>
      <c r="Q83" s="4" t="inlineStr">
        <is>
          <t>2026-08-27</t>
        </is>
      </c>
    </row>
    <row r="84">
      <c r="A84" s="6" t="inlineStr">
        <is>
          <t>V-06</t>
        </is>
      </c>
      <c r="B84" s="15" t="inlineStr">
        <is>
          <t>Phase 2 - Evidence</t>
        </is>
      </c>
      <c r="C84" s="8" t="inlineStr">
        <is>
          <t>EP-10</t>
        </is>
      </c>
      <c r="D84" s="9" t="inlineStr">
        <is>
          <t>Entailment check: does the span support the proposition</t>
        </is>
      </c>
      <c r="E84" s="8" t="inlineStr">
        <is>
          <t>Evidence</t>
        </is>
      </c>
      <c r="F84" s="8" t="inlineStr">
        <is>
          <t>G6</t>
        </is>
      </c>
      <c r="G84" s="8" t="inlineStr">
        <is>
          <t>7.10</t>
        </is>
      </c>
      <c r="H84" s="10" t="n">
        <v>13</v>
      </c>
      <c r="I84" s="13" t="inlineStr">
        <is>
          <t>Unknown until instrumented</t>
        </is>
      </c>
      <c r="J84" s="8" t="inlineStr">
        <is>
          <t>V-01</t>
        </is>
      </c>
      <c r="K84" s="9" t="inlineStr">
        <is>
          <t>D5 turns from an aspiration into a gate</t>
        </is>
      </c>
      <c r="L84" s="9" t="inlineStr">
        <is>
          <t>A proposition whose span does not support it is blocked, not softened</t>
        </is>
      </c>
      <c r="M84" s="10" t="inlineStr">
        <is>
          <t>B</t>
        </is>
      </c>
      <c r="N84" s="31" t="inlineStr">
        <is>
          <t>tested</t>
        </is>
      </c>
      <c r="O84" s="4" t="inlineStr">
        <is>
          <t>nm/evidence/verify.py - review_finding applies the G6 entailment/support gate and blocks unsupported propositions.</t>
        </is>
      </c>
      <c r="P84" s="4" t="inlineStr">
        <is>
          <t>nm/tests/a_logic/test_phase2_evidence.py::test_v06_v07_grounding_failure_blocks_output (ran 2026-08-27)</t>
        </is>
      </c>
      <c r="Q84" s="4" t="inlineStr">
        <is>
          <t>2026-08-27</t>
        </is>
      </c>
    </row>
    <row r="85">
      <c r="A85" s="6" t="inlineStr">
        <is>
          <t>V-07</t>
        </is>
      </c>
      <c r="B85" s="15" t="inlineStr">
        <is>
          <t>Phase 2 - Evidence</t>
        </is>
      </c>
      <c r="C85" s="8" t="inlineStr">
        <is>
          <t>EP-10</t>
        </is>
      </c>
      <c r="D85" s="9" t="inlineStr">
        <is>
          <t>Grounding gate wired to output blocking</t>
        </is>
      </c>
      <c r="E85" s="8" t="inlineStr">
        <is>
          <t>Core</t>
        </is>
      </c>
      <c r="F85" s="8" t="inlineStr">
        <is>
          <t>P5,E3</t>
        </is>
      </c>
      <c r="G85" s="8" t="inlineStr">
        <is>
          <t>10.3</t>
        </is>
      </c>
      <c r="H85" s="10" t="n">
        <v>5</v>
      </c>
      <c r="I85" s="11" t="inlineStr">
        <is>
          <t>Known</t>
        </is>
      </c>
      <c r="J85" s="8" t="inlineStr">
        <is>
          <t>V-06</t>
        </is>
      </c>
      <c r="K85" s="9" t="inlineStr">
        <is>
          <t>The one fail-closed path in the system</t>
        </is>
      </c>
      <c r="L85" s="9" t="inlineStr">
        <is>
          <t>A grounding violation blocks the answer; every other violation ships and is recorded</t>
        </is>
      </c>
      <c r="M85" s="10" t="inlineStr">
        <is>
          <t>B</t>
        </is>
      </c>
      <c r="N85" s="31" t="inlineStr">
        <is>
          <t>tested</t>
        </is>
      </c>
      <c r="O85" s="4" t="inlineStr">
        <is>
          <t>nm/evidence/verify.py - grounding violations use require_grounded and fail closed; non-grounding violations are recorded and returned as flags.</t>
        </is>
      </c>
      <c r="P85" s="4" t="inlineStr">
        <is>
          <t>nm/tests/a_logic/test_phase2_evidence.py::test_v06_v07_grounding_failure_blocks_output (ran 2026-08-27)</t>
        </is>
      </c>
      <c r="Q85" s="4" t="inlineStr">
        <is>
          <t>2026-08-27</t>
        </is>
      </c>
    </row>
    <row r="86">
      <c r="A86" s="6" t="inlineStr">
        <is>
          <t>V-08</t>
        </is>
      </c>
      <c r="B86" s="15" t="inlineStr">
        <is>
          <t>Phase 2 - Evidence</t>
        </is>
      </c>
      <c r="C86" s="8" t="inlineStr">
        <is>
          <t>EP-10</t>
        </is>
      </c>
      <c r="D86" s="9" t="inlineStr">
        <is>
          <t>Class-B assertions at Finding construction</t>
        </is>
      </c>
      <c r="E86" s="8" t="inlineStr">
        <is>
          <t>Eval</t>
        </is>
      </c>
      <c r="F86" s="8" t="inlineStr">
        <is>
          <t>E3</t>
        </is>
      </c>
      <c r="G86" s="8" t="inlineStr">
        <is>
          <t>10.2</t>
        </is>
      </c>
      <c r="H86" s="10" t="n">
        <v>3</v>
      </c>
      <c r="I86" s="11" t="inlineStr">
        <is>
          <t>Known</t>
        </is>
      </c>
      <c r="J86" s="8" t="inlineStr">
        <is>
          <t>V-01,F-04</t>
        </is>
      </c>
      <c r="K86" s="9" t="inlineStr">
        <is>
          <t>Verification failures get collected rather than logged and lost</t>
        </is>
      </c>
      <c r="L86" s="9" t="inlineStr">
        <is>
          <t>Violations appear in TurnMetrics with the rule identifier</t>
        </is>
      </c>
      <c r="M86" s="10" t="inlineStr">
        <is>
          <t>B</t>
        </is>
      </c>
      <c r="N86" s="31" t="inlineStr">
        <is>
          <t>tested</t>
        </is>
      </c>
      <c r="O86" s="4" t="inlineStr">
        <is>
          <t>nm/evidence/verify.py - class-B finding checks record rule identifiers into TurnMetrics at answer time.</t>
        </is>
      </c>
      <c r="P86" s="4" t="inlineStr">
        <is>
          <t>nm/tests/a_logic/test_phase2_evidence.py::test_v08_clean_finding_passes_without_violations (ran 2026-08-27)</t>
        </is>
      </c>
      <c r="Q86" s="4" t="inlineStr">
        <is>
          <t>2026-08-27</t>
        </is>
      </c>
    </row>
    <row r="87">
      <c r="A87" s="6" t="inlineStr">
        <is>
          <t>T-01</t>
        </is>
      </c>
      <c r="B87" s="16" t="inlineStr">
        <is>
          <t>Phase 3 - Analysis</t>
        </is>
      </c>
      <c r="C87" s="8" t="inlineStr">
        <is>
          <t>EP-11</t>
        </is>
      </c>
      <c r="D87" s="9" t="inlineStr">
        <is>
          <t>Thread entity with a stable id never derived from the label</t>
        </is>
      </c>
      <c r="E87" s="8" t="inlineStr">
        <is>
          <t>Core</t>
        </is>
      </c>
      <c r="F87" s="8" t="inlineStr">
        <is>
          <t>D10A</t>
        </is>
      </c>
      <c r="G87" s="8" t="inlineStr">
        <is>
          <t>7.3</t>
        </is>
      </c>
      <c r="H87" s="10" t="n">
        <v>3</v>
      </c>
      <c r="I87" s="11" t="inlineStr">
        <is>
          <t>Known</t>
        </is>
      </c>
      <c r="J87" s="8" t="inlineStr">
        <is>
          <t>D-01</t>
        </is>
      </c>
      <c r="K87" s="9" t="inlineStr">
        <is>
          <t>A rename stops losing what was attached</t>
        </is>
      </c>
      <c r="L87" s="9" t="inlineStr">
        <is>
          <t>Renaming a thread preserves its id and everything attached</t>
        </is>
      </c>
      <c r="M87" s="10" t="inlineStr">
        <is>
          <t>A</t>
        </is>
      </c>
      <c r="N87" s="8" t="inlineStr">
        <is>
          <t>tested</t>
        </is>
      </c>
      <c r="O87" t="inlineStr">
        <is>
          <t>nm/core/matter.py - threads carry a stable id never derived from the label, identifiers separate from aliases, and resolution that MATCHES only on a decisive identifier while cause-title facts and labels can produce nothing stronger than a proposal. A merge needs a decisive match or a named confirmer, and reports the identifier conflicts it kept rather than silently preferring one side.</t>
        </is>
      </c>
      <c r="P87" t="inlineStr">
        <is>
          <t>nm/tests/a_logic/test_phase3_matter.py::test_t01_t02_rename_preserves_identity_attachments_and_aliases (ran 2026-08-28)</t>
        </is>
      </c>
      <c r="Q87" t="inlineStr">
        <is>
          <t>2026-08-28</t>
        </is>
      </c>
    </row>
    <row r="88">
      <c r="A88" s="6" t="inlineStr">
        <is>
          <t>T-02</t>
        </is>
      </c>
      <c r="B88" s="16" t="inlineStr">
        <is>
          <t>Phase 3 - Analysis</t>
        </is>
      </c>
      <c r="C88" s="8" t="inlineStr">
        <is>
          <t>EP-11</t>
        </is>
      </c>
      <c r="D88" s="9" t="inlineStr">
        <is>
          <t>Aliases and decisive identifiers</t>
        </is>
      </c>
      <c r="E88" s="8" t="inlineStr">
        <is>
          <t>Core</t>
        </is>
      </c>
      <c r="F88" s="8" t="inlineStr">
        <is>
          <t>D10A</t>
        </is>
      </c>
      <c r="G88" s="8" t="inlineStr">
        <is>
          <t>7.3</t>
        </is>
      </c>
      <c r="H88" s="10" t="n">
        <v>3</v>
      </c>
      <c r="I88" s="11" t="inlineStr">
        <is>
          <t>Known</t>
        </is>
      </c>
      <c r="J88" s="8" t="inlineStr">
        <is>
          <t>T-01</t>
        </is>
      </c>
      <c r="K88" s="9" t="inlineStr">
        <is>
          <t>Documents and the advocate can name the same matter differently</t>
        </is>
      </c>
      <c r="L88" s="9" t="inlineStr">
        <is>
          <t>A thread accumulates names; identifiers are separate from aliases</t>
        </is>
      </c>
      <c r="M88" s="10" t="inlineStr">
        <is>
          <t>A</t>
        </is>
      </c>
      <c r="N88" s="8" t="inlineStr">
        <is>
          <t>tested</t>
        </is>
      </c>
      <c r="O88" t="inlineStr">
        <is>
          <t>nm/core/matter.py - threads carry a stable id never derived from the label, identifiers separate from aliases, and resolution that MATCHES only on a decisive identifier while cause-title facts and labels can produce nothing stronger than a proposal. A merge needs a decisive match or a named confirmer, and reports the identifier conflicts it kept rather than silently preferring one side.</t>
        </is>
      </c>
      <c r="P88" t="inlineStr">
        <is>
          <t>nm/tests/a_logic/test_phase3_matter.py::test_t02_a_thread_accumulates_names_while_identifiers_stay_separate (ran 2026-08-28)</t>
        </is>
      </c>
      <c r="Q88" t="inlineStr">
        <is>
          <t>2026-08-28</t>
        </is>
      </c>
    </row>
    <row r="89">
      <c r="A89" s="6" t="inlineStr">
        <is>
          <t>T-03</t>
        </is>
      </c>
      <c r="B89" s="16" t="inlineStr">
        <is>
          <t>Phase 3 - Analysis</t>
        </is>
      </c>
      <c r="C89" s="8" t="inlineStr">
        <is>
          <t>EP-11</t>
        </is>
      </c>
      <c r="D89" s="9" t="inlineStr">
        <is>
          <t>Identity resolution on cause-title facts</t>
        </is>
      </c>
      <c r="E89" s="8" t="inlineStr">
        <is>
          <t>Core</t>
        </is>
      </c>
      <c r="F89" s="8" t="inlineStr">
        <is>
          <t>D10A</t>
        </is>
      </c>
      <c r="G89" s="8" t="inlineStr">
        <is>
          <t>7.3</t>
        </is>
      </c>
      <c r="H89" s="10" t="n">
        <v>8</v>
      </c>
      <c r="I89" s="12" t="inlineStr">
        <is>
          <t>Needs measurement</t>
        </is>
      </c>
      <c r="J89" s="8" t="inlineStr">
        <is>
          <t>T-02</t>
        </is>
      </c>
      <c r="K89" s="9" t="inlineStr">
        <is>
          <t>Threads stop merging on wording</t>
        </is>
      </c>
      <c r="L89" s="9" t="inlineStr">
        <is>
          <t>Label similarity alone never merges; a decisive identifier does</t>
        </is>
      </c>
      <c r="M89" s="10" t="inlineStr">
        <is>
          <t>A</t>
        </is>
      </c>
      <c r="N89" s="8" t="inlineStr">
        <is>
          <t>tested</t>
        </is>
      </c>
      <c r="O89" t="inlineStr">
        <is>
          <t>nm/core/matter.py - threads carry a stable id never derived from the label, identifiers separate from aliases, and resolution that MATCHES only on a decisive identifier while cause-title facts and labels can produce nothing stronger than a proposal. A merge needs a decisive match or a named confirmer, and reports the identifier conflicts it kept rather than silently preferring one side.</t>
        </is>
      </c>
      <c r="P89" t="inlineStr">
        <is>
          <t>nm/tests/a_logic/test_phase3_matter.py::test_t03_label_similarity_only_proposes_and_never_merges (ran 2026-08-28)</t>
        </is>
      </c>
      <c r="Q89" t="inlineStr">
        <is>
          <t>2026-08-28</t>
        </is>
      </c>
    </row>
    <row r="90">
      <c r="A90" s="6" t="inlineStr">
        <is>
          <t>T-04</t>
        </is>
      </c>
      <c r="B90" s="16" t="inlineStr">
        <is>
          <t>Phase 3 - Analysis</t>
        </is>
      </c>
      <c r="C90" s="8" t="inlineStr">
        <is>
          <t>EP-11</t>
        </is>
      </c>
      <c r="D90" s="9" t="inlineStr">
        <is>
          <t>Merge proposal and confirmation; never auto-merge on similarity</t>
        </is>
      </c>
      <c r="E90" s="8" t="inlineStr">
        <is>
          <t>Core</t>
        </is>
      </c>
      <c r="F90" s="8" t="inlineStr">
        <is>
          <t>D10A</t>
        </is>
      </c>
      <c r="G90" s="8" t="inlineStr">
        <is>
          <t>7.3</t>
        </is>
      </c>
      <c r="H90" s="10" t="n">
        <v>5</v>
      </c>
      <c r="I90" s="11" t="inlineStr">
        <is>
          <t>Known</t>
        </is>
      </c>
      <c r="J90" s="8" t="inlineStr">
        <is>
          <t>T-03</t>
        </is>
      </c>
      <c r="K90" s="9" t="inlineStr">
        <is>
          <t>The asymmetric failure defaults the safe way</t>
        </is>
      </c>
      <c r="L90" s="9" t="inlineStr">
        <is>
          <t>Every merge is reported; unconfirmed proposals leave threads separate</t>
        </is>
      </c>
      <c r="M90" s="10" t="inlineStr">
        <is>
          <t>B</t>
        </is>
      </c>
      <c r="N90" s="8" t="inlineStr">
        <is>
          <t>tested</t>
        </is>
      </c>
      <c r="O90" t="inlineStr">
        <is>
          <t>nm/core/matter.py - threads carry a stable id never derived from the label, identifiers separate from aliases, and resolution that MATCHES only on a decisive identifier while cause-title facts and labels can produce nothing stronger than a proposal. A merge needs a decisive match or a named confirmer, and reports the identifier conflicts it kept rather than silently preferring one side.</t>
        </is>
      </c>
      <c r="P90" t="inlineStr">
        <is>
          <t>nm/tests/a_logic/test_phase3_matter.py::test_t04_an_unconfirmed_merge_proposal_leaves_threads_separate (ran 2026-08-28)</t>
        </is>
      </c>
      <c r="Q90" t="inlineStr">
        <is>
          <t>2026-08-28</t>
        </is>
      </c>
    </row>
    <row r="91">
      <c r="A91" s="6" t="inlineStr">
        <is>
          <t>T-05</t>
        </is>
      </c>
      <c r="B91" s="16" t="inlineStr">
        <is>
          <t>Phase 3 - Analysis</t>
        </is>
      </c>
      <c r="C91" s="8" t="inlineStr">
        <is>
          <t>EP-11</t>
        </is>
      </c>
      <c r="D91" s="9" t="inlineStr">
        <is>
          <t>Invariant: two matters between the same parties do not merge</t>
        </is>
      </c>
      <c r="E91" s="8" t="inlineStr">
        <is>
          <t>Eval</t>
        </is>
      </c>
      <c r="F91" s="8" t="inlineStr">
        <is>
          <t>D10A</t>
        </is>
      </c>
      <c r="G91" s="8" t="inlineStr">
        <is>
          <t>9.2</t>
        </is>
      </c>
      <c r="H91" s="10" t="n">
        <v>2</v>
      </c>
      <c r="I91" s="11" t="inlineStr">
        <is>
          <t>Known</t>
        </is>
      </c>
      <c r="J91" s="8" t="inlineStr">
        <is>
          <t>T-03,F-03</t>
        </is>
      </c>
      <c r="K91" s="9" t="inlineStr">
        <is>
          <t>The failure naive similarity gets wrong stays caught</t>
        </is>
      </c>
      <c r="L91" s="9" t="inlineStr">
        <is>
          <t>A recovery suit and an eviction between the same parties remain two threads</t>
        </is>
      </c>
      <c r="M91" s="10" t="inlineStr">
        <is>
          <t>A</t>
        </is>
      </c>
      <c r="N91" s="8" t="inlineStr">
        <is>
          <t>tested</t>
        </is>
      </c>
      <c r="O91" t="inlineStr">
        <is>
          <t>nm/core/matter.py - threads carry a stable id never derived from the label, identifiers separate from aliases, and resolution that MATCHES only on a decisive identifier while cause-title facts and labels can produce nothing stronger than a proposal. A merge needs a decisive match or a named confirmer, and reports the identifier conflicts it kept rather than silently preferring one side.</t>
        </is>
      </c>
      <c r="P91" t="inlineStr">
        <is>
          <t>nm/tests/a_logic/test_phase3_matter.py::test_t05_same_parties_in_different_matters_remain_separate (ran 2026-08-28)</t>
        </is>
      </c>
      <c r="Q91" t="inlineStr">
        <is>
          <t>2026-08-28</t>
        </is>
      </c>
    </row>
    <row r="92">
      <c r="A92" s="6" t="inlineStr">
        <is>
          <t>T-06</t>
        </is>
      </c>
      <c r="B92" s="16" t="inlineStr">
        <is>
          <t>Phase 3 - Analysis</t>
        </is>
      </c>
      <c r="C92" s="8" t="inlineStr">
        <is>
          <t>EP-11</t>
        </is>
      </c>
      <c r="D92" s="9" t="inlineStr">
        <is>
          <t>Deferred threads stay visible with their reason</t>
        </is>
      </c>
      <c r="E92" s="8" t="inlineStr">
        <is>
          <t>Core</t>
        </is>
      </c>
      <c r="F92" s="8" t="inlineStr">
        <is>
          <t>Q7</t>
        </is>
      </c>
      <c r="G92" s="8" t="inlineStr">
        <is>
          <t>7.3</t>
        </is>
      </c>
      <c r="H92" s="10" t="n">
        <v>2</v>
      </c>
      <c r="I92" s="11" t="inlineStr">
        <is>
          <t>Known</t>
        </is>
      </c>
      <c r="J92" s="8" t="inlineStr">
        <is>
          <t>T-01</t>
        </is>
      </c>
      <c r="K92" s="9" t="inlineStr">
        <is>
          <t>No matter disappears silently</t>
        </is>
      </c>
      <c r="L92" s="9" t="inlineStr">
        <is>
          <t>Matters identified equals matters reported, or the difference is stated</t>
        </is>
      </c>
      <c r="M92" s="10" t="inlineStr">
        <is>
          <t>B</t>
        </is>
      </c>
      <c r="N92" s="8" t="inlineStr">
        <is>
          <t>tested</t>
        </is>
      </c>
      <c r="O92" t="inlineStr">
        <is>
          <t>nm/core/matter.py - threads carry a stable id never derived from the label, identifiers separate from aliases, and resolution that MATCHES only on a decisive identifier while cause-title facts and labels can produce nothing stronger than a proposal. A merge needs a decisive match or a named confirmer, and reports the identifier conflicts it kept rather than silently preferring one side.</t>
        </is>
      </c>
      <c r="P92" t="inlineStr">
        <is>
          <t>nm/tests/a_logic/test_phase3_matter.py::test_t06_every_deferred_thread_remains_visible_with_its_reason (ran 2026-08-28)</t>
        </is>
      </c>
      <c r="Q92" t="inlineStr">
        <is>
          <t>2026-08-28</t>
        </is>
      </c>
    </row>
    <row r="93">
      <c r="A93" s="6" t="inlineStr">
        <is>
          <t>FA-01</t>
        </is>
      </c>
      <c r="B93" s="16" t="inlineStr">
        <is>
          <t>Phase 3 - Analysis</t>
        </is>
      </c>
      <c r="C93" s="8" t="inlineStr">
        <is>
          <t>EP-12</t>
        </is>
      </c>
      <c r="D93" s="9" t="inlineStr">
        <is>
          <t>Fact entity with provenance and certainty</t>
        </is>
      </c>
      <c r="E93" s="8" t="inlineStr">
        <is>
          <t>Core</t>
        </is>
      </c>
      <c r="F93" s="8" t="inlineStr">
        <is>
          <t>D10,L2</t>
        </is>
      </c>
      <c r="G93" s="8" t="inlineStr">
        <is>
          <t>7.2</t>
        </is>
      </c>
      <c r="H93" s="10" t="n">
        <v>3</v>
      </c>
      <c r="I93" s="11" t="inlineStr">
        <is>
          <t>Known</t>
        </is>
      </c>
      <c r="J93" s="8" t="inlineStr">
        <is>
          <t>D-05</t>
        </is>
      </c>
      <c r="K93" s="9" t="inlineStr">
        <is>
          <t>Every downstream conclusion can state how sure its inputs are</t>
        </is>
      </c>
      <c r="L93" s="9" t="inlineStr">
        <is>
          <t>A Fact carries documented or asserted, and its source</t>
        </is>
      </c>
      <c r="M93" s="10" t="inlineStr">
        <is>
          <t>A</t>
        </is>
      </c>
      <c r="N93" s="8" t="inlineStr">
        <is>
          <t>tested</t>
        </is>
      </c>
      <c r="O93" t="inlineStr">
        <is>
          <t>nm/core/facts.py + cascade.py - a fact cannot exist without provenance; certainty follows provenance rather than opinion; undated is a value. Two sources for one named field are BOTH kept and cross-linked, never resolved by text similarity. Corrections run through the cascade so dependents re-derive, and an immaterial change is recorded as skipped rather than dropped.</t>
        </is>
      </c>
      <c r="P93" t="inlineStr">
        <is>
          <t>nm/tests/a_logic/test_phase3_matter.py::test_fa01_fact_carries_documented_or_asserted_certainty_and_source (ran 2026-08-28)</t>
        </is>
      </c>
      <c r="Q93" t="inlineStr">
        <is>
          <t>2026-08-28</t>
        </is>
      </c>
    </row>
    <row r="94">
      <c r="A94" s="6" t="inlineStr">
        <is>
          <t>FA-02</t>
        </is>
      </c>
      <c r="B94" s="16" t="inlineStr">
        <is>
          <t>Phase 3 - Analysis</t>
        </is>
      </c>
      <c r="C94" s="8" t="inlineStr">
        <is>
          <t>EP-12</t>
        </is>
      </c>
      <c r="D94" s="9" t="inlineStr">
        <is>
          <t>Confirmation gate: by confidence, and always for dates, amounts, names, roles</t>
        </is>
      </c>
      <c r="E94" s="8" t="inlineStr">
        <is>
          <t>Core</t>
        </is>
      </c>
      <c r="F94" s="8" t="inlineStr">
        <is>
          <t>D10</t>
        </is>
      </c>
      <c r="G94" s="8" t="inlineStr">
        <is>
          <t>7.2</t>
        </is>
      </c>
      <c r="H94" s="10" t="n">
        <v>5</v>
      </c>
      <c r="I94" s="11" t="inlineStr">
        <is>
          <t>Known</t>
        </is>
      </c>
      <c r="J94" s="8" t="inlineStr">
        <is>
          <t>FA-01</t>
        </is>
      </c>
      <c r="K94" s="9" t="inlineStr">
        <is>
          <t>An extraction error stops becoming a legal error silently</t>
        </is>
      </c>
      <c r="L94" s="9" t="inlineStr">
        <is>
          <t>Below-confidence and always-confirm fields require confirmation before use</t>
        </is>
      </c>
      <c r="M94" s="10" t="inlineStr">
        <is>
          <t>B</t>
        </is>
      </c>
      <c r="N94" s="8" t="inlineStr">
        <is>
          <t>tested</t>
        </is>
      </c>
      <c r="O94" t="inlineStr">
        <is>
          <t>nm/core/facts.py + cascade.py - a fact cannot exist without provenance; certainty follows provenance rather than opinion; undated is a value. Two sources for one named field are BOTH kept and cross-linked, never resolved by text similarity. Corrections run through the cascade so dependents re-derive, and an immaterial change is recorded as skipped rather than dropped.</t>
        </is>
      </c>
      <c r="P94" t="inlineStr">
        <is>
          <t>nm/tests/a_logic/test_phase3_matter.py::test_fa02_confirmation_gate_records_and_withholds_an_unconfirmed_fact (ran 2026-08-28)</t>
        </is>
      </c>
      <c r="Q94" t="inlineStr">
        <is>
          <t>2026-08-28</t>
        </is>
      </c>
    </row>
    <row r="95">
      <c r="A95" s="6" t="inlineStr">
        <is>
          <t>FA-03</t>
        </is>
      </c>
      <c r="B95" s="16" t="inlineStr">
        <is>
          <t>Phase 3 - Analysis</t>
        </is>
      </c>
      <c r="C95" s="8" t="inlineStr">
        <is>
          <t>EP-12</t>
        </is>
      </c>
      <c r="D95" s="9" t="inlineStr">
        <is>
          <t>Conflict surfacing between document and advocate account</t>
        </is>
      </c>
      <c r="E95" s="8" t="inlineStr">
        <is>
          <t>Core</t>
        </is>
      </c>
      <c r="F95" s="8" t="inlineStr">
        <is>
          <t>D10</t>
        </is>
      </c>
      <c r="G95" s="8" t="inlineStr">
        <is>
          <t>7.2</t>
        </is>
      </c>
      <c r="H95" s="10" t="n">
        <v>5</v>
      </c>
      <c r="I95" s="11" t="inlineStr">
        <is>
          <t>Known</t>
        </is>
      </c>
      <c r="J95" s="8" t="inlineStr">
        <is>
          <t>FA-01</t>
        </is>
      </c>
      <c r="K95" s="9" t="inlineStr">
        <is>
          <t>Two sources of truth stop being silently reconciled</t>
        </is>
      </c>
      <c r="L95" s="9" t="inlineStr">
        <is>
          <t>Conflicting facts are both shown; neither is adopted automatically</t>
        </is>
      </c>
      <c r="M95" s="10" t="inlineStr">
        <is>
          <t>B</t>
        </is>
      </c>
      <c r="N95" s="8" t="inlineStr">
        <is>
          <t>tested</t>
        </is>
      </c>
      <c r="O95" t="inlineStr">
        <is>
          <t>nm/core/facts.py + cascade.py - a fact cannot exist without provenance; certainty follows provenance rather than opinion; undated is a value. Two sources for one named field are BOTH kept and cross-linked, never resolved by text similarity. Corrections run through the cascade so dependents re-derive, and an immaterial change is recorded as skipped rather than dropped.</t>
        </is>
      </c>
      <c r="P95" t="inlineStr">
        <is>
          <t>nm/tests/a_logic/test_phase3_matter.py::test_fa03_conflicting_sources_are_both_kept_and_neither_is_adopted (ran 2026-08-28)</t>
        </is>
      </c>
      <c r="Q95" t="inlineStr">
        <is>
          <t>2026-08-28</t>
        </is>
      </c>
    </row>
    <row r="96">
      <c r="A96" s="6" t="inlineStr">
        <is>
          <t>FA-04</t>
        </is>
      </c>
      <c r="B96" s="16" t="inlineStr">
        <is>
          <t>Phase 3 - Analysis</t>
        </is>
      </c>
      <c r="C96" s="8" t="inlineStr">
        <is>
          <t>EP-12</t>
        </is>
      </c>
      <c r="D96" s="9" t="inlineStr">
        <is>
          <t>Fact-correction cascade with reported changes</t>
        </is>
      </c>
      <c r="E96" s="8" t="inlineStr">
        <is>
          <t>Core</t>
        </is>
      </c>
      <c r="F96" s="8" t="inlineStr">
        <is>
          <t>Q10</t>
        </is>
      </c>
      <c r="G96" s="8" t="inlineStr">
        <is>
          <t>P4</t>
        </is>
      </c>
      <c r="H96" s="10" t="n">
        <v>8</v>
      </c>
      <c r="I96" s="11" t="inlineStr">
        <is>
          <t>Known</t>
        </is>
      </c>
      <c r="J96" s="8" t="inlineStr">
        <is>
          <t>D-03,FA-01</t>
        </is>
      </c>
      <c r="K96" s="9" t="inlineStr">
        <is>
          <t>A corrected fact stops leaving stale conclusions beneath it</t>
        </is>
      </c>
      <c r="L96" s="9" t="inlineStr">
        <is>
          <t>Every dependent recomputes; changed conclusions report their prior value</t>
        </is>
      </c>
      <c r="M96" s="10" t="inlineStr">
        <is>
          <t>A</t>
        </is>
      </c>
      <c r="N96" s="8" t="inlineStr">
        <is>
          <t>tested</t>
        </is>
      </c>
      <c r="O96" t="inlineStr">
        <is>
          <t>nm/core/facts.py + cascade.py - a fact cannot exist without provenance; certainty follows provenance rather than opinion; undated is a value. Two sources for one named field are BOTH kept and cross-linked, never resolved by text similarity. Corrections run through the cascade so dependents re-derive, and an immaterial change is recorded as skipped rather than dropped.</t>
        </is>
      </c>
      <c r="P96" t="inlineStr">
        <is>
          <t>nm/tests/a_logic/test_phase3_matter.py::test_fa04_fa05_material_correction_recomputes_dependents_and_reports_changes (ran 2026-08-28)</t>
        </is>
      </c>
      <c r="Q96" t="inlineStr">
        <is>
          <t>2026-08-28</t>
        </is>
      </c>
    </row>
    <row r="97">
      <c r="A97" s="6" t="inlineStr">
        <is>
          <t>FA-05</t>
        </is>
      </c>
      <c r="B97" s="16" t="inlineStr">
        <is>
          <t>Phase 3 - Analysis</t>
        </is>
      </c>
      <c r="C97" s="8" t="inlineStr">
        <is>
          <t>EP-12</t>
        </is>
      </c>
      <c r="D97" s="9" t="inlineStr">
        <is>
          <t>Class-A invariants for the correction cascade</t>
        </is>
      </c>
      <c r="E97" s="8" t="inlineStr">
        <is>
          <t>Eval</t>
        </is>
      </c>
      <c r="F97" s="8" t="inlineStr">
        <is>
          <t>Q10</t>
        </is>
      </c>
      <c r="G97" s="8" t="inlineStr">
        <is>
          <t>9.2</t>
        </is>
      </c>
      <c r="H97" s="10" t="n">
        <v>3</v>
      </c>
      <c r="I97" s="11" t="inlineStr">
        <is>
          <t>Known</t>
        </is>
      </c>
      <c r="J97" s="8" t="inlineStr">
        <is>
          <t>FA-04,F-03</t>
        </is>
      </c>
      <c r="K97" s="9" t="inlineStr">
        <is>
          <t>The cascade rules become commit-time enforced</t>
        </is>
      </c>
      <c r="L97" s="9" t="inlineStr">
        <is>
          <t>Suite covers stale detection, selective recompute and no-change handling</t>
        </is>
      </c>
      <c r="M97" s="10" t="inlineStr">
        <is>
          <t>A</t>
        </is>
      </c>
      <c r="N97" s="8" t="inlineStr">
        <is>
          <t>tested</t>
        </is>
      </c>
      <c r="O97" t="inlineStr">
        <is>
          <t>nm/core/facts.py + cascade.py - a fact cannot exist without provenance; certainty follows provenance rather than opinion; undated is a value. Two sources for one named field are BOTH kept and cross-linked, never resolved by text similarity. Corrections run through the cascade so dependents re-derive, and an immaterial change is recorded as skipped rather than dropped.</t>
        </is>
      </c>
      <c r="P97" t="inlineStr">
        <is>
          <t>nm/tests/a_logic/test_phase3_matter.py::test_fa05_immaterial_correction_does_not_trigger_a_full_reanalysis (ran 2026-08-28)</t>
        </is>
      </c>
      <c r="Q97" t="inlineStr">
        <is>
          <t>2026-08-28</t>
        </is>
      </c>
    </row>
    <row r="98">
      <c r="A98" s="6" t="inlineStr">
        <is>
          <t>DI-01</t>
        </is>
      </c>
      <c r="B98" s="16" t="inlineStr">
        <is>
          <t>Phase 3 - Analysis</t>
        </is>
      </c>
      <c r="C98" s="8" t="inlineStr">
        <is>
          <t>EP-13</t>
        </is>
      </c>
      <c r="D98" s="9" t="inlineStr">
        <is>
          <t>Upload: PDF, Word, images, scans</t>
        </is>
      </c>
      <c r="E98" s="8" t="inlineStr">
        <is>
          <t>Adapter</t>
        </is>
      </c>
      <c r="F98" s="8" t="inlineStr">
        <is>
          <t>D10</t>
        </is>
      </c>
      <c r="G98" s="8" t="inlineStr">
        <is>
          <t>6</t>
        </is>
      </c>
      <c r="H98" s="10" t="n">
        <v>8</v>
      </c>
      <c r="I98" s="11" t="inlineStr">
        <is>
          <t>Known</t>
        </is>
      </c>
      <c r="J98" s="8" t="inlineStr">
        <is>
          <t>F-01</t>
        </is>
      </c>
      <c r="K98" s="9" t="inlineStr">
        <is>
          <t>Documents become the primary input they are meant to be</t>
        </is>
      </c>
      <c r="L98" s="9" t="inlineStr">
        <is>
          <t>All four formats accepted, stored isolated per matter</t>
        </is>
      </c>
      <c r="M98" s="10" t="inlineStr">
        <is>
          <t>B</t>
        </is>
      </c>
      <c r="N98" s="8" t="inlineStr">
        <is>
          <t>tested</t>
        </is>
      </c>
      <c r="O98" t="inlineStr">
        <is>
          <t>nm/adapters/documents.py + nm/core/intake.py + nm/edge/intake.py - matter-isolated storage with path ownership enforced, PDF/Word/image/scan extraction reporting every page's confidence and whether OCR was used, per-field confidence, and a review surface that shows binding, page and confirmation gate. An unbound document contributes no facts at all; it never defaults to the first thread.</t>
        </is>
      </c>
      <c r="P98" t="inlineStr">
        <is>
          <t>nm/tests/c_corpus/test_phase3_documents.py::test_di01_pdf_word_image_and_scan_uploads_are_matter_isolated (ran 2026-08-28)</t>
        </is>
      </c>
      <c r="Q98" t="inlineStr">
        <is>
          <t>2026-08-28</t>
        </is>
      </c>
    </row>
    <row r="99">
      <c r="A99" s="6" t="inlineStr">
        <is>
          <t>DI-02</t>
        </is>
      </c>
      <c r="B99" s="16" t="inlineStr">
        <is>
          <t>Phase 3 - Analysis</t>
        </is>
      </c>
      <c r="C99" s="8" t="inlineStr">
        <is>
          <t>EP-13</t>
        </is>
      </c>
      <c r="D99" s="9" t="inlineStr">
        <is>
          <t>Extraction with per-field confidence</t>
        </is>
      </c>
      <c r="E99" s="8" t="inlineStr">
        <is>
          <t>Adapter</t>
        </is>
      </c>
      <c r="F99" s="8" t="inlineStr">
        <is>
          <t>D10</t>
        </is>
      </c>
      <c r="G99" s="8" t="inlineStr">
        <is>
          <t>6</t>
        </is>
      </c>
      <c r="H99" s="10" t="n">
        <v>13</v>
      </c>
      <c r="I99" s="13" t="inlineStr">
        <is>
          <t>Unknown until instrumented</t>
        </is>
      </c>
      <c r="J99" s="8" t="inlineStr">
        <is>
          <t>DI-01</t>
        </is>
      </c>
      <c r="K99" s="9" t="inlineStr">
        <is>
          <t>The confirmation gate gets a signal to gate on</t>
        </is>
      </c>
      <c r="L99" s="9" t="inlineStr">
        <is>
          <t>Every extracted field carries a confidence and its page</t>
        </is>
      </c>
      <c r="M99" s="10" t="inlineStr">
        <is>
          <t>C</t>
        </is>
      </c>
      <c r="N99" s="8" t="inlineStr">
        <is>
          <t>tested</t>
        </is>
      </c>
      <c r="O99" t="inlineStr">
        <is>
          <t>nm/adapters/documents.py + nm/core/intake.py + nm/edge/intake.py - matter-isolated storage with path ownership enforced, PDF/Word/image/scan extraction reporting every page's confidence and whether OCR was used, per-field confidence, and a review surface that shows binding, page and confirmation gate. An unbound document contributes no facts at all; it never defaults to the first thread.</t>
        </is>
      </c>
      <c r="P99" t="inlineStr">
        <is>
          <t>nm/tests/c_corpus/test_phase3_documents.py::test_di02_word_extraction_reports_page_text_and_field_confidence (ran 2026-08-28)</t>
        </is>
      </c>
      <c r="Q99" t="inlineStr">
        <is>
          <t>2026-08-28</t>
        </is>
      </c>
    </row>
    <row r="100">
      <c r="A100" s="6" t="inlineStr">
        <is>
          <t>DI-03</t>
        </is>
      </c>
      <c r="B100" s="16" t="inlineStr">
        <is>
          <t>Phase 3 - Analysis</t>
        </is>
      </c>
      <c r="C100" s="8" t="inlineStr">
        <is>
          <t>EP-13</t>
        </is>
      </c>
      <c r="D100" s="9" t="inlineStr">
        <is>
          <t>OCR path for scans and photographs</t>
        </is>
      </c>
      <c r="E100" s="8" t="inlineStr">
        <is>
          <t>Adapter</t>
        </is>
      </c>
      <c r="F100" s="8" t="inlineStr">
        <is>
          <t>D10</t>
        </is>
      </c>
      <c r="G100" s="8" t="inlineStr">
        <is>
          <t>6</t>
        </is>
      </c>
      <c r="H100" s="10" t="n">
        <v>8</v>
      </c>
      <c r="I100" s="13" t="inlineStr">
        <is>
          <t>Unknown until instrumented</t>
        </is>
      </c>
      <c r="J100" s="8" t="inlineStr">
        <is>
          <t>DI-02</t>
        </is>
      </c>
      <c r="K100" s="9" t="inlineStr">
        <is>
          <t>Scanned briefs stop being unusable</t>
        </is>
      </c>
      <c r="L100" s="9" t="inlineStr">
        <is>
          <t>Text extracted with confidence; quality reported per page</t>
        </is>
      </c>
      <c r="M100" s="10" t="inlineStr">
        <is>
          <t>C</t>
        </is>
      </c>
      <c r="N100" s="8" t="inlineStr">
        <is>
          <t>tested</t>
        </is>
      </c>
      <c r="O100" t="inlineStr">
        <is>
          <t>nm/adapters/documents.py + nm/core/intake.py + nm/edge/intake.py - matter-isolated storage with path ownership enforced, PDF/Word/image/scan extraction reporting every page's confidence and whether OCR was used, per-field confidence, and a review surface that shows binding, page and confirmation gate. An unbound document contributes no facts at all; it never defaults to the first thread.</t>
        </is>
      </c>
      <c r="P100" t="inlineStr">
        <is>
          <t>nm/tests/c_corpus/test_phase3_documents.py::test_di03_scanned_pdf_uses_ocr_and_reports_quality_per_page (ran 2026-08-28)</t>
        </is>
      </c>
      <c r="Q100" t="inlineStr">
        <is>
          <t>2026-08-28</t>
        </is>
      </c>
    </row>
    <row r="101">
      <c r="A101" s="6" t="inlineStr">
        <is>
          <t>DI-04</t>
        </is>
      </c>
      <c r="B101" s="16" t="inlineStr">
        <is>
          <t>Phase 3 - Analysis</t>
        </is>
      </c>
      <c r="C101" s="8" t="inlineStr">
        <is>
          <t>EP-13</t>
        </is>
      </c>
      <c r="D101" s="9" t="inlineStr">
        <is>
          <t>Extraction review surface for confirmation</t>
        </is>
      </c>
      <c r="E101" s="8" t="inlineStr">
        <is>
          <t>Edge</t>
        </is>
      </c>
      <c r="F101" s="8" t="inlineStr">
        <is>
          <t>D10</t>
        </is>
      </c>
      <c r="G101" s="8" t="inlineStr">
        <is>
          <t>6</t>
        </is>
      </c>
      <c r="H101" s="10" t="n">
        <v>8</v>
      </c>
      <c r="I101" s="11" t="inlineStr">
        <is>
          <t>Known</t>
        </is>
      </c>
      <c r="J101" s="8" t="inlineStr">
        <is>
          <t>DI-02,FA-02</t>
        </is>
      </c>
      <c r="K101" s="9" t="inlineStr">
        <is>
          <t>The advocate can confirm before anything is relied on</t>
        </is>
      </c>
      <c r="L101" s="9" t="inlineStr">
        <is>
          <t>Extracted content is presented for confirmation before use</t>
        </is>
      </c>
      <c r="M101" s="10" t="inlineStr">
        <is>
          <t>B</t>
        </is>
      </c>
      <c r="N101" s="8" t="inlineStr">
        <is>
          <t>tested</t>
        </is>
      </c>
      <c r="O101" t="inlineStr">
        <is>
          <t>nm/adapters/documents.py + nm/core/intake.py + nm/edge/intake.py - matter-isolated storage with path ownership enforced, PDF/Word/image/scan extraction reporting every page's confidence and whether OCR was used, per-field confidence, and a review surface that shows binding, page and confirmation gate. An unbound document contributes no facts at all; it never defaults to the first thread.</t>
        </is>
      </c>
      <c r="P101" t="inlineStr">
        <is>
          <t>nm/tests/c_corpus/test_phase3_documents.py::test_di04_review_surface_shows_binding_page_confidence_and_confirmation_gate (ran 2026-08-28)</t>
        </is>
      </c>
      <c r="Q101" t="inlineStr">
        <is>
          <t>2026-08-28</t>
        </is>
      </c>
    </row>
    <row r="102">
      <c r="A102" s="6" t="inlineStr">
        <is>
          <t>DI-05</t>
        </is>
      </c>
      <c r="B102" s="16" t="inlineStr">
        <is>
          <t>Phase 3 - Analysis</t>
        </is>
      </c>
      <c r="C102" s="8" t="inlineStr">
        <is>
          <t>EP-13</t>
        </is>
      </c>
      <c r="D102" s="9" t="inlineStr">
        <is>
          <t>Document-to-thread binding, shown and correctable</t>
        </is>
      </c>
      <c r="E102" s="8" t="inlineStr">
        <is>
          <t>Core</t>
        </is>
      </c>
      <c r="F102" s="8" t="inlineStr">
        <is>
          <t>D10A</t>
        </is>
      </c>
      <c r="G102" s="8" t="inlineStr">
        <is>
          <t>7.3</t>
        </is>
      </c>
      <c r="H102" s="10" t="n">
        <v>5</v>
      </c>
      <c r="I102" s="11" t="inlineStr">
        <is>
          <t>Known</t>
        </is>
      </c>
      <c r="J102" s="8" t="inlineStr">
        <is>
          <t>DI-01,T-03</t>
        </is>
      </c>
      <c r="K102" s="9" t="inlineStr">
        <is>
          <t>A document on the wrong thread stops poisoning that thread</t>
        </is>
      </c>
      <c r="L102" s="9" t="inlineStr">
        <is>
          <t>An unbound document contributes no facts; binding is visible</t>
        </is>
      </c>
      <c r="M102" s="10" t="inlineStr">
        <is>
          <t>B</t>
        </is>
      </c>
      <c r="N102" s="8" t="inlineStr">
        <is>
          <t>tested</t>
        </is>
      </c>
      <c r="O102" t="inlineStr">
        <is>
          <t>nm/adapters/documents.py + nm/core/intake.py + nm/edge/intake.py - matter-isolated storage with path ownership enforced, PDF/Word/image/scan extraction reporting every page's confidence and whether OCR was used, per-field confidence, and a review surface that shows binding, page and confirmation gate. An unbound document contributes no facts at all; it never defaults to the first thread.</t>
        </is>
      </c>
      <c r="P102" t="inlineStr">
        <is>
          <t>nm/tests/a_logic/test_phase3_matter.py::test_di05_unbound_document_contributes_no_facts (ran 2026-08-28)</t>
        </is>
      </c>
      <c r="Q102" t="inlineStr">
        <is>
          <t>2026-08-28</t>
        </is>
      </c>
    </row>
    <row r="103">
      <c r="A103" s="6" t="inlineStr">
        <is>
          <t>DI-06</t>
        </is>
      </c>
      <c r="B103" s="16" t="inlineStr">
        <is>
          <t>Phase 3 - Analysis</t>
        </is>
      </c>
      <c r="C103" s="8" t="inlineStr">
        <is>
          <t>EP-13</t>
        </is>
      </c>
      <c r="D103" s="9" t="inlineStr">
        <is>
          <t>Guard: no question asked whose answer is in a supplied document</t>
        </is>
      </c>
      <c r="E103" s="8" t="inlineStr">
        <is>
          <t>Eval</t>
        </is>
      </c>
      <c r="F103" s="8" t="inlineStr">
        <is>
          <t>Q4</t>
        </is>
      </c>
      <c r="G103" s="8" t="inlineStr">
        <is>
          <t>10.2</t>
        </is>
      </c>
      <c r="H103" s="10" t="n">
        <v>3</v>
      </c>
      <c r="I103" s="11" t="inlineStr">
        <is>
          <t>Known</t>
        </is>
      </c>
      <c r="J103" s="8" t="inlineStr">
        <is>
          <t>DI-02,GQ-03</t>
        </is>
      </c>
      <c r="K103" s="9" t="inlineStr">
        <is>
          <t>The interrogation failure stops recurring</t>
        </is>
      </c>
      <c r="L103" s="9" t="inlineStr">
        <is>
          <t>No generated question is answerable from an uploaded document</t>
        </is>
      </c>
      <c r="M103" s="10" t="inlineStr">
        <is>
          <t>B</t>
        </is>
      </c>
      <c r="N103" s="8" t="inlineStr">
        <is>
          <t>tested</t>
        </is>
      </c>
      <c r="O103" t="inlineStr">
        <is>
          <t>nm/adapters/documents.py + nm/core/intake.py + nm/edge/intake.py - matter-isolated storage with path ownership enforced, PDF/Word/image/scan extraction reporting every page's confidence and whether OCR was used, per-field confidence, and a review surface that shows binding, page and confirmation gate. An unbound document contributes no facts at all; it never defaults to the first thread.</t>
        </is>
      </c>
      <c r="P103" t="inlineStr">
        <is>
          <t>nm/tests/a_logic/test_phase3_matter.py::test_di06_q4_question_answered_by_a_document_is_not_generated (ran 2026-08-28)</t>
        </is>
      </c>
      <c r="Q103" t="inlineStr">
        <is>
          <t>2026-08-28</t>
        </is>
      </c>
    </row>
    <row r="104">
      <c r="A104" s="6" t="inlineStr">
        <is>
          <t>PO-01</t>
        </is>
      </c>
      <c r="B104" s="16" t="inlineStr">
        <is>
          <t>Phase 3 - Analysis</t>
        </is>
      </c>
      <c r="C104" s="8" t="inlineStr">
        <is>
          <t>EP-14</t>
        </is>
      </c>
      <c r="D104" s="9" t="inlineStr">
        <is>
          <t>Posture entity with side derived from role</t>
        </is>
      </c>
      <c r="E104" s="8" t="inlineStr">
        <is>
          <t>Core</t>
        </is>
      </c>
      <c r="F104" s="8" t="inlineStr">
        <is>
          <t>D8</t>
        </is>
      </c>
      <c r="G104" s="8" t="inlineStr">
        <is>
          <t>7.4</t>
        </is>
      </c>
      <c r="H104" s="10" t="n">
        <v>3</v>
      </c>
      <c r="I104" s="11" t="inlineStr">
        <is>
          <t>Known</t>
        </is>
      </c>
      <c r="J104" s="8" t="inlineStr">
        <is>
          <t>D-01</t>
        </is>
      </c>
      <c r="K104" s="9" t="inlineStr">
        <is>
          <t>The advice shape stops depending on a guess</t>
        </is>
      </c>
      <c r="L104" s="9" t="inlineStr">
        <is>
          <t>side is a function of role; unknown is a value, not a null</t>
        </is>
      </c>
      <c r="M104" s="10" t="inlineStr">
        <is>
          <t>A</t>
        </is>
      </c>
      <c r="N104" s="8" t="inlineStr">
        <is>
          <t>tested</t>
        </is>
      </c>
      <c r="O104" t="inlineStr">
        <is>
          <t>nm/core/matter.py - side is DERIVED from role and never stored, an unrecognised role is UNKNOWN rather than assumed to be moving, posture merges monotonically per thread, and every attempted flip is surfaced as a conflict rather than applied. An unresolved posture yields a blocking question and no recommendation.</t>
        </is>
      </c>
      <c r="P104" t="inlineStr">
        <is>
          <t>nm/tests/a_logic/test_phase3_matter.py::test_po01_out_of_vocabulary_role_becomes_unknown_not_a_default (ran 2026-08-28)</t>
        </is>
      </c>
      <c r="Q104" t="inlineStr">
        <is>
          <t>2026-08-28</t>
        </is>
      </c>
    </row>
    <row r="105">
      <c r="A105" s="6" t="inlineStr">
        <is>
          <t>PO-02</t>
        </is>
      </c>
      <c r="B105" s="16" t="inlineStr">
        <is>
          <t>Phase 3 - Analysis</t>
        </is>
      </c>
      <c r="C105" s="8" t="inlineStr">
        <is>
          <t>EP-14</t>
        </is>
      </c>
      <c r="D105" s="9" t="inlineStr">
        <is>
          <t>Per-thread posture extraction</t>
        </is>
      </c>
      <c r="E105" s="8" t="inlineStr">
        <is>
          <t>Core</t>
        </is>
      </c>
      <c r="F105" s="8" t="inlineStr">
        <is>
          <t>D8</t>
        </is>
      </c>
      <c r="G105" s="8" t="inlineStr">
        <is>
          <t>7.4</t>
        </is>
      </c>
      <c r="H105" s="10" t="n">
        <v>5</v>
      </c>
      <c r="I105" s="11" t="inlineStr">
        <is>
          <t>Known</t>
        </is>
      </c>
      <c r="J105" s="8" t="inlineStr">
        <is>
          <t>PO-01,T-01</t>
        </is>
      </c>
      <c r="K105" s="9" t="inlineStr">
        <is>
          <t>One client can hold opposite sides in one file</t>
        </is>
      </c>
      <c r="L105" s="9" t="inlineStr">
        <is>
          <t>Each thread resolves its own posture from its own facts</t>
        </is>
      </c>
      <c r="M105" s="10" t="inlineStr">
        <is>
          <t>A</t>
        </is>
      </c>
      <c r="N105" s="8" t="inlineStr">
        <is>
          <t>tested</t>
        </is>
      </c>
      <c r="O105" t="inlineStr">
        <is>
          <t>nm/core/matter.py - side is DERIVED from role and never stored, an unrecognised role is UNKNOWN rather than assumed to be moving, posture merges monotonically per thread, and every attempted flip is surfaced as a conflict rather than applied. An unresolved posture yields a blocking question and no recommendation.</t>
        </is>
      </c>
      <c r="P105" t="inlineStr">
        <is>
          <t>nm/tests/a_logic/test_phase3_matter.py::test_po02_posture_is_resolved_from_only_its_thread_facts (ran 2026-08-28)</t>
        </is>
      </c>
      <c r="Q105" t="inlineStr">
        <is>
          <t>2026-08-28</t>
        </is>
      </c>
    </row>
    <row r="106">
      <c r="A106" s="6" t="inlineStr">
        <is>
          <t>PO-03</t>
        </is>
      </c>
      <c r="B106" s="16" t="inlineStr">
        <is>
          <t>Phase 3 - Analysis</t>
        </is>
      </c>
      <c r="C106" s="8" t="inlineStr">
        <is>
          <t>EP-14</t>
        </is>
      </c>
      <c r="D106" s="9" t="inlineStr">
        <is>
          <t>Monotonic, evidence-gated merge with conflicts surfaced</t>
        </is>
      </c>
      <c r="E106" s="8" t="inlineStr">
        <is>
          <t>Core</t>
        </is>
      </c>
      <c r="F106" s="8" t="inlineStr">
        <is>
          <t>D8</t>
        </is>
      </c>
      <c r="G106" s="8" t="inlineStr">
        <is>
          <t>7.4</t>
        </is>
      </c>
      <c r="H106" s="10" t="n">
        <v>5</v>
      </c>
      <c r="I106" s="11" t="inlineStr">
        <is>
          <t>Known</t>
        </is>
      </c>
      <c r="J106" s="8" t="inlineStr">
        <is>
          <t>PO-02</t>
        </is>
      </c>
      <c r="K106" s="9" t="inlineStr">
        <is>
          <t>A turn-5 reversal stops happening silently</t>
        </is>
      </c>
      <c r="L106" s="9" t="inlineStr">
        <is>
          <t>A stated posture is never flipped by a later inference; conflicts are reported</t>
        </is>
      </c>
      <c r="M106" s="10" t="inlineStr">
        <is>
          <t>A</t>
        </is>
      </c>
      <c r="N106" s="8" t="inlineStr">
        <is>
          <t>tested</t>
        </is>
      </c>
      <c r="O106" t="inlineStr">
        <is>
          <t>nm/core/matter.py - side is DERIVED from role and never stored, an unrecognised role is UNKNOWN rather than assumed to be moving, posture merges monotonically per thread, and every attempted flip is surfaced as a conflict rather than applied. An unresolved posture yields a blocking question and no recommendation.</t>
        </is>
      </c>
      <c r="P106" t="inlineStr">
        <is>
          <t>nm/tests/a_logic/test_phase3_matter.py::test_po03_later_inference_cannot_silently_flip_stated_posture (ran 2026-08-28)</t>
        </is>
      </c>
      <c r="Q106" t="inlineStr">
        <is>
          <t>2026-08-28</t>
        </is>
      </c>
    </row>
    <row r="107">
      <c r="A107" s="6" t="inlineStr">
        <is>
          <t>PO-04</t>
        </is>
      </c>
      <c r="B107" s="16" t="inlineStr">
        <is>
          <t>Phase 3 - Analysis</t>
        </is>
      </c>
      <c r="C107" s="8" t="inlineStr">
        <is>
          <t>EP-14</t>
        </is>
      </c>
      <c r="D107" s="9" t="inlineStr">
        <is>
          <t>Unknown posture blocks the directive step for its thread</t>
        </is>
      </c>
      <c r="E107" s="8" t="inlineStr">
        <is>
          <t>Core</t>
        </is>
      </c>
      <c r="F107" s="8" t="inlineStr">
        <is>
          <t>D8,Q1</t>
        </is>
      </c>
      <c r="G107" s="8" t="inlineStr">
        <is>
          <t>7.9</t>
        </is>
      </c>
      <c r="H107" s="10" t="n">
        <v>3</v>
      </c>
      <c r="I107" s="11" t="inlineStr">
        <is>
          <t>Known</t>
        </is>
      </c>
      <c r="J107" s="8" t="inlineStr">
        <is>
          <t>PO-01,GQ-01</t>
        </is>
      </c>
      <c r="K107" s="9" t="inlineStr">
        <is>
          <t>The silent default that caused the original inversion is removed</t>
        </is>
      </c>
      <c r="L107" s="9" t="inlineStr">
        <is>
          <t>An unresolved posture produces a question and no recommendation</t>
        </is>
      </c>
      <c r="M107" s="10" t="inlineStr">
        <is>
          <t>B</t>
        </is>
      </c>
      <c r="N107" s="8" t="inlineStr">
        <is>
          <t>tested</t>
        </is>
      </c>
      <c r="O107" t="inlineStr">
        <is>
          <t>nm/core/matter.py - side is DERIVED from role and never stored, an unrecognised role is UNKNOWN rather than assumed to be moving, posture merges monotonically per thread, and every attempted flip is surfaced as a conflict rather than applied. An unresolved posture yields a blocking question and no recommendation.</t>
        </is>
      </c>
      <c r="P107" t="inlineStr">
        <is>
          <t>nm/tests/a_logic/test_phase3_matter.py::test_po04_unknown_posture_blocks_the_directive_step (ran 2026-08-28)</t>
        </is>
      </c>
      <c r="Q107" t="inlineStr">
        <is>
          <t>2026-08-28</t>
        </is>
      </c>
    </row>
    <row r="108">
      <c r="A108" s="6" t="inlineStr">
        <is>
          <t>PO-05</t>
        </is>
      </c>
      <c r="B108" s="16" t="inlineStr">
        <is>
          <t>Phase 3 - Analysis</t>
        </is>
      </c>
      <c r="C108" s="8" t="inlineStr">
        <is>
          <t>EP-14</t>
        </is>
      </c>
      <c r="D108" s="9" t="inlineStr">
        <is>
          <t>Class-A posture invariant suite</t>
        </is>
      </c>
      <c r="E108" s="8" t="inlineStr">
        <is>
          <t>Eval</t>
        </is>
      </c>
      <c r="F108" s="8" t="inlineStr">
        <is>
          <t>D8</t>
        </is>
      </c>
      <c r="G108" s="8" t="inlineStr">
        <is>
          <t>9.2</t>
        </is>
      </c>
      <c r="H108" s="10" t="n">
        <v>3</v>
      </c>
      <c r="I108" s="11" t="inlineStr">
        <is>
          <t>Known</t>
        </is>
      </c>
      <c r="J108" s="8" t="inlineStr">
        <is>
          <t>PO-03,F-03</t>
        </is>
      </c>
      <c r="K108" s="9" t="inlineStr">
        <is>
          <t>The inversion class stays caught at commit time</t>
        </is>
      </c>
      <c r="L108" s="9" t="inlineStr">
        <is>
          <t>Suite covers derivation, unknown handling, opposite sides and silent-flip protection</t>
        </is>
      </c>
      <c r="M108" s="10" t="inlineStr">
        <is>
          <t>A</t>
        </is>
      </c>
      <c r="N108" s="8" t="inlineStr">
        <is>
          <t>tested</t>
        </is>
      </c>
      <c r="O108" t="inlineStr">
        <is>
          <t>nm/core/matter.py - side is DERIVED from role and never stored, an unrecognised role is UNKNOWN rather than assumed to be moving, posture merges monotonically per thread, and every attempted flip is surfaced as a conflict rather than applied. An unresolved posture yields a blocking question and no recommendation.</t>
        </is>
      </c>
      <c r="P108" t="inlineStr">
        <is>
          <t>nm/tests/a_logic/test_phase3_matter.py::test_po05_opposite_roles_keep_opposite_sides (ran 2026-08-28)</t>
        </is>
      </c>
      <c r="Q108" t="inlineStr">
        <is>
          <t>2026-08-28</t>
        </is>
      </c>
    </row>
    <row r="109">
      <c r="A109" s="6" t="inlineStr">
        <is>
          <t>LM-01</t>
        </is>
      </c>
      <c r="B109" s="16" t="inlineStr">
        <is>
          <t>Phase 3 - Analysis</t>
        </is>
      </c>
      <c r="C109" s="8" t="inlineStr">
        <is>
          <t>EP-15</t>
        </is>
      </c>
      <c r="D109" s="9" t="inlineStr">
        <is>
          <t>Chronology per thread with certainty and provenance</t>
        </is>
      </c>
      <c r="E109" s="8" t="inlineStr">
        <is>
          <t>Core</t>
        </is>
      </c>
      <c r="F109" s="8" t="inlineStr">
        <is>
          <t>L1,L2</t>
        </is>
      </c>
      <c r="G109" s="8" t="inlineStr">
        <is>
          <t>7.3</t>
        </is>
      </c>
      <c r="H109" s="10" t="n">
        <v>5</v>
      </c>
      <c r="I109" s="11" t="inlineStr">
        <is>
          <t>Known</t>
        </is>
      </c>
      <c r="J109" s="8" t="inlineStr">
        <is>
          <t>FA-01</t>
        </is>
      </c>
      <c r="K109" s="9" t="inlineStr">
        <is>
          <t>Limitation gets inputs that can state their own reliability</t>
        </is>
      </c>
      <c r="L109" s="9" t="inlineStr">
        <is>
          <t>No date appears without a source; each is documented or asserted</t>
        </is>
      </c>
      <c r="M109" s="10" t="inlineStr">
        <is>
          <t>A</t>
        </is>
      </c>
      <c r="N109" s="8" t="inlineStr">
        <is>
          <t>tested</t>
        </is>
      </c>
      <c r="O109"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09" t="inlineStr">
        <is>
          <t>nm/tests/a_logic/test_phase3_analysis.py::test_lm01_chronology_is_per_thread_ordered_and_source_carrying (ran 2026-08-28)</t>
        </is>
      </c>
      <c r="Q109" t="inlineStr">
        <is>
          <t>2026-08-28</t>
        </is>
      </c>
    </row>
    <row r="110">
      <c r="A110" s="6" t="inlineStr">
        <is>
          <t>LM-02</t>
        </is>
      </c>
      <c r="B110" s="16" t="inlineStr">
        <is>
          <t>Phase 3 - Analysis</t>
        </is>
      </c>
      <c r="C110" s="8" t="inlineStr">
        <is>
          <t>EP-15</t>
        </is>
      </c>
      <c r="D110" s="9" t="inlineStr">
        <is>
          <t>Undated recorded undated; conflicting dates surfaced</t>
        </is>
      </c>
      <c r="E110" s="8" t="inlineStr">
        <is>
          <t>Core</t>
        </is>
      </c>
      <c r="F110" s="8" t="inlineStr">
        <is>
          <t>L3</t>
        </is>
      </c>
      <c r="G110" s="8" t="inlineStr">
        <is>
          <t>7.2</t>
        </is>
      </c>
      <c r="H110" s="10" t="n">
        <v>3</v>
      </c>
      <c r="I110" s="11" t="inlineStr">
        <is>
          <t>Known</t>
        </is>
      </c>
      <c r="J110" s="8" t="inlineStr">
        <is>
          <t>LM-01</t>
        </is>
      </c>
      <c r="K110" s="9" t="inlineStr">
        <is>
          <t>An inferred date stops inverting limitation silently</t>
        </is>
      </c>
      <c r="L110" s="9" t="inlineStr">
        <is>
          <t>No date is estimated; conflicts appear as conflicts</t>
        </is>
      </c>
      <c r="M110" s="10" t="inlineStr">
        <is>
          <t>A</t>
        </is>
      </c>
      <c r="N110" s="8" t="inlineStr">
        <is>
          <t>tested</t>
        </is>
      </c>
      <c r="O110"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0" t="inlineStr">
        <is>
          <t>nm/tests/a_logic/test_phase3_analysis.py::test_lm02_undated_stays_undated_and_conflicts_stay_visible (ran 2026-08-28)</t>
        </is>
      </c>
      <c r="Q110" t="inlineStr">
        <is>
          <t>2026-08-28</t>
        </is>
      </c>
    </row>
    <row r="111">
      <c r="A111" s="6" t="inlineStr">
        <is>
          <t>LM-03</t>
        </is>
      </c>
      <c r="B111" s="16" t="inlineStr">
        <is>
          <t>Phase 3 - Analysis</t>
        </is>
      </c>
      <c r="C111" s="8" t="inlineStr">
        <is>
          <t>EP-15</t>
        </is>
      </c>
      <c r="D111" s="9" t="inlineStr">
        <is>
          <t>LimitationComputation with its coverage field</t>
        </is>
      </c>
      <c r="E111" s="8" t="inlineStr">
        <is>
          <t>Core</t>
        </is>
      </c>
      <c r="F111" s="8" t="inlineStr">
        <is>
          <t>L4,L5</t>
        </is>
      </c>
      <c r="G111" s="8" t="inlineStr">
        <is>
          <t>7.7</t>
        </is>
      </c>
      <c r="H111" s="10" t="n">
        <v>8</v>
      </c>
      <c r="I111" s="11" t="inlineStr">
        <is>
          <t>Known</t>
        </is>
      </c>
      <c r="J111" s="8" t="inlineStr">
        <is>
          <t>LM-01,R-02</t>
        </is>
      </c>
      <c r="K111" s="9" t="inlineStr">
        <is>
          <t>Limitation becomes a date rather than a discussion</t>
        </is>
      </c>
      <c r="L111" s="9" t="inlineStr">
        <is>
          <t>Output carries Article, accrual event, period, factors, date and days remaining</t>
        </is>
      </c>
      <c r="M111" s="10" t="inlineStr">
        <is>
          <t>A</t>
        </is>
      </c>
      <c r="N111" s="8" t="inlineStr">
        <is>
          <t>tested</t>
        </is>
      </c>
      <c r="O111"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1" t="inlineStr">
        <is>
          <t>nm/tests/a_logic/test_phase3_analysis.py::test_lm03_limitation_is_a_date_and_day_count_with_every_required_field (ran 2026-08-28)</t>
        </is>
      </c>
      <c r="Q111" t="inlineStr">
        <is>
          <t>2026-08-28</t>
        </is>
      </c>
    </row>
    <row r="112">
      <c r="A112" s="6" t="inlineStr">
        <is>
          <t>LM-04</t>
        </is>
      </c>
      <c r="B112" s="16" t="inlineStr">
        <is>
          <t>Phase 3 - Analysis</t>
        </is>
      </c>
      <c r="C112" s="8" t="inlineStr">
        <is>
          <t>EP-15</t>
        </is>
      </c>
      <c r="D112" s="9" t="inlineStr">
        <is>
          <t>Invariant: coverage is set-equal to the thread's chronology</t>
        </is>
      </c>
      <c r="E112" s="8" t="inlineStr">
        <is>
          <t>Eval</t>
        </is>
      </c>
      <c r="F112" s="8" t="inlineStr">
        <is>
          <t>L5</t>
        </is>
      </c>
      <c r="G112" s="8" t="inlineStr">
        <is>
          <t>7.7</t>
        </is>
      </c>
      <c r="H112" s="10" t="n">
        <v>3</v>
      </c>
      <c r="I112" s="11" t="inlineStr">
        <is>
          <t>Known</t>
        </is>
      </c>
      <c r="J112" s="8" t="inlineStr">
        <is>
          <t>LM-03,F-03</t>
        </is>
      </c>
      <c r="K112" s="9" t="inlineStr">
        <is>
          <t>The acknowledgment failure becomes structurally impossible</t>
        </is>
      </c>
      <c r="L112" s="9" t="inlineStr">
        <is>
          <t>Every chronology fact appears in coverage with an effect or an express none</t>
        </is>
      </c>
      <c r="M112" s="10" t="inlineStr">
        <is>
          <t>A</t>
        </is>
      </c>
      <c r="N112" s="8" t="inlineStr">
        <is>
          <t>tested</t>
        </is>
      </c>
      <c r="O112"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2" t="inlineStr">
        <is>
          <t>nm/tests/a_logic/test_phase3_analysis.py::test_lm04_coverage_must_equal_the_whole_chronology (ran 2026-08-28)</t>
        </is>
      </c>
      <c r="Q112" t="inlineStr">
        <is>
          <t>2026-08-28</t>
        </is>
      </c>
    </row>
    <row r="113">
      <c r="A113" s="6" t="inlineStr">
        <is>
          <t>LM-05</t>
        </is>
      </c>
      <c r="B113" s="16" t="inlineStr">
        <is>
          <t>Phase 3 - Analysis</t>
        </is>
      </c>
      <c r="C113" s="8" t="inlineStr">
        <is>
          <t>EP-15</t>
        </is>
      </c>
      <c r="D113" s="9" t="inlineStr">
        <is>
          <t>Factors applied or rejected, each from a retrieved provision</t>
        </is>
      </c>
      <c r="E113" s="8" t="inlineStr">
        <is>
          <t>Core</t>
        </is>
      </c>
      <c r="F113" s="8" t="inlineStr">
        <is>
          <t>L6</t>
        </is>
      </c>
      <c r="G113" s="8" t="inlineStr">
        <is>
          <t>7.7</t>
        </is>
      </c>
      <c r="H113" s="10" t="n">
        <v>8</v>
      </c>
      <c r="I113" s="11" t="inlineStr">
        <is>
          <t>Known</t>
        </is>
      </c>
      <c r="J113" s="8" t="inlineStr">
        <is>
          <t>LM-03,R-04</t>
        </is>
      </c>
      <c r="K113" s="9" t="inlineStr">
        <is>
          <t>Extension provisions stop being asserted from memory</t>
        </is>
      </c>
      <c r="L113" s="9" t="inlineStr">
        <is>
          <t>Every factor cites the provision it rests on</t>
        </is>
      </c>
      <c r="M113" s="10" t="inlineStr">
        <is>
          <t>B</t>
        </is>
      </c>
      <c r="N113" s="8" t="inlineStr">
        <is>
          <t>tested</t>
        </is>
      </c>
      <c r="O113"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3" t="inlineStr">
        <is>
          <t>nm/tests/a_logic/test_phase3_analysis.py::test_lm05_applied_and_rejected_factors_are_cited_and_arithmetic_is_explicit (ran 2026-08-28)</t>
        </is>
      </c>
      <c r="Q113" t="inlineStr">
        <is>
          <t>2026-08-28</t>
        </is>
      </c>
    </row>
    <row r="114">
      <c r="A114" s="6" t="inlineStr">
        <is>
          <t>LM-06</t>
        </is>
      </c>
      <c r="B114" s="16" t="inlineStr">
        <is>
          <t>Phase 3 - Analysis</t>
        </is>
      </c>
      <c r="C114" s="8" t="inlineStr">
        <is>
          <t>EP-15</t>
        </is>
      </c>
      <c r="D114" s="9" t="inlineStr">
        <is>
          <t>Opponent-side limitation computation</t>
        </is>
      </c>
      <c r="E114" s="8" t="inlineStr">
        <is>
          <t>Core</t>
        </is>
      </c>
      <c r="F114" s="8" t="inlineStr">
        <is>
          <t>L8</t>
        </is>
      </c>
      <c r="G114" s="8" t="inlineStr">
        <is>
          <t>7.7</t>
        </is>
      </c>
      <c r="H114" s="10" t="n">
        <v>5</v>
      </c>
      <c r="I114" s="11" t="inlineStr">
        <is>
          <t>Known</t>
        </is>
      </c>
      <c r="J114" s="8" t="inlineStr">
        <is>
          <t>LM-03,PO-01</t>
        </is>
      </c>
      <c r="K114" s="9" t="inlineStr">
        <is>
          <t>The cheapest available defence stops being invisible</t>
        </is>
      </c>
      <c r="L114" s="9" t="inlineStr">
        <is>
          <t>On a defending thread, the opponent's limitation is computed and stated</t>
        </is>
      </c>
      <c r="M114" s="10" t="inlineStr">
        <is>
          <t>B</t>
        </is>
      </c>
      <c r="N114" s="8" t="inlineStr">
        <is>
          <t>tested</t>
        </is>
      </c>
      <c r="O114"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4" t="inlineStr">
        <is>
          <t>nm/tests/a_logic/test_phase3_analysis.py::test_lm06_opponent_side_limitation_is_a_first_class_computation (ran 2026-08-28)</t>
        </is>
      </c>
      <c r="Q114" t="inlineStr">
        <is>
          <t>2026-08-28</t>
        </is>
      </c>
    </row>
    <row r="115">
      <c r="A115" s="6" t="inlineStr">
        <is>
          <t>LM-07</t>
        </is>
      </c>
      <c r="B115" s="16" t="inlineStr">
        <is>
          <t>Phase 3 - Analysis</t>
        </is>
      </c>
      <c r="C115" s="8" t="inlineStr">
        <is>
          <t>EP-15</t>
        </is>
      </c>
      <c r="D115" s="9" t="inlineStr">
        <is>
          <t>A limitation bar resolves into an action</t>
        </is>
      </c>
      <c r="E115" s="8" t="inlineStr">
        <is>
          <t>Core</t>
        </is>
      </c>
      <c r="F115" s="8" t="inlineStr">
        <is>
          <t>L7,D0</t>
        </is>
      </c>
      <c r="G115" s="8" t="inlineStr">
        <is>
          <t>7.7</t>
        </is>
      </c>
      <c r="H115" s="10" t="n">
        <v>5</v>
      </c>
      <c r="I115" s="11" t="inlineStr">
        <is>
          <t>Known</t>
        </is>
      </c>
      <c r="J115" s="8" t="inlineStr">
        <is>
          <t>LM-03</t>
        </is>
      </c>
      <c r="K115" s="9" t="inlineStr">
        <is>
          <t>Time-barred stops being a verdict</t>
        </is>
      </c>
      <c r="L115" s="9" t="inlineStr">
        <is>
          <t>No bar is reported without a route or an express dead-end finding</t>
        </is>
      </c>
      <c r="M115" s="10" t="inlineStr">
        <is>
          <t>B</t>
        </is>
      </c>
      <c r="N115" s="8" t="inlineStr">
        <is>
          <t>tested</t>
        </is>
      </c>
      <c r="O115"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5" t="inlineStr">
        <is>
          <t>nm/tests/a_logic/test_phase3_analysis.py::test_lm07_a_bar_requires_a_route_or_an_express_dead_end (ran 2026-08-28)</t>
        </is>
      </c>
      <c r="Q115" t="inlineStr">
        <is>
          <t>2026-08-28</t>
        </is>
      </c>
    </row>
    <row r="116">
      <c r="A116" s="6" t="inlineStr">
        <is>
          <t>LM-08</t>
        </is>
      </c>
      <c r="B116" s="16" t="inlineStr">
        <is>
          <t>Phase 3 - Analysis</t>
        </is>
      </c>
      <c r="C116" s="8" t="inlineStr">
        <is>
          <t>EP-15</t>
        </is>
      </c>
      <c r="D116" s="9" t="inlineStr">
        <is>
          <t>Deadline register with recomputed status</t>
        </is>
      </c>
      <c r="E116" s="8" t="inlineStr">
        <is>
          <t>Core</t>
        </is>
      </c>
      <c r="F116" s="8" t="inlineStr">
        <is>
          <t>L9,L10</t>
        </is>
      </c>
      <c r="G116" s="8" t="inlineStr">
        <is>
          <t>7.13</t>
        </is>
      </c>
      <c r="H116" s="10" t="n">
        <v>5</v>
      </c>
      <c r="I116" s="11" t="inlineStr">
        <is>
          <t>Known</t>
        </is>
      </c>
      <c r="J116" s="8" t="inlineStr">
        <is>
          <t>LM-03</t>
        </is>
      </c>
      <c r="K116" s="9" t="inlineStr">
        <is>
          <t>Urgency stops depending on which matter is most interesting</t>
        </is>
      </c>
      <c r="L116" s="9" t="inlineStr">
        <is>
          <t>Status recomputed each turn; the nearest deadline leads</t>
        </is>
      </c>
      <c r="M116" s="10" t="inlineStr">
        <is>
          <t>B</t>
        </is>
      </c>
      <c r="N116" s="8" t="inlineStr">
        <is>
          <t>tested</t>
        </is>
      </c>
      <c r="O116"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6" t="inlineStr">
        <is>
          <t>nm/tests/a_logic/test_phase3_analysis.py::test_lm08_deadline_status_uses_its_semantic_near_date_not_a_global_constant (ran 2026-08-28)</t>
        </is>
      </c>
      <c r="Q116" t="inlineStr">
        <is>
          <t>2026-08-28</t>
        </is>
      </c>
    </row>
    <row r="117">
      <c r="A117" s="6" t="inlineStr">
        <is>
          <t>LM-09</t>
        </is>
      </c>
      <c r="B117" s="16" t="inlineStr">
        <is>
          <t>Phase 3 - Analysis</t>
        </is>
      </c>
      <c r="C117" s="8" t="inlineStr">
        <is>
          <t>EP-15</t>
        </is>
      </c>
      <c r="D117" s="9" t="inlineStr">
        <is>
          <t>Every recommended action carries a by-when</t>
        </is>
      </c>
      <c r="E117" s="8" t="inlineStr">
        <is>
          <t>Core</t>
        </is>
      </c>
      <c r="F117" s="8" t="inlineStr">
        <is>
          <t>L11</t>
        </is>
      </c>
      <c r="G117" s="8" t="inlineStr">
        <is>
          <t>7.13</t>
        </is>
      </c>
      <c r="H117" s="10" t="n">
        <v>2</v>
      </c>
      <c r="I117" s="11" t="inlineStr">
        <is>
          <t>Known</t>
        </is>
      </c>
      <c r="J117" s="8" t="inlineStr">
        <is>
          <t>LM-08,AN-01</t>
        </is>
      </c>
      <c r="K117" s="9" t="inlineStr">
        <is>
          <t>An action without a date stops being a complete action</t>
        </is>
      </c>
      <c r="L117" s="9" t="inlineStr">
        <is>
          <t>Every action element carries a date or an express none-applies</t>
        </is>
      </c>
      <c r="M117" s="10" t="inlineStr">
        <is>
          <t>B</t>
        </is>
      </c>
      <c r="N117" s="8" t="inlineStr">
        <is>
          <t>tested</t>
        </is>
      </c>
      <c r="O117" t="inlineStr">
        <is>
          <t>nm/core/analysis.py - chronology per thread with certainty and provenance; limitation as a computed DATE whose coverage must be set-equal to that chronology; factors applied or rejected each citing a retrieved provision; opponent-side computation as a first-class case; a bar resolving into a route or an express dead end. Periods are counted by the CALENDAR, not as 365-day years.</t>
        </is>
      </c>
      <c r="P117" t="inlineStr">
        <is>
          <t>nm/tests/a_logic/test_phase3_analysis.py::test_lm09_every_action_has_a_date_or_an_express_none_applies (ran 2026-08-28)</t>
        </is>
      </c>
      <c r="Q117" t="inlineStr">
        <is>
          <t>2026-08-28</t>
        </is>
      </c>
    </row>
    <row r="118">
      <c r="A118" s="6" t="inlineStr">
        <is>
          <t>IS-01</t>
        </is>
      </c>
      <c r="B118" s="16" t="inlineStr">
        <is>
          <t>Phase 3 - Analysis</t>
        </is>
      </c>
      <c r="C118" s="8" t="inlineStr">
        <is>
          <t>EP-16</t>
        </is>
      </c>
      <c r="D118" s="9" t="inlineStr">
        <is>
          <t>Issue entity with facets</t>
        </is>
      </c>
      <c r="E118" s="8" t="inlineStr">
        <is>
          <t>Core</t>
        </is>
      </c>
      <c r="F118" s="8" t="inlineStr">
        <is>
          <t>D8A</t>
        </is>
      </c>
      <c r="G118" s="8" t="inlineStr">
        <is>
          <t>7.5</t>
        </is>
      </c>
      <c r="H118" s="10" t="n">
        <v>5</v>
      </c>
      <c r="I118" s="11" t="inlineStr">
        <is>
          <t>Known</t>
        </is>
      </c>
      <c r="J118" s="8" t="inlineStr">
        <is>
          <t>D-01</t>
        </is>
      </c>
      <c r="K118" s="9" t="inlineStr">
        <is>
          <t>Classification stops forcing exclusive labels on non-exclusive things</t>
        </is>
      </c>
      <c r="L118" s="9" t="inlineStr">
        <is>
          <t>kind, effect, proof, disposition and urgency all present</t>
        </is>
      </c>
      <c r="M118" s="10" t="inlineStr">
        <is>
          <t>A</t>
        </is>
      </c>
      <c r="N118" s="8" t="inlineStr">
        <is>
          <t>tested</t>
        </is>
      </c>
      <c r="O118" t="inlineStr">
        <is>
          <t>nm/core/analysis.py - issues carry facets, effect is derived from posture and records the posture version it was computed against, every disposition carries its reason, and there is no delete path: accounting is set equality between what entered and what was accounted for. Out-of-vocabulary values return None rather than a nearest match.</t>
        </is>
      </c>
      <c r="P118" t="inlineStr">
        <is>
          <t>nm/tests/a_logic/test_phase3_analysis.py::test_is01_issue_carries_each_downstream_consumed_facet (ran 2026-08-28)</t>
        </is>
      </c>
      <c r="Q118" t="inlineStr">
        <is>
          <t>2026-08-28</t>
        </is>
      </c>
    </row>
    <row r="119">
      <c r="A119" s="6" t="inlineStr">
        <is>
          <t>IS-02</t>
        </is>
      </c>
      <c r="B119" s="16" t="inlineStr">
        <is>
          <t>Phase 3 - Analysis</t>
        </is>
      </c>
      <c r="C119" s="8" t="inlineStr">
        <is>
          <t>EP-16</t>
        </is>
      </c>
      <c r="D119" s="9" t="inlineStr">
        <is>
          <t>effect derived from posture, with effect_basis recorded</t>
        </is>
      </c>
      <c r="E119" s="8" t="inlineStr">
        <is>
          <t>Core</t>
        </is>
      </c>
      <c r="F119" s="8" t="inlineStr">
        <is>
          <t>F1</t>
        </is>
      </c>
      <c r="G119" s="8" t="inlineStr">
        <is>
          <t>7.5</t>
        </is>
      </c>
      <c r="H119" s="10" t="n">
        <v>5</v>
      </c>
      <c r="I119" s="11" t="inlineStr">
        <is>
          <t>Known</t>
        </is>
      </c>
      <c r="J119" s="8" t="inlineStr">
        <is>
          <t>IS-01,PO-01</t>
        </is>
      </c>
      <c r="K119" s="9" t="inlineStr">
        <is>
          <t>A limitation point stops being intrinsically a bar</t>
        </is>
      </c>
      <c r="L119" s="9" t="inlineStr">
        <is>
          <t>Same issue on opposite postures yields opposite effect; a posture change invalidates it</t>
        </is>
      </c>
      <c r="M119" s="10" t="inlineStr">
        <is>
          <t>A</t>
        </is>
      </c>
      <c r="N119" s="8" t="inlineStr">
        <is>
          <t>tested</t>
        </is>
      </c>
      <c r="O119" t="inlineStr">
        <is>
          <t>nm/core/analysis.py - issues carry facets, effect is derived from posture and records the posture version it was computed against, every disposition carries its reason, and there is no delete path: accounting is set equality between what entered and what was accounted for. Out-of-vocabulary values return None rather than a nearest match.</t>
        </is>
      </c>
      <c r="P119" t="inlineStr">
        <is>
          <t>nm/tests/a_logic/test_phase3_analysis.py::test_is02_effect_is_derived_from_posture_and_records_its_basis (ran 2026-08-28)</t>
        </is>
      </c>
      <c r="Q119" t="inlineStr">
        <is>
          <t>2026-08-28</t>
        </is>
      </c>
    </row>
    <row r="120">
      <c r="A120" s="6" t="inlineStr">
        <is>
          <t>IS-03</t>
        </is>
      </c>
      <c r="B120" s="16" t="inlineStr">
        <is>
          <t>Phase 3 - Analysis</t>
        </is>
      </c>
      <c r="C120" s="8" t="inlineStr">
        <is>
          <t>EP-16</t>
        </is>
      </c>
      <c r="D120" s="9" t="inlineStr">
        <is>
          <t>Disposition with required reasons</t>
        </is>
      </c>
      <c r="E120" s="8" t="inlineStr">
        <is>
          <t>Core</t>
        </is>
      </c>
      <c r="F120" s="8" t="inlineStr">
        <is>
          <t>F2</t>
        </is>
      </c>
      <c r="G120" s="8" t="inlineStr">
        <is>
          <t>7.5</t>
        </is>
      </c>
      <c r="H120" s="10" t="n">
        <v>3</v>
      </c>
      <c r="I120" s="11" t="inlineStr">
        <is>
          <t>Known</t>
        </is>
      </c>
      <c r="J120" s="8" t="inlineStr">
        <is>
          <t>IS-01</t>
        </is>
      </c>
      <c r="K120" s="9" t="inlineStr">
        <is>
          <t>Selection becomes auditable</t>
        </is>
      </c>
      <c r="L120" s="9" t="inlineStr">
        <is>
          <t>parked and closed cannot be constructed without a reason</t>
        </is>
      </c>
      <c r="M120" s="10" t="inlineStr">
        <is>
          <t>A</t>
        </is>
      </c>
      <c r="N120" s="8" t="inlineStr">
        <is>
          <t>tested</t>
        </is>
      </c>
      <c r="O120" t="inlineStr">
        <is>
          <t>nm/core/analysis.py - issues carry facets, effect is derived from posture and records the posture version it was computed against, every disposition carries its reason, and there is no delete path: accounting is set equality between what entered and what was accounted for. Out-of-vocabulary values return None rather than a nearest match.</t>
        </is>
      </c>
      <c r="P120" t="inlineStr">
        <is>
          <t>nm/tests/a_logic/test_phase3_analysis.py::test_is03_parked_closed_and_blocked_dispositions_require_reasons_or_needs (ran 2026-08-28)</t>
        </is>
      </c>
      <c r="Q120" t="inlineStr">
        <is>
          <t>2026-08-28</t>
        </is>
      </c>
    </row>
    <row r="121">
      <c r="A121" s="6" t="inlineStr">
        <is>
          <t>IS-04</t>
        </is>
      </c>
      <c r="B121" s="16" t="inlineStr">
        <is>
          <t>Phase 3 - Analysis</t>
        </is>
      </c>
      <c r="C121" s="8" t="inlineStr">
        <is>
          <t>EP-16</t>
        </is>
      </c>
      <c r="D121" s="9" t="inlineStr">
        <is>
          <t>No delete path; accounting invariant</t>
        </is>
      </c>
      <c r="E121" s="8" t="inlineStr">
        <is>
          <t>Eval</t>
        </is>
      </c>
      <c r="F121" s="8" t="inlineStr">
        <is>
          <t>F2</t>
        </is>
      </c>
      <c r="G121" s="8" t="inlineStr">
        <is>
          <t>7.5</t>
        </is>
      </c>
      <c r="H121" s="10" t="n">
        <v>3</v>
      </c>
      <c r="I121" s="11" t="inlineStr">
        <is>
          <t>Known</t>
        </is>
      </c>
      <c r="J121" s="8" t="inlineStr">
        <is>
          <t>IS-03,F-03</t>
        </is>
      </c>
      <c r="K121" s="9" t="inlineStr">
        <is>
          <t>The 20 percent silent discard becomes unrepresentable</t>
        </is>
      </c>
      <c r="L121" s="9" t="inlineStr">
        <is>
          <t>Issues entering classification equal issues accounted for by disposition</t>
        </is>
      </c>
      <c r="M121" s="10" t="inlineStr">
        <is>
          <t>A</t>
        </is>
      </c>
      <c r="N121" s="8" t="inlineStr">
        <is>
          <t>tested</t>
        </is>
      </c>
      <c r="O121" t="inlineStr">
        <is>
          <t>nm/core/analysis.py - issues carry facets, effect is derived from posture and records the posture version it was computed against, every disposition carries its reason, and there is no delete path: accounting is set equality between what entered and what was accounted for. Out-of-vocabulary values return None rather than a nearest match.</t>
        </is>
      </c>
      <c r="P121" t="inlineStr">
        <is>
          <t>nm/tests/a_logic/test_phase3_analysis.py::test_is04_issue_accounting_has_no_delete_path_and_records_missing_items (ran 2026-08-28)</t>
        </is>
      </c>
      <c r="Q121" t="inlineStr">
        <is>
          <t>2026-08-28</t>
        </is>
      </c>
    </row>
    <row r="122">
      <c r="A122" s="6" t="inlineStr">
        <is>
          <t>IS-05</t>
        </is>
      </c>
      <c r="B122" s="16" t="inlineStr">
        <is>
          <t>Phase 3 - Analysis</t>
        </is>
      </c>
      <c r="C122" s="8" t="inlineStr">
        <is>
          <t>EP-16</t>
        </is>
      </c>
      <c r="D122" s="9" t="inlineStr">
        <is>
          <t>Closed-vocabulary validation at every point of entry</t>
        </is>
      </c>
      <c r="E122" s="8" t="inlineStr">
        <is>
          <t>Core</t>
        </is>
      </c>
      <c r="F122" s="8" t="inlineStr">
        <is>
          <t>F5</t>
        </is>
      </c>
      <c r="G122" s="8" t="inlineStr">
        <is>
          <t>7.5</t>
        </is>
      </c>
      <c r="H122" s="10" t="n">
        <v>3</v>
      </c>
      <c r="I122" s="11" t="inlineStr">
        <is>
          <t>Known</t>
        </is>
      </c>
      <c r="J122" s="8" t="inlineStr">
        <is>
          <t>IS-01</t>
        </is>
      </c>
      <c r="K122" s="9" t="inlineStr">
        <is>
          <t>An out-of-vocabulary value stops emptying downstream output</t>
        </is>
      </c>
      <c r="L122" s="9" t="inlineStr">
        <is>
          <t>An unrecognised value is treated as absent and re-derived, whichever path supplied it</t>
        </is>
      </c>
      <c r="M122" s="10" t="inlineStr">
        <is>
          <t>A</t>
        </is>
      </c>
      <c r="N122" s="8" t="inlineStr">
        <is>
          <t>tested</t>
        </is>
      </c>
      <c r="O122" t="inlineStr">
        <is>
          <t>nm/core/analysis.py - issues carry facets, effect is derived from posture and records the posture version it was computed against, every disposition carries its reason, and there is no delete path: accounting is set equality between what entered and what was accounted for. Out-of-vocabulary values return None rather than a nearest match.</t>
        </is>
      </c>
      <c r="P122" t="inlineStr">
        <is>
          <t>nm/tests/a_logic/test_phase3_analysis.py::test_is05_unrecognised_closed_vocabulary_values_are_absent (ran 2026-08-28)</t>
        </is>
      </c>
      <c r="Q122" t="inlineStr">
        <is>
          <t>2026-08-28</t>
        </is>
      </c>
    </row>
    <row r="123">
      <c r="A123" s="6" t="inlineStr">
        <is>
          <t>IS-06</t>
        </is>
      </c>
      <c r="B123" s="16" t="inlineStr">
        <is>
          <t>Phase 3 - Analysis</t>
        </is>
      </c>
      <c r="C123" s="8" t="inlineStr">
        <is>
          <t>EP-16</t>
        </is>
      </c>
      <c r="D123" s="9" t="inlineStr">
        <is>
          <t>Threshold items receive merits-grade provisions and authority</t>
        </is>
      </c>
      <c r="E123" s="8" t="inlineStr">
        <is>
          <t>Core</t>
        </is>
      </c>
      <c r="F123" s="8" t="inlineStr">
        <is>
          <t>F3</t>
        </is>
      </c>
      <c r="G123" s="8" t="inlineStr">
        <is>
          <t>7.5</t>
        </is>
      </c>
      <c r="H123" s="10" t="n">
        <v>5</v>
      </c>
      <c r="I123" s="11" t="inlineStr">
        <is>
          <t>Known</t>
        </is>
      </c>
      <c r="J123" s="8" t="inlineStr">
        <is>
          <t>IS-01,V-01</t>
        </is>
      </c>
      <c r="K123" s="9" t="inlineStr">
        <is>
          <t>A threshold question stops getting a thinner pipeline</t>
        </is>
      </c>
      <c r="L123" s="9" t="inlineStr">
        <is>
          <t>A threshold issue reaches the answer with a cited provision and, where relevant, a date</t>
        </is>
      </c>
      <c r="M123" s="10" t="inlineStr">
        <is>
          <t>B</t>
        </is>
      </c>
      <c r="N123" s="8" t="inlineStr">
        <is>
          <t>tested</t>
        </is>
      </c>
      <c r="O123" t="inlineStr">
        <is>
          <t>nm/core/analysis.py - issues carry facets, effect is derived from posture and records the posture version it was computed against, every disposition carries its reason, and there is no delete path: accounting is set equality between what entered and what was accounted for. Out-of-vocabulary values return None rather than a nearest match.</t>
        </is>
      </c>
      <c r="P123" t="inlineStr">
        <is>
          <t>nm/tests/a_logic/test_phase3_analysis.py::test_is06_threshold_issue_gets_merits_grade_law_and_date (ran 2026-08-28)</t>
        </is>
      </c>
      <c r="Q123" t="inlineStr">
        <is>
          <t>2026-08-28</t>
        </is>
      </c>
    </row>
    <row r="124">
      <c r="A124" s="6" t="inlineStr">
        <is>
          <t>PF-01</t>
        </is>
      </c>
      <c r="B124" s="16" t="inlineStr">
        <is>
          <t>Phase 3 - Analysis</t>
        </is>
      </c>
      <c r="C124" s="8" t="inlineStr">
        <is>
          <t>EP-17</t>
        </is>
      </c>
      <c r="D124" s="9" t="inlineStr">
        <is>
          <t>ProofPosition per element</t>
        </is>
      </c>
      <c r="E124" s="8" t="inlineStr">
        <is>
          <t>Core</t>
        </is>
      </c>
      <c r="F124" s="8" t="inlineStr">
        <is>
          <t>P1</t>
        </is>
      </c>
      <c r="G124" s="8" t="inlineStr">
        <is>
          <t>7.6</t>
        </is>
      </c>
      <c r="H124" s="10" t="n">
        <v>8</v>
      </c>
      <c r="I124" s="11" t="inlineStr">
        <is>
          <t>Known</t>
        </is>
      </c>
      <c r="J124" s="8" t="inlineStr">
        <is>
          <t>R-05</t>
        </is>
      </c>
      <c r="K124" s="9" t="inlineStr">
        <is>
          <t>What can be established becomes a first-class question</t>
        </is>
      </c>
      <c r="L124" s="9" t="inlineStr">
        <is>
          <t>Every element carries burden, standard and material</t>
        </is>
      </c>
      <c r="M124" s="10" t="inlineStr">
        <is>
          <t>A</t>
        </is>
      </c>
      <c r="N124" s="8" t="inlineStr">
        <is>
          <t>tested</t>
        </is>
      </c>
      <c r="O124"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24" t="inlineStr">
        <is>
          <t>nm/tests/a_logic/test_phase3_analysis.py::test_pf01_pf03_each_element_has_burden_standard_material_and_gap_state (ran 2026-08-28)</t>
        </is>
      </c>
      <c r="Q124" t="inlineStr">
        <is>
          <t>2026-08-28</t>
        </is>
      </c>
    </row>
    <row r="125">
      <c r="A125" s="6" t="inlineStr">
        <is>
          <t>PF-02</t>
        </is>
      </c>
      <c r="B125" s="16" t="inlineStr">
        <is>
          <t>Phase 3 - Analysis</t>
        </is>
      </c>
      <c r="C125" s="8" t="inlineStr">
        <is>
          <t>EP-17</t>
        </is>
      </c>
      <c r="D125" s="9" t="inlineStr">
        <is>
          <t>Burden and shifts derived from retrieved presumptions</t>
        </is>
      </c>
      <c r="E125" s="8" t="inlineStr">
        <is>
          <t>Core</t>
        </is>
      </c>
      <c r="F125" s="8" t="inlineStr">
        <is>
          <t>P1</t>
        </is>
      </c>
      <c r="G125" s="8" t="inlineStr">
        <is>
          <t>7.6</t>
        </is>
      </c>
      <c r="H125" s="10" t="n">
        <v>8</v>
      </c>
      <c r="I125" s="13" t="inlineStr">
        <is>
          <t>Unknown until instrumented</t>
        </is>
      </c>
      <c r="J125" s="8" t="inlineStr">
        <is>
          <t>PF-01,V-01</t>
        </is>
      </c>
      <c r="K125" s="9" t="inlineStr">
        <is>
          <t>A presumption stops being described without its consequence</t>
        </is>
      </c>
      <c r="L125" s="9" t="inlineStr">
        <is>
          <t>A shift cites the provision that causes it</t>
        </is>
      </c>
      <c r="M125" s="10" t="inlineStr">
        <is>
          <t>B</t>
        </is>
      </c>
      <c r="N125" s="8" t="inlineStr">
        <is>
          <t>tested</t>
        </is>
      </c>
      <c r="O125"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25" t="inlineStr">
        <is>
          <t>nm/tests/a_logic/test_phase3_analysis.py::test_pf02_a_burden_shift_names_the_retrieved_presumption (ran 2026-08-28)</t>
        </is>
      </c>
      <c r="Q125" t="inlineStr">
        <is>
          <t>2026-08-28</t>
        </is>
      </c>
    </row>
    <row r="126">
      <c r="A126" s="6" t="inlineStr">
        <is>
          <t>PF-03</t>
        </is>
      </c>
      <c r="B126" s="16" t="inlineStr">
        <is>
          <t>Phase 3 - Analysis</t>
        </is>
      </c>
      <c r="C126" s="8" t="inlineStr">
        <is>
          <t>EP-17</t>
        </is>
      </c>
      <c r="D126" s="9" t="inlineStr">
        <is>
          <t>Gap list: held, obtainable, absent</t>
        </is>
      </c>
      <c r="E126" s="8" t="inlineStr">
        <is>
          <t>Core</t>
        </is>
      </c>
      <c r="F126" s="8" t="inlineStr">
        <is>
          <t>P2</t>
        </is>
      </c>
      <c r="G126" s="8" t="inlineStr">
        <is>
          <t>7.6</t>
        </is>
      </c>
      <c r="H126" s="10" t="n">
        <v>5</v>
      </c>
      <c r="I126" s="11" t="inlineStr">
        <is>
          <t>Known</t>
        </is>
      </c>
      <c r="J126" s="8" t="inlineStr">
        <is>
          <t>PF-01</t>
        </is>
      </c>
      <c r="K126" s="9" t="inlineStr">
        <is>
          <t>The most common real advice becomes producible</t>
        </is>
      </c>
      <c r="L126" s="9" t="inlineStr">
        <is>
          <t>Every element resolves to one of the three</t>
        </is>
      </c>
      <c r="M126" s="10" t="inlineStr">
        <is>
          <t>B</t>
        </is>
      </c>
      <c r="N126" s="8" t="inlineStr">
        <is>
          <t>tested</t>
        </is>
      </c>
      <c r="O126"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26" t="inlineStr">
        <is>
          <t>nm/tests/a_logic/test_phase3_strategy.py::test_pf03_every_element_resolves_to_held_obtainable_or_absent (ran 2026-08-28)</t>
        </is>
      </c>
      <c r="Q126" t="inlineStr">
        <is>
          <t>2026-08-28</t>
        </is>
      </c>
    </row>
    <row r="127">
      <c r="A127" s="6" t="inlineStr">
        <is>
          <t>PF-04</t>
        </is>
      </c>
      <c r="B127" s="16" t="inlineStr">
        <is>
          <t>Phase 3 - Analysis</t>
        </is>
      </c>
      <c r="C127" s="8" t="inlineStr">
        <is>
          <t>EP-17</t>
        </is>
      </c>
      <c r="D127" s="9" t="inlineStr">
        <is>
          <t>Admissibility modelled separately from existence</t>
        </is>
      </c>
      <c r="E127" s="8" t="inlineStr">
        <is>
          <t>Core</t>
        </is>
      </c>
      <c r="F127" s="8" t="inlineStr">
        <is>
          <t>P3</t>
        </is>
      </c>
      <c r="G127" s="8" t="inlineStr">
        <is>
          <t>7.6</t>
        </is>
      </c>
      <c r="H127" s="10" t="n">
        <v>5</v>
      </c>
      <c r="I127" s="11" t="inlineStr">
        <is>
          <t>Known</t>
        </is>
      </c>
      <c r="J127" s="8" t="inlineStr">
        <is>
          <t>PF-01</t>
        </is>
      </c>
      <c r="K127" s="9" t="inlineStr">
        <is>
          <t>Having a document stops implying being able to prove it</t>
        </is>
      </c>
      <c r="L127" s="9" t="inlineStr">
        <is>
          <t>Each evidence item states whether it is admissible as held, and what it needs</t>
        </is>
      </c>
      <c r="M127" s="10" t="inlineStr">
        <is>
          <t>B</t>
        </is>
      </c>
      <c r="N127" s="8" t="inlineStr">
        <is>
          <t>tested</t>
        </is>
      </c>
      <c r="O127"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27" t="inlineStr">
        <is>
          <t>nm/tests/a_logic/test_phase3_analysis.py::test_pf04_existence_and_admissibility_are_separate (ran 2026-08-28)</t>
        </is>
      </c>
      <c r="Q127" t="inlineStr">
        <is>
          <t>2026-08-28</t>
        </is>
      </c>
    </row>
    <row r="128">
      <c r="A128" s="6" t="inlineStr">
        <is>
          <t>PF-05</t>
        </is>
      </c>
      <c r="B128" s="16" t="inlineStr">
        <is>
          <t>Phase 3 - Analysis</t>
        </is>
      </c>
      <c r="C128" s="8" t="inlineStr">
        <is>
          <t>EP-17</t>
        </is>
      </c>
      <c r="D128" s="9" t="inlineStr">
        <is>
          <t>A proof gap resolves into an action</t>
        </is>
      </c>
      <c r="E128" s="8" t="inlineStr">
        <is>
          <t>Core</t>
        </is>
      </c>
      <c r="F128" s="8" t="inlineStr">
        <is>
          <t>P4,D0</t>
        </is>
      </c>
      <c r="G128" s="8" t="inlineStr">
        <is>
          <t>7.6</t>
        </is>
      </c>
      <c r="H128" s="10" t="n">
        <v>3</v>
      </c>
      <c r="I128" s="11" t="inlineStr">
        <is>
          <t>Known</t>
        </is>
      </c>
      <c r="J128" s="8" t="inlineStr">
        <is>
          <t>PF-03</t>
        </is>
      </c>
      <c r="K128" s="9" t="inlineStr">
        <is>
          <t>You cannot prove it stops being the end of the sentence</t>
        </is>
      </c>
      <c r="L128" s="9" t="inlineStr">
        <is>
          <t>No gap is reported without the material that would close it or an express none</t>
        </is>
      </c>
      <c r="M128" s="10" t="inlineStr">
        <is>
          <t>B</t>
        </is>
      </c>
      <c r="N128" s="8" t="inlineStr">
        <is>
          <t>tested</t>
        </is>
      </c>
      <c r="O128"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28" t="inlineStr">
        <is>
          <t>nm/tests/a_logic/test_phase3_analysis.py::test_pf05_a_proof_gap_resolves_to_material_or_an_express_dead_end (ran 2026-08-28)</t>
        </is>
      </c>
      <c r="Q128" t="inlineStr">
        <is>
          <t>2026-08-28</t>
        </is>
      </c>
    </row>
    <row r="129">
      <c r="A129" s="6" t="inlineStr">
        <is>
          <t>PF-06</t>
        </is>
      </c>
      <c r="B129" s="16" t="inlineStr">
        <is>
          <t>Phase 3 - Analysis</t>
        </is>
      </c>
      <c r="C129" s="8" t="inlineStr">
        <is>
          <t>EP-17</t>
        </is>
      </c>
      <c r="D129" s="9" t="inlineStr">
        <is>
          <t>Register guard: findings about the record, never about honesty</t>
        </is>
      </c>
      <c r="E129" s="8" t="inlineStr">
        <is>
          <t>Core</t>
        </is>
      </c>
      <c r="F129" s="8" t="inlineStr">
        <is>
          <t>P5</t>
        </is>
      </c>
      <c r="G129" s="8" t="inlineStr">
        <is>
          <t>7.6</t>
        </is>
      </c>
      <c r="H129" s="10" t="n">
        <v>5</v>
      </c>
      <c r="I129" s="12" t="inlineStr">
        <is>
          <t>Needs measurement</t>
        </is>
      </c>
      <c r="J129" s="8" t="inlineStr">
        <is>
          <t>PF-01</t>
        </is>
      </c>
      <c r="K129" s="9" t="inlineStr">
        <is>
          <t>Credibility judgements NM is not entitled to make become impossible</t>
        </is>
      </c>
      <c r="L129" s="9" t="inlineStr">
        <is>
          <t>No output characterises the client's honesty, motive or character</t>
        </is>
      </c>
      <c r="M129" s="10" t="inlineStr">
        <is>
          <t>D</t>
        </is>
      </c>
      <c r="N129" s="8" t="inlineStr">
        <is>
          <t>built</t>
        </is>
      </c>
      <c r="O129"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29" t="inlineStr">
        <is>
          <t>Class D: rubric criterion in nm/obs/phase3.py::PHASE3_CRITERIA, and a run proposal that PRD E5 requires be approved per run. No run has been authorised, so this is BUILT and not tested (PRD E8).</t>
        </is>
      </c>
      <c r="Q129" t="inlineStr">
        <is>
          <t>2026-08-28</t>
        </is>
      </c>
    </row>
    <row r="130">
      <c r="A130" s="6" t="inlineStr">
        <is>
          <t>PF-07</t>
        </is>
      </c>
      <c r="B130" s="16" t="inlineStr">
        <is>
          <t>Phase 3 - Analysis</t>
        </is>
      </c>
      <c r="C130" s="8" t="inlineStr">
        <is>
          <t>EP-17</t>
        </is>
      </c>
      <c r="D130" s="9" t="inlineStr">
        <is>
          <t>Open-question phrasing for missing material</t>
        </is>
      </c>
      <c r="E130" s="8" t="inlineStr">
        <is>
          <t>Core</t>
        </is>
      </c>
      <c r="F130" s="8" t="inlineStr">
        <is>
          <t>P5</t>
        </is>
      </c>
      <c r="G130" s="8" t="inlineStr">
        <is>
          <t>7.6</t>
        </is>
      </c>
      <c r="H130" s="10" t="n">
        <v>3</v>
      </c>
      <c r="I130" s="11" t="inlineStr">
        <is>
          <t>Known</t>
        </is>
      </c>
      <c r="J130" s="8" t="inlineStr">
        <is>
          <t>PF-03</t>
        </is>
      </c>
      <c r="K130" s="9" t="inlineStr">
        <is>
          <t>A leading question stops manufacturing the gap it assumed</t>
        </is>
      </c>
      <c r="L130" s="9" t="inlineStr">
        <is>
          <t>Requests for material are open questions, not leading ones</t>
        </is>
      </c>
      <c r="M130" s="10" t="inlineStr">
        <is>
          <t>D</t>
        </is>
      </c>
      <c r="N130" s="8" t="inlineStr">
        <is>
          <t>built</t>
        </is>
      </c>
      <c r="O130"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30" t="inlineStr">
        <is>
          <t>Class D: rubric criterion in nm/obs/phase3.py::PHASE3_CRITERIA, and a run proposal that PRD E5 requires be approved per run. No run has been authorised, so this is BUILT and not tested (PRD E8).</t>
        </is>
      </c>
      <c r="Q130" t="inlineStr">
        <is>
          <t>2026-08-28</t>
        </is>
      </c>
    </row>
    <row r="131">
      <c r="A131" s="6" t="inlineStr">
        <is>
          <t>PF-08</t>
        </is>
      </c>
      <c r="B131" s="16" t="inlineStr">
        <is>
          <t>Phase 3 - Analysis</t>
        </is>
      </c>
      <c r="C131" s="8" t="inlineStr">
        <is>
          <t>EP-17</t>
        </is>
      </c>
      <c r="D131" s="9" t="inlineStr">
        <is>
          <t>Symmetry measurement: client-adverse versus opponent-adverse language</t>
        </is>
      </c>
      <c r="E131" s="8" t="inlineStr">
        <is>
          <t>Eval</t>
        </is>
      </c>
      <c r="F131" s="8" t="inlineStr">
        <is>
          <t>P5</t>
        </is>
      </c>
      <c r="G131" s="8" t="inlineStr">
        <is>
          <t>12</t>
        </is>
      </c>
      <c r="H131" s="10" t="n">
        <v>8</v>
      </c>
      <c r="I131" s="13" t="inlineStr">
        <is>
          <t>Unknown until instrumented</t>
        </is>
      </c>
      <c r="J131" s="8" t="inlineStr">
        <is>
          <t>PF-06,F-06</t>
        </is>
      </c>
      <c r="K131" s="9" t="inlineStr">
        <is>
          <t>The drift where careful becomes soft becomes detectable</t>
        </is>
      </c>
      <c r="L131" s="9" t="inlineStr">
        <is>
          <t>Adverse findings are stated at equal strength regardless of who they fall on</t>
        </is>
      </c>
      <c r="M131" s="10" t="inlineStr">
        <is>
          <t>D</t>
        </is>
      </c>
      <c r="N131" s="8" t="inlineStr">
        <is>
          <t>built</t>
        </is>
      </c>
      <c r="O131" t="inlineStr">
        <is>
          <t>nm/core/analysis.py - a proof position per element with burden, standard and material; existence and admissibility modelled separately so having a thing is not being able to prove it; a gap resolving into material to obtain or one express dead end; requests for missing material forced into the open register.</t>
        </is>
      </c>
      <c r="P131" t="inlineStr">
        <is>
          <t>Class D: rubric criterion in nm/obs/phase3.py::PHASE3_CRITERIA, and a run proposal that PRD E5 requires be approved per run. No run has been authorised, so this is BUILT and not tested (PRD E8).</t>
        </is>
      </c>
      <c r="Q131" t="inlineStr">
        <is>
          <t>2026-08-28</t>
        </is>
      </c>
    </row>
    <row r="132">
      <c r="A132" s="6" t="inlineStr">
        <is>
          <t>TH-01</t>
        </is>
      </c>
      <c r="B132" s="16" t="inlineStr">
        <is>
          <t>Phase 3 - Analysis</t>
        </is>
      </c>
      <c r="C132" s="8" t="inlineStr">
        <is>
          <t>EP-18</t>
        </is>
      </c>
      <c r="D132" s="9" t="inlineStr">
        <is>
          <t>Theory entity</t>
        </is>
      </c>
      <c r="E132" s="8" t="inlineStr">
        <is>
          <t>Core</t>
        </is>
      </c>
      <c r="F132" s="8" t="inlineStr">
        <is>
          <t>T1</t>
        </is>
      </c>
      <c r="G132" s="8" t="inlineStr">
        <is>
          <t>7.8</t>
        </is>
      </c>
      <c r="H132" s="10" t="n">
        <v>3</v>
      </c>
      <c r="I132" s="11" t="inlineStr">
        <is>
          <t>Known</t>
        </is>
      </c>
      <c r="J132" s="8" t="inlineStr">
        <is>
          <t>D-01</t>
        </is>
      </c>
      <c r="K132" s="9" t="inlineStr">
        <is>
          <t>The spine gets somewhere to live</t>
        </is>
      </c>
      <c r="L132" s="9" t="inlineStr">
        <is>
          <t>One sentence, factual account, legal basis, ranked relief</t>
        </is>
      </c>
      <c r="M132" s="10" t="inlineStr">
        <is>
          <t>A</t>
        </is>
      </c>
      <c r="N132" s="8" t="inlineStr">
        <is>
          <t>tested</t>
        </is>
      </c>
      <c r="O132"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2" t="inlineStr">
        <is>
          <t>nm/tests/a_logic/test_phase3_strategy.py::test_th01_theory_has_one_sentence_factual_account_law_and_ranked_relief (ran 2026-08-28)</t>
        </is>
      </c>
      <c r="Q132" t="inlineStr">
        <is>
          <t>2026-08-28</t>
        </is>
      </c>
    </row>
    <row r="133">
      <c r="A133" s="6" t="inlineStr">
        <is>
          <t>TH-02</t>
        </is>
      </c>
      <c r="B133" s="16" t="inlineStr">
        <is>
          <t>Phase 3 - Analysis</t>
        </is>
      </c>
      <c r="C133" s="8" t="inlineStr">
        <is>
          <t>EP-18</t>
        </is>
      </c>
      <c r="D133" s="9" t="inlineStr">
        <is>
          <t>One-sentence theory per thread</t>
        </is>
      </c>
      <c r="E133" s="8" t="inlineStr">
        <is>
          <t>Core</t>
        </is>
      </c>
      <c r="F133" s="8" t="inlineStr">
        <is>
          <t>T1</t>
        </is>
      </c>
      <c r="G133" s="8" t="inlineStr">
        <is>
          <t>7.8</t>
        </is>
      </c>
      <c r="H133" s="10" t="n">
        <v>8</v>
      </c>
      <c r="I133" s="11" t="inlineStr">
        <is>
          <t>Known</t>
        </is>
      </c>
      <c r="J133" s="8" t="inlineStr">
        <is>
          <t>TH-01,PO-01</t>
        </is>
      </c>
      <c r="K133" s="9" t="inlineStr">
        <is>
          <t>Advice gets a spine instead of being a list of issues</t>
        </is>
      </c>
      <c r="L133" s="9" t="inlineStr">
        <is>
          <t>Each thread's analysis opens with a single-sentence theory</t>
        </is>
      </c>
      <c r="M133" s="10" t="inlineStr">
        <is>
          <t>D</t>
        </is>
      </c>
      <c r="N133" s="8" t="inlineStr">
        <is>
          <t>built</t>
        </is>
      </c>
      <c r="O133"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3" t="inlineStr">
        <is>
          <t>Class D: rubric criterion in nm/obs/phase3.py::PHASE3_CRITERIA, and a run proposal that PRD E5 requires be approved per run. No run has been authorised, so this is BUILT and not tested (PRD E8).</t>
        </is>
      </c>
      <c r="Q133" t="inlineStr">
        <is>
          <t>2026-08-28</t>
        </is>
      </c>
    </row>
    <row r="134">
      <c r="A134" s="6" t="inlineStr">
        <is>
          <t>TH-03</t>
        </is>
      </c>
      <c r="B134" s="16" t="inlineStr">
        <is>
          <t>Phase 3 - Analysis</t>
        </is>
      </c>
      <c r="C134" s="8" t="inlineStr">
        <is>
          <t>EP-18</t>
        </is>
      </c>
      <c r="D134" s="9" t="inlineStr">
        <is>
          <t>Affirmative-theory check for defending threads</t>
        </is>
      </c>
      <c r="E134" s="8" t="inlineStr">
        <is>
          <t>Core</t>
        </is>
      </c>
      <c r="F134" s="8" t="inlineStr">
        <is>
          <t>T1</t>
        </is>
      </c>
      <c r="G134" s="8" t="inlineStr">
        <is>
          <t>7.8</t>
        </is>
      </c>
      <c r="H134" s="10" t="n">
        <v>5</v>
      </c>
      <c r="I134" s="11" t="inlineStr">
        <is>
          <t>Known</t>
        </is>
      </c>
      <c r="J134" s="8" t="inlineStr">
        <is>
          <t>TH-02</t>
        </is>
      </c>
      <c r="K134" s="9" t="inlineStr">
        <is>
          <t>We deny stops passing as a theory</t>
        </is>
      </c>
      <c r="L134" s="9" t="inlineStr">
        <is>
          <t>A denial-only theory fails unless expressly reasoned as the strategy</t>
        </is>
      </c>
      <c r="M134" s="10" t="inlineStr">
        <is>
          <t>D</t>
        </is>
      </c>
      <c r="N134" s="8" t="inlineStr">
        <is>
          <t>built</t>
        </is>
      </c>
      <c r="O134"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4" t="inlineStr">
        <is>
          <t>Class D: rubric criterion in nm/obs/phase3.py::PHASE3_CRITERIA, and a run proposal that PRD E5 requires be approved per run. No run has been authorised, so this is BUILT and not tested (PRD E8).</t>
        </is>
      </c>
      <c r="Q134" t="inlineStr">
        <is>
          <t>2026-08-28</t>
        </is>
      </c>
    </row>
    <row r="135">
      <c r="A135" s="6" t="inlineStr">
        <is>
          <t>TH-04</t>
        </is>
      </c>
      <c r="B135" s="16" t="inlineStr">
        <is>
          <t>Phase 3 - Analysis</t>
        </is>
      </c>
      <c r="C135" s="8" t="inlineStr">
        <is>
          <t>EP-18</t>
        </is>
      </c>
      <c r="D135" s="9" t="inlineStr">
        <is>
          <t>adverse_facts coverage against the thread's adverse facts</t>
        </is>
      </c>
      <c r="E135" s="8" t="inlineStr">
        <is>
          <t>Eval</t>
        </is>
      </c>
      <c r="F135" s="8" t="inlineStr">
        <is>
          <t>T2</t>
        </is>
      </c>
      <c r="G135" s="8" t="inlineStr">
        <is>
          <t>7.8</t>
        </is>
      </c>
      <c r="H135" s="10" t="n">
        <v>5</v>
      </c>
      <c r="I135" s="11" t="inlineStr">
        <is>
          <t>Known</t>
        </is>
      </c>
      <c r="J135" s="8" t="inlineStr">
        <is>
          <t>TH-01,LM-01</t>
        </is>
      </c>
      <c r="K135" s="9" t="inlineStr">
        <is>
          <t>A theory that needs facts forgotten becomes detectable</t>
        </is>
      </c>
      <c r="L135" s="9" t="inlineStr">
        <is>
          <t>Every adverse fact is explained or expressly conceded</t>
        </is>
      </c>
      <c r="M135" s="10" t="inlineStr">
        <is>
          <t>A</t>
        </is>
      </c>
      <c r="N135" s="8" t="inlineStr">
        <is>
          <t>tested</t>
        </is>
      </c>
      <c r="O135"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5" t="inlineStr">
        <is>
          <t>nm/tests/a_logic/test_phase3_strategy.py::test_th04_every_adverse_fact_is_explained_or_conceded (ran 2026-08-28)</t>
        </is>
      </c>
      <c r="Q135" t="inlineStr">
        <is>
          <t>2026-08-28</t>
        </is>
      </c>
    </row>
    <row r="136">
      <c r="A136" s="6" t="inlineStr">
        <is>
          <t>TH-05</t>
        </is>
      </c>
      <c r="B136" s="16" t="inlineStr">
        <is>
          <t>Phase 3 - Analysis</t>
        </is>
      </c>
      <c r="C136" s="8" t="inlineStr">
        <is>
          <t>EP-18</t>
        </is>
      </c>
      <c r="D136" s="9" t="inlineStr">
        <is>
          <t>Theory as the selection criterion</t>
        </is>
      </c>
      <c r="E136" s="8" t="inlineStr">
        <is>
          <t>Core</t>
        </is>
      </c>
      <c r="F136" s="8" t="inlineStr">
        <is>
          <t>T3,D2A</t>
        </is>
      </c>
      <c r="G136" s="8" t="inlineStr">
        <is>
          <t>7.8</t>
        </is>
      </c>
      <c r="H136" s="10" t="n">
        <v>8</v>
      </c>
      <c r="I136" s="11" t="inlineStr">
        <is>
          <t>Known</t>
        </is>
      </c>
      <c r="J136" s="8" t="inlineStr">
        <is>
          <t>TH-02,SE-01</t>
        </is>
      </c>
      <c r="K136" s="9" t="inlineStr">
        <is>
          <t>Selection gets a principled criterion instead of a feel</t>
        </is>
      </c>
      <c r="L136" s="9" t="inlineStr">
        <is>
          <t>Every recommended argument traces to the theory it serves</t>
        </is>
      </c>
      <c r="M136" s="10" t="inlineStr">
        <is>
          <t>B</t>
        </is>
      </c>
      <c r="N136" s="8" t="inlineStr">
        <is>
          <t>tested</t>
        </is>
      </c>
      <c r="O136"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6" t="inlineStr">
        <is>
          <t>nm/tests/a_logic/test_phase3_strategy.py::test_th05_se01_theory_is_the_selection_criterion (ran 2026-08-28)</t>
        </is>
      </c>
      <c r="Q136" t="inlineStr">
        <is>
          <t>2026-08-28</t>
        </is>
      </c>
    </row>
    <row r="137">
      <c r="A137" s="6" t="inlineStr">
        <is>
          <t>TH-06</t>
        </is>
      </c>
      <c r="B137" s="16" t="inlineStr">
        <is>
          <t>Phase 3 - Analysis</t>
        </is>
      </c>
      <c r="C137" s="8" t="inlineStr">
        <is>
          <t>EP-18</t>
        </is>
      </c>
      <c r="D137" s="9" t="inlineStr">
        <is>
          <t>Inconsistent-theory detection</t>
        </is>
      </c>
      <c r="E137" s="8" t="inlineStr">
        <is>
          <t>Core</t>
        </is>
      </c>
      <c r="F137" s="8" t="inlineStr">
        <is>
          <t>T3</t>
        </is>
      </c>
      <c r="G137" s="8" t="inlineStr">
        <is>
          <t>7.8</t>
        </is>
      </c>
      <c r="H137" s="10" t="n">
        <v>13</v>
      </c>
      <c r="I137" s="13" t="inlineStr">
        <is>
          <t>Unknown until instrumented</t>
        </is>
      </c>
      <c r="J137" s="8" t="inlineStr">
        <is>
          <t>TH-05</t>
        </is>
      </c>
      <c r="K137" s="9" t="inlineStr">
        <is>
          <t>Two individually sound arguments that cannot both be true get caught</t>
        </is>
      </c>
      <c r="L137" s="9" t="inlineStr">
        <is>
          <t>An argument requiring a different factual account is flagged, not silently included</t>
        </is>
      </c>
      <c r="M137" s="10" t="inlineStr">
        <is>
          <t>D</t>
        </is>
      </c>
      <c r="N137" s="8" t="inlineStr">
        <is>
          <t>built</t>
        </is>
      </c>
      <c r="O137"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7" t="inlineStr">
        <is>
          <t>Class D: rubric criterion in nm/obs/phase3.py::PHASE3_CRITERIA, and a run proposal that PRD E5 requires be approved per run. No run has been authorised, so this is BUILT and not tested (PRD E8).</t>
        </is>
      </c>
      <c r="Q137" t="inlineStr">
        <is>
          <t>2026-08-28</t>
        </is>
      </c>
    </row>
    <row r="138">
      <c r="A138" s="6" t="inlineStr">
        <is>
          <t>TH-07</t>
        </is>
      </c>
      <c r="B138" s="16" t="inlineStr">
        <is>
          <t>Phase 3 - Analysis</t>
        </is>
      </c>
      <c r="C138" s="8" t="inlineStr">
        <is>
          <t>EP-18</t>
        </is>
      </c>
      <c r="D138" s="9" t="inlineStr">
        <is>
          <t>Opponent theory, stated at its strongest</t>
        </is>
      </c>
      <c r="E138" s="8" t="inlineStr">
        <is>
          <t>Core</t>
        </is>
      </c>
      <c r="F138" s="8" t="inlineStr">
        <is>
          <t>T4</t>
        </is>
      </c>
      <c r="G138" s="8" t="inlineStr">
        <is>
          <t>7.8</t>
        </is>
      </c>
      <c r="H138" s="10" t="n">
        <v>5</v>
      </c>
      <c r="I138" s="11" t="inlineStr">
        <is>
          <t>Known</t>
        </is>
      </c>
      <c r="J138" s="8" t="inlineStr">
        <is>
          <t>TH-02</t>
        </is>
      </c>
      <c r="K138" s="9" t="inlineStr">
        <is>
          <t>A theory gets tested against theirs, not against objections</t>
        </is>
      </c>
      <c r="L138" s="9" t="inlineStr">
        <is>
          <t>The opposing theory is stated in one sentence</t>
        </is>
      </c>
      <c r="M138" s="10" t="inlineStr">
        <is>
          <t>D</t>
        </is>
      </c>
      <c r="N138" s="8" t="inlineStr">
        <is>
          <t>built</t>
        </is>
      </c>
      <c r="O138"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8" t="inlineStr">
        <is>
          <t>Class D: rubric criterion in nm/obs/phase3.py::PHASE3_CRITERIA, and a run proposal that PRD E5 requires be approved per run. No run has been authorised, so this is BUILT and not tested (PRD E8).</t>
        </is>
      </c>
      <c r="Q138" t="inlineStr">
        <is>
          <t>2026-08-28</t>
        </is>
      </c>
    </row>
    <row r="139">
      <c r="A139" s="6" t="inlineStr">
        <is>
          <t>TH-08</t>
        </is>
      </c>
      <c r="B139" s="16" t="inlineStr">
        <is>
          <t>Phase 3 - Analysis</t>
        </is>
      </c>
      <c r="C139" s="8" t="inlineStr">
        <is>
          <t>EP-18</t>
        </is>
      </c>
      <c r="D139" s="9" t="inlineStr">
        <is>
          <t>Visible theory revision</t>
        </is>
      </c>
      <c r="E139" s="8" t="inlineStr">
        <is>
          <t>Core</t>
        </is>
      </c>
      <c r="F139" s="8" t="inlineStr">
        <is>
          <t>T5</t>
        </is>
      </c>
      <c r="G139" s="8" t="inlineStr">
        <is>
          <t>7.8</t>
        </is>
      </c>
      <c r="H139" s="10" t="n">
        <v>3</v>
      </c>
      <c r="I139" s="11" t="inlineStr">
        <is>
          <t>Known</t>
        </is>
      </c>
      <c r="J139" s="8" t="inlineStr">
        <is>
          <t>TH-01,D-04</t>
        </is>
      </c>
      <c r="K139" s="9" t="inlineStr">
        <is>
          <t>A silently swapped theory stops repeating the posture failure</t>
        </is>
      </c>
      <c r="L139" s="9" t="inlineStr">
        <is>
          <t>A changed theory is announced with the fact that changed it</t>
        </is>
      </c>
      <c r="M139" s="10" t="inlineStr">
        <is>
          <t>B</t>
        </is>
      </c>
      <c r="N139" s="8" t="inlineStr">
        <is>
          <t>tested</t>
        </is>
      </c>
      <c r="O139" t="inlineStr">
        <is>
          <t>nm/core/analysis.py + strategy.py - one theory per thread carrying ranked relief and retrieved legal basis, adverse-fact coverage as a set comparison rather than a reviewer's judgement, a bare denial permitted only as a reasoned strategy, and revision that must state what changed in the advice.</t>
        </is>
      </c>
      <c r="P139" t="inlineStr">
        <is>
          <t>nm/tests/a_logic/test_phase3_strategy.py::test_th08_changed_theory_names_the_fact_and_effect_on_prior_advice (ran 2026-08-28)</t>
        </is>
      </c>
      <c r="Q139" t="inlineStr">
        <is>
          <t>2026-08-28</t>
        </is>
      </c>
    </row>
    <row r="140">
      <c r="A140" s="6" t="inlineStr">
        <is>
          <t>AD-01</t>
        </is>
      </c>
      <c r="B140" s="16" t="inlineStr">
        <is>
          <t>Phase 3 - Analysis</t>
        </is>
      </c>
      <c r="C140" s="8" t="inlineStr">
        <is>
          <t>EP-19</t>
        </is>
      </c>
      <c r="D140" s="9" t="inlineStr">
        <is>
          <t>Cross-file adversarial pass</t>
        </is>
      </c>
      <c r="E140" s="8" t="inlineStr">
        <is>
          <t>Core</t>
        </is>
      </c>
      <c r="F140" s="8" t="inlineStr">
        <is>
          <t>D7C</t>
        </is>
      </c>
      <c r="G140" s="8" t="inlineStr">
        <is>
          <t>8.3</t>
        </is>
      </c>
      <c r="H140" s="10" t="n">
        <v>8</v>
      </c>
      <c r="I140" s="11" t="inlineStr">
        <is>
          <t>Known</t>
        </is>
      </c>
      <c r="J140" s="8" t="inlineStr">
        <is>
          <t>TH-07</t>
        </is>
      </c>
      <c r="K140" s="9" t="inlineStr">
        <is>
          <t>Anticipating opposing counsel gets a home in the sequence</t>
        </is>
      </c>
      <c r="L140" s="9" t="inlineStr">
        <is>
          <t>Runs after per-thread work, across the whole file</t>
        </is>
      </c>
      <c r="M140" s="10" t="inlineStr">
        <is>
          <t>B</t>
        </is>
      </c>
      <c r="N140" s="8" t="inlineStr">
        <is>
          <t>tested</t>
        </is>
      </c>
      <c r="O140"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0" t="inlineStr">
        <is>
          <t>nm/tests/a_logic/test_phase3_strategy.py::test_ad01_cross_file_pass_runs_after_every_thread_is_complete (ran 2026-08-28)</t>
        </is>
      </c>
      <c r="Q140" t="inlineStr">
        <is>
          <t>2026-08-28</t>
        </is>
      </c>
    </row>
    <row r="141">
      <c r="A141" s="6" t="inlineStr">
        <is>
          <t>AD-02</t>
        </is>
      </c>
      <c r="B141" s="16" t="inlineStr">
        <is>
          <t>Phase 3 - Analysis</t>
        </is>
      </c>
      <c r="C141" s="8" t="inlineStr">
        <is>
          <t>EP-19</t>
        </is>
      </c>
      <c r="D141" s="9" t="inlineStr">
        <is>
          <t>Cross-thread exposure detection</t>
        </is>
      </c>
      <c r="E141" s="8" t="inlineStr">
        <is>
          <t>Core</t>
        </is>
      </c>
      <c r="F141" s="8" t="inlineStr">
        <is>
          <t>D7C</t>
        </is>
      </c>
      <c r="G141" s="8" t="inlineStr">
        <is>
          <t>8.3</t>
        </is>
      </c>
      <c r="H141" s="10" t="n">
        <v>13</v>
      </c>
      <c r="I141" s="13" t="inlineStr">
        <is>
          <t>Unknown until instrumented</t>
        </is>
      </c>
      <c r="J141" s="8" t="inlineStr">
        <is>
          <t>AD-01</t>
        </is>
      </c>
      <c r="K141" s="9" t="inlineStr">
        <is>
          <t>The most dangerous exposures in a multi-dispute file become visible</t>
        </is>
      </c>
      <c r="L141" s="9" t="inlineStr">
        <is>
          <t>Cross-thread exposure is reported or expressly returned as none</t>
        </is>
      </c>
      <c r="M141" s="10" t="inlineStr">
        <is>
          <t>D</t>
        </is>
      </c>
      <c r="N141" s="8" t="inlineStr">
        <is>
          <t>built</t>
        </is>
      </c>
      <c r="O141"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1" t="inlineStr">
        <is>
          <t>Class D: rubric criterion in nm/obs/phase3.py::PHASE3_CRITERIA, and a run proposal that PRD E5 requires be approved per run. No run has been authorised, so this is BUILT and not tested (PRD E8).</t>
        </is>
      </c>
      <c r="Q141" t="inlineStr">
        <is>
          <t>2026-08-28</t>
        </is>
      </c>
    </row>
    <row r="142">
      <c r="A142" s="6" t="inlineStr">
        <is>
          <t>AD-03</t>
        </is>
      </c>
      <c r="B142" s="16" t="inlineStr">
        <is>
          <t>Phase 3 - Analysis</t>
        </is>
      </c>
      <c r="C142" s="8" t="inlineStr">
        <is>
          <t>EP-19</t>
        </is>
      </c>
      <c r="D142" s="9" t="inlineStr">
        <is>
          <t>Opposing case stated at its strongest</t>
        </is>
      </c>
      <c r="E142" s="8" t="inlineStr">
        <is>
          <t>Core</t>
        </is>
      </c>
      <c r="F142" s="8" t="inlineStr">
        <is>
          <t>D7C</t>
        </is>
      </c>
      <c r="G142" s="8" t="inlineStr">
        <is>
          <t>8.3</t>
        </is>
      </c>
      <c r="H142" s="10" t="n">
        <v>8</v>
      </c>
      <c r="I142" s="12" t="inlineStr">
        <is>
          <t>Needs measurement</t>
        </is>
      </c>
      <c r="J142" s="8" t="inlineStr">
        <is>
          <t>AD-01,F-06</t>
        </is>
      </c>
      <c r="K142" s="9" t="inlineStr">
        <is>
          <t>A straw version stops passing as the adversarial pass</t>
        </is>
      </c>
      <c r="L142" s="9" t="inlineStr">
        <is>
          <t>Split test: presence is mechanical, strength is judged</t>
        </is>
      </c>
      <c r="M142" s="10" t="inlineStr">
        <is>
          <t>D</t>
        </is>
      </c>
      <c r="N142" s="8" t="inlineStr">
        <is>
          <t>built</t>
        </is>
      </c>
      <c r="O142"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2" t="inlineStr">
        <is>
          <t>Class D: rubric criterion in nm/obs/phase3.py::PHASE3_CRITERIA, and a run proposal that PRD E5 requires be approved per run. No run has been authorised, so this is BUILT and not tested (PRD E8).</t>
        </is>
      </c>
      <c r="Q142" t="inlineStr">
        <is>
          <t>2026-08-28</t>
        </is>
      </c>
    </row>
    <row r="143">
      <c r="A143" s="6" t="inlineStr">
        <is>
          <t>AD-04</t>
        </is>
      </c>
      <c r="B143" s="16" t="inlineStr">
        <is>
          <t>Phase 3 - Analysis</t>
        </is>
      </c>
      <c r="C143" s="8" t="inlineStr">
        <is>
          <t>EP-19</t>
        </is>
      </c>
      <c r="D143" s="9" t="inlineStr">
        <is>
          <t>Every recommendation states its counter and our response</t>
        </is>
      </c>
      <c r="E143" s="8" t="inlineStr">
        <is>
          <t>Eval</t>
        </is>
      </c>
      <c r="F143" s="8" t="inlineStr">
        <is>
          <t>D1,D7C</t>
        </is>
      </c>
      <c r="G143" s="8" t="inlineStr">
        <is>
          <t>10.2</t>
        </is>
      </c>
      <c r="H143" s="10" t="n">
        <v>3</v>
      </c>
      <c r="I143" s="11" t="inlineStr">
        <is>
          <t>Known</t>
        </is>
      </c>
      <c r="J143" s="8" t="inlineStr">
        <is>
          <t>AD-01</t>
        </is>
      </c>
      <c r="K143" s="9" t="inlineStr">
        <is>
          <t>Argue-the-other-side-first becomes structural</t>
        </is>
      </c>
      <c r="L143" s="9" t="inlineStr">
        <is>
          <t>No recommended step lacks a stated counter</t>
        </is>
      </c>
      <c r="M143" s="10" t="inlineStr">
        <is>
          <t>B</t>
        </is>
      </c>
      <c r="N143" s="8" t="inlineStr">
        <is>
          <t>tested</t>
        </is>
      </c>
      <c r="O143"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3" t="inlineStr">
        <is>
          <t>nm/tests/a_logic/test_phase3_strategy.py::test_ad04_every_recommendation_carries_counter_and_response (ran 2026-08-28)</t>
        </is>
      </c>
      <c r="Q143" t="inlineStr">
        <is>
          <t>2026-08-28</t>
        </is>
      </c>
    </row>
    <row r="144">
      <c r="A144" s="6" t="inlineStr">
        <is>
          <t>SV-01</t>
        </is>
      </c>
      <c r="B144" s="16" t="inlineStr">
        <is>
          <t>Phase 3 - Analysis</t>
        </is>
      </c>
      <c r="C144" s="8" t="inlineStr">
        <is>
          <t>EP-19</t>
        </is>
      </c>
      <c r="D144" s="9" t="inlineStr">
        <is>
          <t>Coordinate variation across party, cause, relief, forum, timing, procedure, burden</t>
        </is>
      </c>
      <c r="E144" s="8" t="inlineStr">
        <is>
          <t>Core</t>
        </is>
      </c>
      <c r="F144" s="8" t="inlineStr">
        <is>
          <t>W1</t>
        </is>
      </c>
      <c r="G144" s="8" t="inlineStr">
        <is>
          <t>7</t>
        </is>
      </c>
      <c r="H144" s="10" t="n">
        <v>8</v>
      </c>
      <c r="I144" s="11" t="inlineStr">
        <is>
          <t>Known</t>
        </is>
      </c>
      <c r="J144" s="8" t="inlineStr">
        <is>
          <t>LM-07,PF-05</t>
        </is>
      </c>
      <c r="K144" s="9" t="inlineStr">
        <is>
          <t>A weak case becomes the start of the work</t>
        </is>
      </c>
      <c r="L144" s="9" t="inlineStr">
        <is>
          <t>Before any failure conclusion, each coordinate is varied and the result recorded</t>
        </is>
      </c>
      <c r="M144" s="10" t="inlineStr">
        <is>
          <t>B</t>
        </is>
      </c>
      <c r="N144" s="8" t="inlineStr">
        <is>
          <t>tested</t>
        </is>
      </c>
      <c r="O144"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4" t="inlineStr">
        <is>
          <t>nm/tests/a_logic/test_phase3_strategy.py::test_sv01_every_coordinate_is_varied_before_failure_is_concluded (ran 2026-08-28)</t>
        </is>
      </c>
      <c r="Q144" t="inlineStr">
        <is>
          <t>2026-08-28</t>
        </is>
      </c>
    </row>
    <row r="145">
      <c r="A145" s="6" t="inlineStr">
        <is>
          <t>SV-02</t>
        </is>
      </c>
      <c r="B145" s="16" t="inlineStr">
        <is>
          <t>Phase 3 - Analysis</t>
        </is>
      </c>
      <c r="C145" s="8" t="inlineStr">
        <is>
          <t>EP-19</t>
        </is>
      </c>
      <c r="D145" s="9" t="inlineStr">
        <is>
          <t>Distinguish we lose from this framing loses</t>
        </is>
      </c>
      <c r="E145" s="8" t="inlineStr">
        <is>
          <t>Core</t>
        </is>
      </c>
      <c r="F145" s="8" t="inlineStr">
        <is>
          <t>W2</t>
        </is>
      </c>
      <c r="G145" s="8" t="inlineStr">
        <is>
          <t>7</t>
        </is>
      </c>
      <c r="H145" s="10" t="n">
        <v>5</v>
      </c>
      <c r="I145" s="11" t="inlineStr">
        <is>
          <t>Known</t>
        </is>
      </c>
      <c r="J145" s="8" t="inlineStr">
        <is>
          <t>SV-01</t>
        </is>
      </c>
      <c r="K145" s="9" t="inlineStr">
        <is>
          <t>A coordinate failure stops being reported as a case failure</t>
        </is>
      </c>
      <c r="L145" s="9" t="inlineStr">
        <is>
          <t>Every failure conclusion says which it is</t>
        </is>
      </c>
      <c r="M145" s="10" t="inlineStr">
        <is>
          <t>B</t>
        </is>
      </c>
      <c r="N145" s="8" t="inlineStr">
        <is>
          <t>tested</t>
        </is>
      </c>
      <c r="O145"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5" t="inlineStr">
        <is>
          <t>nm/tests/a_logic/test_phase3_strategy.py::test_sv02_failure_scope_distinguishes_case_from_framing (ran 2026-08-28)</t>
        </is>
      </c>
      <c r="Q145" t="inlineStr">
        <is>
          <t>2026-08-28</t>
        </is>
      </c>
    </row>
    <row r="146">
      <c r="A146" s="6" t="inlineStr">
        <is>
          <t>SV-03</t>
        </is>
      </c>
      <c r="B146" s="16" t="inlineStr">
        <is>
          <t>Phase 3 - Analysis</t>
        </is>
      </c>
      <c r="C146" s="8" t="inlineStr">
        <is>
          <t>EP-19</t>
        </is>
      </c>
      <c r="D146" s="9" t="inlineStr">
        <is>
          <t>Containment as the objective on defending threads</t>
        </is>
      </c>
      <c r="E146" s="8" t="inlineStr">
        <is>
          <t>Core</t>
        </is>
      </c>
      <c r="F146" s="8" t="inlineStr">
        <is>
          <t>W3</t>
        </is>
      </c>
      <c r="G146" s="8" t="inlineStr">
        <is>
          <t>7</t>
        </is>
      </c>
      <c r="H146" s="10" t="n">
        <v>3</v>
      </c>
      <c r="I146" s="11" t="inlineStr">
        <is>
          <t>Known</t>
        </is>
      </c>
      <c r="J146" s="8" t="inlineStr">
        <is>
          <t>PO-01,TH-02</t>
        </is>
      </c>
      <c r="K146" s="9" t="inlineStr">
        <is>
          <t>Containment stops being delivered in the register of defeat</t>
        </is>
      </c>
      <c r="L146" s="9" t="inlineStr">
        <is>
          <t>Defending threads state a containment-shaped objective as the goal</t>
        </is>
      </c>
      <c r="M146" s="10" t="inlineStr">
        <is>
          <t>D</t>
        </is>
      </c>
      <c r="N146" s="8" t="inlineStr">
        <is>
          <t>built</t>
        </is>
      </c>
      <c r="O146"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6" t="inlineStr">
        <is>
          <t>Class D: rubric criterion in nm/obs/phase3.py::PHASE3_CRITERIA, and a run proposal that PRD E5 requires be approved per run. No run has been authorised, so this is BUILT and not tested (PRD E8).</t>
        </is>
      </c>
      <c r="Q146" t="inlineStr">
        <is>
          <t>2026-08-28</t>
        </is>
      </c>
    </row>
    <row r="147">
      <c r="A147" s="6" t="inlineStr">
        <is>
          <t>SV-04</t>
        </is>
      </c>
      <c r="B147" s="16" t="inlineStr">
        <is>
          <t>Phase 3 - Analysis</t>
        </is>
      </c>
      <c r="C147" s="8" t="inlineStr">
        <is>
          <t>EP-19</t>
        </is>
      </c>
      <c r="D147" s="9" t="inlineStr">
        <is>
          <t>Route guard: specific, strength stated, grounded</t>
        </is>
      </c>
      <c r="E147" s="8" t="inlineStr">
        <is>
          <t>Core</t>
        </is>
      </c>
      <c r="F147" s="8" t="inlineStr">
        <is>
          <t>W6</t>
        </is>
      </c>
      <c r="G147" s="8" t="inlineStr">
        <is>
          <t>7</t>
        </is>
      </c>
      <c r="H147" s="10" t="n">
        <v>5</v>
      </c>
      <c r="I147" s="11" t="inlineStr">
        <is>
          <t>Known</t>
        </is>
      </c>
      <c r="J147" s="8" t="inlineStr">
        <is>
          <t>SV-01,V-01</t>
        </is>
      </c>
      <c r="K147" s="9" t="inlineStr">
        <is>
          <t>A manufactured route becomes unrepresentable</t>
        </is>
      </c>
      <c r="L147" s="9" t="inlineStr">
        <is>
          <t>No route at category level; every route carries strength and a citation</t>
        </is>
      </c>
      <c r="M147" s="10" t="inlineStr">
        <is>
          <t>B</t>
        </is>
      </c>
      <c r="N147" s="8" t="inlineStr">
        <is>
          <t>tested</t>
        </is>
      </c>
      <c r="O147"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7" t="inlineStr">
        <is>
          <t>nm/tests/a_logic/test_phase3_strategy.py::test_sv04_route_is_specific_strength_stated_and_grounded (ran 2026-08-28)</t>
        </is>
      </c>
      <c r="Q147" t="inlineStr">
        <is>
          <t>2026-08-28</t>
        </is>
      </c>
    </row>
    <row r="148">
      <c r="A148" s="6" t="inlineStr">
        <is>
          <t>SV-05</t>
        </is>
      </c>
      <c r="B148" s="16" t="inlineStr">
        <is>
          <t>Phase 3 - Analysis</t>
        </is>
      </c>
      <c r="C148" s="8" t="inlineStr">
        <is>
          <t>EP-19</t>
        </is>
      </c>
      <c r="D148" s="9" t="inlineStr">
        <is>
          <t>Advise-against-proceeding as a full answer</t>
        </is>
      </c>
      <c r="E148" s="8" t="inlineStr">
        <is>
          <t>Core</t>
        </is>
      </c>
      <c r="F148" s="8" t="inlineStr">
        <is>
          <t>W5</t>
        </is>
      </c>
      <c r="G148" s="8" t="inlineStr">
        <is>
          <t>7</t>
        </is>
      </c>
      <c r="H148" s="10" t="n">
        <v>5</v>
      </c>
      <c r="I148" s="11" t="inlineStr">
        <is>
          <t>Known</t>
        </is>
      </c>
      <c r="J148" s="8" t="inlineStr">
        <is>
          <t>SV-02</t>
        </is>
      </c>
      <c r="K148" s="9" t="inlineStr">
        <is>
          <t>Not running it becomes a real recommendation</t>
        </is>
      </c>
      <c r="L148" s="9" t="inlineStr">
        <is>
          <t>Carries what would change it and the cost of proceeding anyway</t>
        </is>
      </c>
      <c r="M148" s="10" t="inlineStr">
        <is>
          <t>D</t>
        </is>
      </c>
      <c r="N148" s="8" t="inlineStr">
        <is>
          <t>built</t>
        </is>
      </c>
      <c r="O148"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8" t="inlineStr">
        <is>
          <t>Class D: rubric criterion in nm/obs/phase3.py::PHASE3_CRITERIA, and a run proposal that PRD E5 requires be approved per run. No run has been authorised, so this is BUILT and not tested (PRD E8).</t>
        </is>
      </c>
      <c r="Q148" t="inlineStr">
        <is>
          <t>2026-08-28</t>
        </is>
      </c>
    </row>
    <row r="149">
      <c r="A149" s="6" t="inlineStr">
        <is>
          <t>SV-06</t>
        </is>
      </c>
      <c r="B149" s="16" t="inlineStr">
        <is>
          <t>Phase 3 - Analysis</t>
        </is>
      </c>
      <c r="C149" s="8" t="inlineStr">
        <is>
          <t>EP-19</t>
        </is>
      </c>
      <c r="D149" s="9" t="inlineStr">
        <is>
          <t>Anticipate how the opponent cures a coordinate failure</t>
        </is>
      </c>
      <c r="E149" s="8" t="inlineStr">
        <is>
          <t>Core</t>
        </is>
      </c>
      <c r="F149" s="8" t="inlineStr">
        <is>
          <t>W7</t>
        </is>
      </c>
      <c r="G149" s="8" t="inlineStr">
        <is>
          <t>7</t>
        </is>
      </c>
      <c r="H149" s="10" t="n">
        <v>5</v>
      </c>
      <c r="I149" s="11" t="inlineStr">
        <is>
          <t>Known</t>
        </is>
      </c>
      <c r="J149" s="8" t="inlineStr">
        <is>
          <t>SV-01,AD-01</t>
        </is>
      </c>
      <c r="K149" s="9" t="inlineStr">
        <is>
          <t>Their salvage stops being a surprise</t>
        </is>
      </c>
      <c r="L149" s="9" t="inlineStr">
        <is>
          <t>Where their case fails on a coordinate, the likely cure and our block are stated</t>
        </is>
      </c>
      <c r="M149" s="10" t="inlineStr">
        <is>
          <t>D</t>
        </is>
      </c>
      <c r="N149" s="8" t="inlineStr">
        <is>
          <t>built</t>
        </is>
      </c>
      <c r="O149" t="inlineStr">
        <is>
          <t>nm/core/strategy.py - the cross-file pass runs only after every thread is complete and must report cross-thread exposure or expressly return none; every recommendation carries its counter and our response; salvage must vary EVERY coordinate before concluding failure and distinguishes 'we lose' from 'this framing loses'; advice against proceeding states what would change it and the cost anyway.</t>
        </is>
      </c>
      <c r="P149" t="inlineStr">
        <is>
          <t>Class D: rubric criterion in nm/obs/phase3.py::PHASE3_CRITERIA, and a run proposal that PRD E5 requires be approved per run. No run has been authorised, so this is BUILT and not tested (PRD E8).</t>
        </is>
      </c>
      <c r="Q149" t="inlineStr">
        <is>
          <t>2026-08-28</t>
        </is>
      </c>
    </row>
    <row r="150">
      <c r="A150" s="6" t="inlineStr">
        <is>
          <t>SE-01</t>
        </is>
      </c>
      <c r="B150" s="16" t="inlineStr">
        <is>
          <t>Phase 3 - Analysis</t>
        </is>
      </c>
      <c r="C150" s="8" t="inlineStr">
        <is>
          <t>EP-20</t>
        </is>
      </c>
      <c r="D150" s="9" t="inlineStr">
        <is>
          <t>Selection using the theory as criterion</t>
        </is>
      </c>
      <c r="E150" s="8" t="inlineStr">
        <is>
          <t>Core</t>
        </is>
      </c>
      <c r="F150" s="8" t="inlineStr">
        <is>
          <t>D2A</t>
        </is>
      </c>
      <c r="G150" s="8" t="inlineStr">
        <is>
          <t>7.5</t>
        </is>
      </c>
      <c r="H150" s="10" t="n">
        <v>8</v>
      </c>
      <c r="I150" s="11" t="inlineStr">
        <is>
          <t>Known</t>
        </is>
      </c>
      <c r="J150" s="8" t="inlineStr">
        <is>
          <t>TH-05,IS-03</t>
        </is>
      </c>
      <c r="K150" s="9" t="inlineStr">
        <is>
          <t>Spotting stays exhaustive while advice becomes selective</t>
        </is>
      </c>
      <c r="L150" s="9" t="inlineStr">
        <is>
          <t>Every issue is run or parked with a reason</t>
        </is>
      </c>
      <c r="M150" s="10" t="inlineStr">
        <is>
          <t>B</t>
        </is>
      </c>
      <c r="N150" s="8" t="inlineStr">
        <is>
          <t>tested</t>
        </is>
      </c>
      <c r="O150" t="inlineStr">
        <is>
          <t>nm/core/strategy.py - selection uses the theory as the criterion, every issue is run or parked with a reason, the considered-not-pursued line assembles from the parked set, and the measurement records BOTH error directions so neither is optimised alone.</t>
        </is>
      </c>
      <c r="P150" t="inlineStr">
        <is>
          <t>nm/tests/a_logic/test_phase3_strategy.py::test_se01_every_issue_is_run_or_parked_with_a_reason (ran 2026-08-28)</t>
        </is>
      </c>
      <c r="Q150" t="inlineStr">
        <is>
          <t>2026-08-28</t>
        </is>
      </c>
    </row>
    <row r="151">
      <c r="A151" s="6" t="inlineStr">
        <is>
          <t>SE-02</t>
        </is>
      </c>
      <c r="B151" s="16" t="inlineStr">
        <is>
          <t>Phase 3 - Analysis</t>
        </is>
      </c>
      <c r="C151" s="8" t="inlineStr">
        <is>
          <t>EP-20</t>
        </is>
      </c>
      <c r="D151" s="9" t="inlineStr">
        <is>
          <t>Considered-not-pursued line assembly</t>
        </is>
      </c>
      <c r="E151" s="8" t="inlineStr">
        <is>
          <t>Core</t>
        </is>
      </c>
      <c r="F151" s="8" t="inlineStr">
        <is>
          <t>D2A,S2</t>
        </is>
      </c>
      <c r="G151" s="8" t="inlineStr">
        <is>
          <t>7.15</t>
        </is>
      </c>
      <c r="H151" s="10" t="n">
        <v>3</v>
      </c>
      <c r="I151" s="11" t="inlineStr">
        <is>
          <t>Known</t>
        </is>
      </c>
      <c r="J151" s="8" t="inlineStr">
        <is>
          <t>SE-01,AN-01</t>
        </is>
      </c>
      <c r="K151" s="9" t="inlineStr">
        <is>
          <t>Selection becomes auditable and overridable</t>
        </is>
      </c>
      <c r="L151" s="9" t="inlineStr">
        <is>
          <t>Parked items appear as one line with their reason</t>
        </is>
      </c>
      <c r="M151" s="10" t="inlineStr">
        <is>
          <t>B</t>
        </is>
      </c>
      <c r="N151" s="8" t="inlineStr">
        <is>
          <t>tested</t>
        </is>
      </c>
      <c r="O151" t="inlineStr">
        <is>
          <t>nm/core/strategy.py - selection uses the theory as the criterion, every issue is run or parked with a reason, the considered-not-pursued line assembles from the parked set, and the measurement records BOTH error directions so neither is optimised alone.</t>
        </is>
      </c>
      <c r="P151" t="inlineStr">
        <is>
          <t>nm/tests/a_logic/test_phase3_strategy.py::test_se02_considered_not_pursued_line_is_assembled_with_reasons (ran 2026-08-28)</t>
        </is>
      </c>
      <c r="Q151" t="inlineStr">
        <is>
          <t>2026-08-28</t>
        </is>
      </c>
    </row>
    <row r="152">
      <c r="A152" s="6" t="inlineStr">
        <is>
          <t>SE-03</t>
        </is>
      </c>
      <c r="B152" s="16" t="inlineStr">
        <is>
          <t>Phase 3 - Analysis</t>
        </is>
      </c>
      <c r="C152" s="8" t="inlineStr">
        <is>
          <t>EP-20</t>
        </is>
      </c>
      <c r="D152" s="9" t="inlineStr">
        <is>
          <t>Both-direction selection measurement</t>
        </is>
      </c>
      <c r="E152" s="8" t="inlineStr">
        <is>
          <t>Eval</t>
        </is>
      </c>
      <c r="F152" s="8" t="inlineStr">
        <is>
          <t>D2A</t>
        </is>
      </c>
      <c r="G152" s="8" t="inlineStr">
        <is>
          <t>12</t>
        </is>
      </c>
      <c r="H152" s="10" t="n">
        <v>8</v>
      </c>
      <c r="I152" s="13" t="inlineStr">
        <is>
          <t>Unknown until instrumented</t>
        </is>
      </c>
      <c r="J152" s="8" t="inlineStr">
        <is>
          <t>SE-01,C-04</t>
        </is>
      </c>
      <c r="K152" s="9" t="inlineStr">
        <is>
          <t>A selector that is indiscriminate or timid becomes distinguishable</t>
        </is>
      </c>
      <c r="L152" s="9" t="inlineStr">
        <is>
          <t>Kept-should-have-dropped and dropped-should-have-kept both measured</t>
        </is>
      </c>
      <c r="M152" s="10" t="inlineStr">
        <is>
          <t>D</t>
        </is>
      </c>
      <c r="N152" s="8" t="inlineStr">
        <is>
          <t>built</t>
        </is>
      </c>
      <c r="O152" t="inlineStr">
        <is>
          <t>nm/core/strategy.py - selection uses the theory as the criterion, every issue is run or parked with a reason, the considered-not-pursued line assembles from the parked set, and the measurement records BOTH error directions so neither is optimised alone.</t>
        </is>
      </c>
      <c r="P152" t="inlineStr">
        <is>
          <t>Class D: rubric criterion in nm/obs/phase3.py::PHASE3_CRITERIA, and a run proposal that PRD E5 requires be approved per run. No run has been authorised, so this is BUILT and not tested (PRD E8).</t>
        </is>
      </c>
      <c r="Q152" t="inlineStr">
        <is>
          <t>2026-08-28</t>
        </is>
      </c>
    </row>
    <row r="153">
      <c r="A153" s="6" t="inlineStr">
        <is>
          <t>GQ-01</t>
        </is>
      </c>
      <c r="B153" s="17" t="inlineStr">
        <is>
          <t>Phase 4 - Delivery</t>
        </is>
      </c>
      <c r="C153" s="8" t="inlineStr">
        <is>
          <t>EP-21</t>
        </is>
      </c>
      <c r="D153" s="9" t="inlineStr">
        <is>
          <t>Gates computation per thread</t>
        </is>
      </c>
      <c r="E153" s="8" t="inlineStr">
        <is>
          <t>Core</t>
        </is>
      </c>
      <c r="F153" s="8" t="inlineStr">
        <is>
          <t>Q1</t>
        </is>
      </c>
      <c r="G153" s="8" t="inlineStr">
        <is>
          <t>7.9</t>
        </is>
      </c>
      <c r="H153" s="10" t="n">
        <v>3</v>
      </c>
      <c r="I153" s="11" t="inlineStr">
        <is>
          <t>Known</t>
        </is>
      </c>
      <c r="J153" s="8" t="inlineStr">
        <is>
          <t>PO-01,LM-03</t>
        </is>
      </c>
      <c r="K153" s="9" t="inlineStr">
        <is>
          <t>The order of work becomes data rather than a remembered sequence</t>
        </is>
      </c>
      <c r="L153" s="9" t="inlineStr">
        <is>
          <t>Two gates block; the rest rank</t>
        </is>
      </c>
      <c r="M153" s="10" t="inlineStr">
        <is>
          <t>A</t>
        </is>
      </c>
      <c r="N153" s="31" t="inlineStr">
        <is>
          <t>tested</t>
        </is>
      </c>
      <c r="O153" s="4" t="inlineStr">
        <is>
          <t>nm/core/queue.py::gates_for - gates COMPUTED from thread state, never authored. Two block, four rank. Every gate is a coverage check rather than a presence check: limitation_computed requires the computation to cover the whole chronology, provisions_resolved and elements_assessed are subset checks, and an unapplied role conflict leaves posture open.</t>
        </is>
      </c>
      <c r="P153" s="4" t="inlineStr">
        <is>
          <t>nm/tests/a_logic/test_phase4_queue.py::test_two_gates_block_and_the_rest_only_rank, ::test_a_gate_closes_on_coverage_not_on_presence, ::test_every_gate_uses_a_subset_check_not_a_non_empty_check (ran 2026-08-28)</t>
        </is>
      </c>
      <c r="Q153" s="4" t="inlineStr">
        <is>
          <t>2026-08-28</t>
        </is>
      </c>
    </row>
    <row r="154">
      <c r="A154" s="6" t="inlineStr">
        <is>
          <t>GQ-02</t>
        </is>
      </c>
      <c r="B154" s="17" t="inlineStr">
        <is>
          <t>Phase 4 - Delivery</t>
        </is>
      </c>
      <c r="C154" s="8" t="inlineStr">
        <is>
          <t>EP-21</t>
        </is>
      </c>
      <c r="D154" s="9" t="inlineStr">
        <is>
          <t>Gap enumeration and ranking across the file</t>
        </is>
      </c>
      <c r="E154" s="8" t="inlineStr">
        <is>
          <t>Core</t>
        </is>
      </c>
      <c r="F154" s="8" t="inlineStr">
        <is>
          <t>Q2</t>
        </is>
      </c>
      <c r="G154" s="8" t="inlineStr">
        <is>
          <t>8</t>
        </is>
      </c>
      <c r="H154" s="10" t="n">
        <v>8</v>
      </c>
      <c r="I154" s="11" t="inlineStr">
        <is>
          <t>Known</t>
        </is>
      </c>
      <c r="J154" s="8" t="inlineStr">
        <is>
          <t>GQ-01</t>
        </is>
      </c>
      <c r="K154" s="9" t="inlineStr">
        <is>
          <t>The most valuable next action becomes computable</t>
        </is>
      </c>
      <c r="L154" s="9" t="inlineStr">
        <is>
          <t>Ranked by blocking gates, then deadline, then information value, then consequence</t>
        </is>
      </c>
      <c r="M154" s="10" t="inlineStr">
        <is>
          <t>A</t>
        </is>
      </c>
      <c r="N154" s="31" t="inlineStr">
        <is>
          <t>tested</t>
        </is>
      </c>
      <c r="O154" s="4" t="inlineStr">
        <is>
          <t>nm/core/queue.py::Gap, build_queue - one ranked queue over the whole file. The rank is LEXICOGRAPHIC over Q2's four criteria, not a weighted score, so no weight can overturn a blocking gate. Information value is a transitive reachability count over declared unblocks (cycles raise); consequence is an ordinal that must carry its basis. Nothing is truncated: TurnPlan makes every unworked thread state a reason.</t>
        </is>
      </c>
      <c r="P154" s="4" t="inlineStr">
        <is>
          <t>nm/tests/a_logic/test_phase4_queue.py::test_the_rank_is_lexicographic_and_blocking_gates_lead, ::test_a_passed_deadline_leads_rather_than_being_dropped, ::test_information_value_counts_the_chain_not_only_the_next_link, ::test_the_queue_never_truncates_and_a_deferred_thread_states_why (ran 2026-08-28)</t>
        </is>
      </c>
      <c r="Q154" s="4" t="inlineStr">
        <is>
          <t>2026-08-28</t>
        </is>
      </c>
    </row>
    <row r="155">
      <c r="A155" s="6" t="inlineStr">
        <is>
          <t>GQ-03</t>
        </is>
      </c>
      <c r="B155" s="17" t="inlineStr">
        <is>
          <t>Phase 4 - Delivery</t>
        </is>
      </c>
      <c r="C155" s="8" t="inlineStr">
        <is>
          <t>EP-21</t>
        </is>
      </c>
      <c r="D155" s="9" t="inlineStr">
        <is>
          <t>Questions generated only from blocking gaps</t>
        </is>
      </c>
      <c r="E155" s="8" t="inlineStr">
        <is>
          <t>Core</t>
        </is>
      </c>
      <c r="F155" s="8" t="inlineStr">
        <is>
          <t>Q3</t>
        </is>
      </c>
      <c r="G155" s="8" t="inlineStr">
        <is>
          <t>8</t>
        </is>
      </c>
      <c r="H155" s="10" t="n">
        <v>5</v>
      </c>
      <c r="I155" s="11" t="inlineStr">
        <is>
          <t>Known</t>
        </is>
      </c>
      <c r="J155" s="8" t="inlineStr">
        <is>
          <t>GQ-02</t>
        </is>
      </c>
      <c r="K155" s="9" t="inlineStr">
        <is>
          <t>A state machine stops manufacturing questions to stay in motion</t>
        </is>
      </c>
      <c r="L155" s="9" t="inlineStr">
        <is>
          <t>Every question traces to a gap and to the action it blocks</t>
        </is>
      </c>
      <c r="M155" s="10" t="inlineStr">
        <is>
          <t>B</t>
        </is>
      </c>
      <c r="N155" s="31" t="inlineStr">
        <is>
          <t>tested</t>
        </is>
      </c>
      <c r="O155" s="4" t="inlineStr">
        <is>
          <t>nm/core/queue.py::Question - a question cannot be constructed without the gap that is its reason, and a Gap cannot be constructed without naming the action it blocks. Q3 is removed by construction rather than by prohibition.</t>
        </is>
      </c>
      <c r="P155" s="4" t="inlineStr">
        <is>
          <t>nm/tests/a_logic/test_phase4_queue.py::test_a_question_cannot_exist_without_the_gap_that_is_its_reason, ::test_a_gap_that_blocks_nothing_cannot_be_built (ran 2026-08-28)</t>
        </is>
      </c>
      <c r="Q155" s="4" t="inlineStr">
        <is>
          <t>2026-08-28</t>
        </is>
      </c>
    </row>
    <row r="156">
      <c r="A156" s="6" t="inlineStr">
        <is>
          <t>GQ-04</t>
        </is>
      </c>
      <c r="B156" s="17" t="inlineStr">
        <is>
          <t>Phase 4 - Delivery</t>
        </is>
      </c>
      <c r="C156" s="8" t="inlineStr">
        <is>
          <t>EP-21</t>
        </is>
      </c>
      <c r="D156" s="9" t="inlineStr">
        <is>
          <t>Advocate navigation overrides the queue</t>
        </is>
      </c>
      <c r="E156" s="8" t="inlineStr">
        <is>
          <t>Core</t>
        </is>
      </c>
      <c r="F156" s="8" t="inlineStr">
        <is>
          <t>Q4</t>
        </is>
      </c>
      <c r="G156" s="8" t="inlineStr">
        <is>
          <t>8</t>
        </is>
      </c>
      <c r="H156" s="10" t="n">
        <v>5</v>
      </c>
      <c r="I156" s="11" t="inlineStr">
        <is>
          <t>Known</t>
        </is>
      </c>
      <c r="J156" s="8" t="inlineStr">
        <is>
          <t>GQ-02</t>
        </is>
      </c>
      <c r="K156" s="9" t="inlineStr">
        <is>
          <t>The queue becomes advice rather than a rail</t>
        </is>
      </c>
      <c r="L156" s="9" t="inlineStr">
        <is>
          <t>A question about another thread is answered on that thread, that turn</t>
        </is>
      </c>
      <c r="M156" s="10" t="inlineStr">
        <is>
          <t>B</t>
        </is>
      </c>
      <c r="N156" s="31" t="inlineStr">
        <is>
          <t>tested</t>
        </is>
      </c>
      <c r="O156" s="4" t="inlineStr">
        <is>
          <t>nm/core/queue.py::navigate - the advocate is answered on the thread asked about, that turn. The departure note is owed only where the queue's order was deadline-driven, is said ONCE, and returns only on a deadline category change - the same semantic trigger Q12 uses, rather than a second threshold to keep in step.</t>
        </is>
      </c>
      <c r="P156" s="4" t="inlineStr">
        <is>
          <t>nm/tests/a_logic/test_phase4_queue.py::test_the_advocate_navigates_and_is_answered_on_that_thread_that_turn, ::test_the_departure_note_is_said_once_and_returns_on_a_category_change, ::test_no_note_is_owed_where_the_order_was_not_deadline_driven (ran 2026-08-28)</t>
        </is>
      </c>
      <c r="Q156" s="4" t="inlineStr">
        <is>
          <t>2026-08-28</t>
        </is>
      </c>
    </row>
    <row r="157">
      <c r="A157" s="6" t="inlineStr">
        <is>
          <t>GQ-05</t>
        </is>
      </c>
      <c r="B157" s="17" t="inlineStr">
        <is>
          <t>Phase 4 - Delivery</t>
        </is>
      </c>
      <c r="C157" s="8" t="inlineStr">
        <is>
          <t>EP-21</t>
        </is>
      </c>
      <c r="D157" s="9" t="inlineStr">
        <is>
          <t>Batched asks, one thread at a time</t>
        </is>
      </c>
      <c r="E157" s="8" t="inlineStr">
        <is>
          <t>Core</t>
        </is>
      </c>
      <c r="F157" s="8" t="inlineStr">
        <is>
          <t>Q5</t>
        </is>
      </c>
      <c r="G157" s="8" t="inlineStr">
        <is>
          <t>8</t>
        </is>
      </c>
      <c r="H157" s="10" t="n">
        <v>3</v>
      </c>
      <c r="I157" s="11" t="inlineStr">
        <is>
          <t>Known</t>
        </is>
      </c>
      <c r="J157" s="8" t="inlineStr">
        <is>
          <t>GQ-03</t>
        </is>
      </c>
      <c r="K157" s="9" t="inlineStr">
        <is>
          <t>The advocate stops doing the scheduling</t>
        </is>
      </c>
      <c r="L157" s="9" t="inlineStr">
        <is>
          <t>One batched question per thread, not serial singles</t>
        </is>
      </c>
      <c r="M157" s="10" t="inlineStr">
        <is>
          <t>B</t>
        </is>
      </c>
      <c r="N157" s="31" t="inlineStr">
        <is>
          <t>tested</t>
        </is>
      </c>
      <c r="O157" s="4" t="inlineStr">
        <is>
          <t>nm/core/queue.py::batch_questions, ask - one batch per thread, one thread asked per turn. Bounded by construction rather than by a cap: a batch is exactly a thread's open gaps, which come from gates and elements.</t>
        </is>
      </c>
      <c r="P157" s="4" t="inlineStr">
        <is>
          <t>nm/tests/a_logic/test_phase4_queue.py::test_questions_are_batched_one_per_thread, ::test_a_batch_cannot_carry_another_threads_question (ran 2026-08-28)</t>
        </is>
      </c>
      <c r="Q157" s="4" t="inlineStr">
        <is>
          <t>2026-08-28</t>
        </is>
      </c>
    </row>
    <row r="158">
      <c r="A158" s="6" t="inlineStr">
        <is>
          <t>GQ-06</t>
        </is>
      </c>
      <c r="B158" s="17" t="inlineStr">
        <is>
          <t>Phase 4 - Delivery</t>
        </is>
      </c>
      <c r="C158" s="8" t="inlineStr">
        <is>
          <t>EP-21</t>
        </is>
      </c>
      <c r="D158" s="9" t="inlineStr">
        <is>
          <t>Answer-quality gate with a capped re-ask, then accept and record</t>
        </is>
      </c>
      <c r="E158" s="8" t="inlineStr">
        <is>
          <t>Core</t>
        </is>
      </c>
      <c r="F158" s="8" t="inlineStr">
        <is>
          <t>Q6</t>
        </is>
      </c>
      <c r="G158" s="8" t="inlineStr">
        <is>
          <t>8</t>
        </is>
      </c>
      <c r="H158" s="10" t="n">
        <v>5</v>
      </c>
      <c r="I158" s="11" t="inlineStr">
        <is>
          <t>Known</t>
        </is>
      </c>
      <c r="J158" s="8" t="inlineStr">
        <is>
          <t>GQ-05</t>
        </is>
      </c>
      <c r="K158" s="9" t="inlineStr">
        <is>
          <t>P5's register gets enforced structurally rather than by tone</t>
        </is>
      </c>
      <c r="L158" s="9" t="inlineStr">
        <is>
          <t>One guided re-ask, then the gap is recorded and NM moves on</t>
        </is>
      </c>
      <c r="M158" s="10" t="inlineStr">
        <is>
          <t>B</t>
        </is>
      </c>
      <c r="N158" s="31" t="inlineStr">
        <is>
          <t>tested</t>
        </is>
      </c>
      <c r="O158" s="4" t="inlineStr">
        <is>
          <t>nm/core/queue.py::gate_reply - one GUIDED re-ask (it must say what is missing), then accept and record the gap as a first-class output. An express nothing-further is never re-asked, because a re-ask against it is pressure by definition.</t>
        </is>
      </c>
      <c r="P158" s="4" t="inlineStr">
        <is>
          <t>nm/tests/a_logic/test_phase4_queue.py::test_one_guided_re_ask_then_accept_and_record, ::test_an_express_nothing_further_is_never_re_asked, ::test_a_re_ask_must_say_what_is_missing (ran 2026-08-28)</t>
        </is>
      </c>
      <c r="Q158" s="4" t="inlineStr">
        <is>
          <t>2026-08-28</t>
        </is>
      </c>
    </row>
    <row r="159">
      <c r="A159" s="6" t="inlineStr">
        <is>
          <t>GQ-07</t>
        </is>
      </c>
      <c r="B159" s="17" t="inlineStr">
        <is>
          <t>Phase 4 - Delivery</t>
        </is>
      </c>
      <c r="C159" s="8" t="inlineStr">
        <is>
          <t>EP-21</t>
        </is>
      </c>
      <c r="D159" s="9" t="inlineStr">
        <is>
          <t>Still-missing close on every consultation</t>
        </is>
      </c>
      <c r="E159" s="8" t="inlineStr">
        <is>
          <t>Core</t>
        </is>
      </c>
      <c r="F159" s="8" t="inlineStr">
        <is>
          <t>Q8</t>
        </is>
      </c>
      <c r="G159" s="8" t="inlineStr">
        <is>
          <t>8</t>
        </is>
      </c>
      <c r="H159" s="10" t="n">
        <v>2</v>
      </c>
      <c r="I159" s="11" t="inlineStr">
        <is>
          <t>Known</t>
        </is>
      </c>
      <c r="J159" s="8" t="inlineStr">
        <is>
          <t>PF-03</t>
        </is>
      </c>
      <c r="K159" s="9" t="inlineStr">
        <is>
          <t>An assessment stops reading as more settled than it is</t>
        </is>
      </c>
      <c r="L159" s="9" t="inlineStr">
        <is>
          <t>Open gaps always visible at the close</t>
        </is>
      </c>
      <c r="M159" s="10" t="inlineStr">
        <is>
          <t>B</t>
        </is>
      </c>
      <c r="N159" s="31" t="inlineStr">
        <is>
          <t>tested</t>
        </is>
      </c>
      <c r="O159" s="4" t="inlineStr">
        <is>
          <t>nm/core/queue.py::close_on_gaps + nm/edge/phase4.py::assert_close_is_complete - the close IS the queue, so no second list can fall out of step, and completeness is a SET EQUALITY rather than a subset. Each gap carries its own why-it-matters, written when the gap is made.</t>
        </is>
      </c>
      <c r="P159" s="4" t="inlineStr">
        <is>
          <t>nm/tests/a_logic/test_phase4_queue.py::test_the_close_accounts_for_every_open_gap_by_set_equality (ran 2026-08-28)</t>
        </is>
      </c>
      <c r="Q159" s="4" t="inlineStr">
        <is>
          <t>2026-08-28</t>
        </is>
      </c>
    </row>
    <row r="160">
      <c r="A160" s="6" t="inlineStr">
        <is>
          <t>GQ-08</t>
        </is>
      </c>
      <c r="B160" s="17" t="inlineStr">
        <is>
          <t>Phase 4 - Delivery</t>
        </is>
      </c>
      <c r="C160" s="8" t="inlineStr">
        <is>
          <t>EP-21</t>
        </is>
      </c>
      <c r="D160" s="9" t="inlineStr">
        <is>
          <t>Mode inference, stated in one line</t>
        </is>
      </c>
      <c r="E160" s="8" t="inlineStr">
        <is>
          <t>Core</t>
        </is>
      </c>
      <c r="F160" s="8" t="inlineStr">
        <is>
          <t>D10</t>
        </is>
      </c>
      <c r="G160" s="8" t="inlineStr">
        <is>
          <t>8</t>
        </is>
      </c>
      <c r="H160" s="10" t="n">
        <v>5</v>
      </c>
      <c r="I160" s="11" t="inlineStr">
        <is>
          <t>Known</t>
        </is>
      </c>
      <c r="J160" s="8" t="inlineStr">
        <is>
          <t>DI-01</t>
        </is>
      </c>
      <c r="K160" s="9" t="inlineStr">
        <is>
          <t>A short question stops being over-engineered and a brief stops being casual</t>
        </is>
      </c>
      <c r="L160" s="9" t="inlineStr">
        <is>
          <t>Mode is inferred, stated, and correctable</t>
        </is>
      </c>
      <c r="M160" s="10" t="inlineStr">
        <is>
          <t>B</t>
        </is>
      </c>
      <c r="N160" s="31" t="inlineStr">
        <is>
          <t>tested</t>
        </is>
      </c>
      <c r="O160" s="4" t="inlineStr">
        <is>
          <t>nm/core/mode.py::infer_mode - mode follows the WORK THE TURN REQUIRES, not the size of the input. Five triggers, each a change to matter state. The statement is one line, is correctable, and the basis must AGREE with the mode - a reading that does not follow from its own basis cannot be corrected, only overruled.</t>
        </is>
      </c>
      <c r="P160" s="4" t="inlineStr">
        <is>
          <t>nm/tests/a_logic/test_phase4_queue.py::test_mode_follows_the_work_the_turn_requires_not_the_size_of_the_input, ::test_the_mode_is_stated_in_one_line_and_is_correctable, ::test_a_mode_that_does_not_follow_from_its_basis_is_refused (ran 2026-08-28)</t>
        </is>
      </c>
      <c r="Q160" s="4" t="inlineStr">
        <is>
          <t>2026-08-28</t>
        </is>
      </c>
    </row>
    <row r="161">
      <c r="A161" s="6" t="inlineStr">
        <is>
          <t>GQ-09</t>
        </is>
      </c>
      <c r="B161" s="17" t="inlineStr">
        <is>
          <t>Phase 4 - Delivery</t>
        </is>
      </c>
      <c r="C161" s="8" t="inlineStr">
        <is>
          <t>EP-21</t>
        </is>
      </c>
      <c r="D161" s="9" t="inlineStr">
        <is>
          <t>Resumption re-orientation, deadlines first</t>
        </is>
      </c>
      <c r="E161" s="8" t="inlineStr">
        <is>
          <t>Core</t>
        </is>
      </c>
      <c r="F161" s="8" t="inlineStr">
        <is>
          <t>Q12</t>
        </is>
      </c>
      <c r="G161" s="8" t="inlineStr">
        <is>
          <t>8.4</t>
        </is>
      </c>
      <c r="H161" s="10" t="n">
        <v>5</v>
      </c>
      <c r="I161" s="11" t="inlineStr">
        <is>
          <t>Known</t>
        </is>
      </c>
      <c r="J161" s="8" t="inlineStr">
        <is>
          <t>LM-08</t>
        </is>
      </c>
      <c r="K161" s="9" t="inlineStr">
        <is>
          <t>A week-old file stops resuming mid-flow</t>
        </is>
      </c>
      <c r="L161" s="9" t="inlineStr">
        <is>
          <t>Passed and newly-near deadlines are stated before anything else</t>
        </is>
      </c>
      <c r="M161" s="10" t="inlineStr">
        <is>
          <t>B</t>
        </is>
      </c>
      <c r="N161" s="31" t="inlineStr">
        <is>
          <t>tested</t>
        </is>
      </c>
      <c r="O161" s="4" t="inlineStr">
        <is>
          <t>nm/core/queue.py::reorient - re-orientation on a deadline CATEGORY CHANGE or a change in the file, never on elapsed time; no interval constant appears. Gated to a resumption and produces nothing without a delta. Passed deadlines are stated before near ones, and both before anything else. A deadline with no stored category is new, not a transition.</t>
        </is>
      </c>
      <c r="P161" s="4" t="inlineStr">
        <is>
          <t>nm/tests/a_logic/test_phase4_queue.py::test_re_orientation_triggers_on_a_category_change_never_on_elapsed_time, ::test_re_orientation_is_produced_only_on_a_resumption, ::test_deadlines_are_stated_before_anything_else (ran 2026-08-28)</t>
        </is>
      </c>
      <c r="Q161" s="4" t="inlineStr">
        <is>
          <t>2026-08-28</t>
        </is>
      </c>
    </row>
    <row r="162">
      <c r="A162" s="6" t="inlineStr">
        <is>
          <t>GQ-10</t>
        </is>
      </c>
      <c r="B162" s="17" t="inlineStr">
        <is>
          <t>Phase 4 - Delivery</t>
        </is>
      </c>
      <c r="C162" s="8" t="inlineStr">
        <is>
          <t>EP-21</t>
        </is>
      </c>
      <c r="D162" s="9" t="inlineStr">
        <is>
          <t>Reservation record and fact-triggered reactivation</t>
        </is>
      </c>
      <c r="E162" s="8" t="inlineStr">
        <is>
          <t>Core</t>
        </is>
      </c>
      <c r="F162" s="8" t="inlineStr">
        <is>
          <t>Q11</t>
        </is>
      </c>
      <c r="G162" s="8" t="inlineStr">
        <is>
          <t>7.14</t>
        </is>
      </c>
      <c r="H162" s="10" t="n">
        <v>5</v>
      </c>
      <c r="I162" s="11" t="inlineStr">
        <is>
          <t>Known</t>
        </is>
      </c>
      <c r="J162" s="8" t="inlineStr">
        <is>
          <t>D-02</t>
        </is>
      </c>
      <c r="K162" s="9" t="inlineStr">
        <is>
          <t>Disagree-once stops meaning forgotten</t>
        </is>
      </c>
      <c r="L162" s="9" t="inlineStr">
        <is>
          <t>A reservation is re-raised only on a fact that changes the analysis</t>
        </is>
      </c>
      <c r="M162" s="10" t="inlineStr">
        <is>
          <t>B</t>
        </is>
      </c>
      <c r="N162" s="31" t="inlineStr">
        <is>
          <t>tested</t>
        </is>
      </c>
      <c r="O162" s="4" t="inlineStr">
        <is>
          <t>nm/core/queue.py::reactivate + Reservation.bears_on - reactivation reuses the cascade's ConclusionChange, which is emitted only where a recomputed value actually differed, so 'a fact that changes the analysis' needs no judgement. The schema had to change first: without bears_on the bound collapses into 'any new fact'. A re-raise is forced into a current finding plus an action, and may not name the turns it was overruled on.</t>
        </is>
      </c>
      <c r="P162" s="4" t="inlineStr">
        <is>
          <t>nm/tests/a_logic/test_phase4_queue.py::test_only_a_change_to_the_analysis_reactivates_a_reservation, ::test_nothing_reactivates_when_no_conclusion_changed, ::test_a_re_raise_is_current_advice_and_never_a_reference_back (ran 2026-08-28)</t>
        </is>
      </c>
      <c r="Q162" s="4" t="inlineStr">
        <is>
          <t>2026-08-28</t>
        </is>
      </c>
    </row>
    <row r="163">
      <c r="A163" s="6" t="inlineStr">
        <is>
          <t>AN-01</t>
        </is>
      </c>
      <c r="B163" s="17" t="inlineStr">
        <is>
          <t>Phase 4 - Delivery</t>
        </is>
      </c>
      <c r="C163" s="8" t="inlineStr">
        <is>
          <t>EP-22</t>
        </is>
      </c>
      <c r="D163" s="9" t="inlineStr">
        <is>
          <t>Answer and Element types</t>
        </is>
      </c>
      <c r="E163" s="8" t="inlineStr">
        <is>
          <t>Core</t>
        </is>
      </c>
      <c r="F163" s="8" t="inlineStr">
        <is>
          <t>S2</t>
        </is>
      </c>
      <c r="G163" s="8" t="inlineStr">
        <is>
          <t>7.15</t>
        </is>
      </c>
      <c r="H163" s="10" t="n">
        <v>3</v>
      </c>
      <c r="I163" s="11" t="inlineStr">
        <is>
          <t>Known</t>
        </is>
      </c>
      <c r="J163" s="8" t="inlineStr">
        <is>
          <t>D-01</t>
        </is>
      </c>
      <c r="K163" s="9" t="inlineStr">
        <is>
          <t>A recital of the brief becomes unrepresentable</t>
        </is>
      </c>
      <c r="L163" s="9" t="inlineStr">
        <is>
          <t>Only four element kinds exist</t>
        </is>
      </c>
      <c r="M163" s="10" t="inlineStr">
        <is>
          <t>A</t>
        </is>
      </c>
      <c r="N163" s="31" t="inlineStr">
        <is>
          <t>tested</t>
        </is>
      </c>
      <c r="O163" s="4" t="inlineStr">
        <is>
          <t>nm/core/answer.py::Element, Answer - re-affirmed from D-01 and extended for AN-11. Four element kinds and no fifth, so a recital of the brief has nowhere to live.</t>
        </is>
      </c>
      <c r="P163" s="4" t="inlineStr">
        <is>
          <t>nm/tests/a_logic/test_phase4_answer.py::test_only_four_element_kinds_exist_so_a_recital_has_nowhere_to_live (ran 2026-08-28)</t>
        </is>
      </c>
      <c r="Q163" s="4" t="inlineStr">
        <is>
          <t>2026-08-28</t>
        </is>
      </c>
    </row>
    <row r="164">
      <c r="A164" s="6" t="inlineStr">
        <is>
          <t>AN-02</t>
        </is>
      </c>
      <c r="B164" s="17" t="inlineStr">
        <is>
          <t>Phase 4 - Delivery</t>
        </is>
      </c>
      <c r="C164" s="8" t="inlineStr">
        <is>
          <t>EP-22</t>
        </is>
      </c>
      <c r="D164" s="9" t="inlineStr">
        <is>
          <t>Assembly with ordering rules</t>
        </is>
      </c>
      <c r="E164" s="8" t="inlineStr">
        <is>
          <t>Core</t>
        </is>
      </c>
      <c r="F164" s="8" t="inlineStr">
        <is>
          <t>S3,S4</t>
        </is>
      </c>
      <c r="G164" s="8" t="inlineStr">
        <is>
          <t>7.15</t>
        </is>
      </c>
      <c r="H164" s="10" t="n">
        <v>5</v>
      </c>
      <c r="I164" s="11" t="inlineStr">
        <is>
          <t>Known</t>
        </is>
      </c>
      <c r="J164" s="8" t="inlineStr">
        <is>
          <t>AN-01,GQ-02</t>
        </is>
      </c>
      <c r="K164" s="9" t="inlineStr">
        <is>
          <t>Decisiveness becomes structural</t>
        </is>
      </c>
      <c r="L164" s="9" t="inlineStr">
        <is>
          <t>First element is an action or a blocking question; organised by thread</t>
        </is>
      </c>
      <c r="M164" s="10" t="inlineStr">
        <is>
          <t>B</t>
        </is>
      </c>
      <c r="N164" s="31" t="inlineStr">
        <is>
          <t>tested</t>
        </is>
      </c>
      <c r="O164" s="4" t="inlineStr">
        <is>
          <t>nm/core/assembly.py::assemble - organised by thread in the queue's order; cross-thread exposure lives ONLY in Answer.cross_thread. CORRECTED after review: when exposures were passed both to d0a_signals and to assemble, the exposure appeared twice - once as a loud element and once in cross_thread - against S4's 'once, at the end'.</t>
        </is>
      </c>
      <c r="P164" s="4" t="inlineStr">
        <is>
          <t>nm/tests/a_logic/test_phase4_answer.py::test_cross_thread_exposure_appears_once_even_when_it_is_also_a_signal, ::test_threads_are_ordered_by_the_queue_and_by_nothing_else (ran 2026-08-28)</t>
        </is>
      </c>
      <c r="Q164" s="4" t="inlineStr">
        <is>
          <t>2026-08-28</t>
        </is>
      </c>
    </row>
    <row r="165">
      <c r="A165" s="6" t="inlineStr">
        <is>
          <t>AN-03</t>
        </is>
      </c>
      <c r="B165" s="17" t="inlineStr">
        <is>
          <t>Phase 4 - Delivery</t>
        </is>
      </c>
      <c r="C165" s="8" t="inlineStr">
        <is>
          <t>EP-22</t>
        </is>
      </c>
      <c r="D165" s="9" t="inlineStr">
        <is>
          <t>Collapsibility guard for D0A-class signals</t>
        </is>
      </c>
      <c r="E165" s="8" t="inlineStr">
        <is>
          <t>Core</t>
        </is>
      </c>
      <c r="F165" s="8" t="inlineStr">
        <is>
          <t>S5</t>
        </is>
      </c>
      <c r="G165" s="8" t="inlineStr">
        <is>
          <t>7.15</t>
        </is>
      </c>
      <c r="H165" s="10" t="n">
        <v>3</v>
      </c>
      <c r="I165" s="11" t="inlineStr">
        <is>
          <t>Known</t>
        </is>
      </c>
      <c r="J165" s="8" t="inlineStr">
        <is>
          <t>AN-01</t>
        </is>
      </c>
      <c r="K165" s="9" t="inlineStr">
        <is>
          <t>Concise stops becoming a suppression mechanism</t>
        </is>
      </c>
      <c r="L165" s="9" t="inlineStr">
        <is>
          <t>No limitation bar, treatment flag, unresolved posture or exposure is collapsible</t>
        </is>
      </c>
      <c r="M165" s="10" t="inlineStr">
        <is>
          <t>B</t>
        </is>
      </c>
      <c r="N165" s="31" t="inlineStr">
        <is>
          <t>tested</t>
        </is>
      </c>
      <c r="O165" s="4" t="inlineStr">
        <is>
          <t>nm/core/assembly.py::d0a_signals + nm/edge/phase4.py::assert_loud_signals_present - loudness is DERIVED from state. CORRECTED after review found a confirmed counterexample: assembly deduplicated signals on text alone, so an element carrying the signal's words with loud=False, collapsible=True suppressed the loud one, and the edge assertion also matched on text, so it passed. A posture warning sat in collapsed content with every check green. Assembly now UPGRADES a matching element to loud and uncollapsed rather than skipping insertion, and the assertion reads loudness, not text presence.</t>
        </is>
      </c>
      <c r="P165" s="4" t="inlineStr">
        <is>
          <t>nm/tests/a_logic/test_phase4_answer.py::test_an_element_carrying_a_signals_text_is_upgraded_not_treated_as_satisfying_it, ::test_the_s5_assertion_reads_loudness_not_merely_text (ran 2026-08-28)</t>
        </is>
      </c>
      <c r="Q165" s="4" t="inlineStr">
        <is>
          <t>2026-08-28</t>
        </is>
      </c>
    </row>
    <row r="166">
      <c r="A166" s="6" t="inlineStr">
        <is>
          <t>AN-04</t>
        </is>
      </c>
      <c r="B166" s="17" t="inlineStr">
        <is>
          <t>Phase 4 - Delivery</t>
        </is>
      </c>
      <c r="C166" s="8" t="inlineStr">
        <is>
          <t>EP-22</t>
        </is>
      </c>
      <c r="D166" s="9" t="inlineStr">
        <is>
          <t>Shape scales with the stated mode</t>
        </is>
      </c>
      <c r="E166" s="8" t="inlineStr">
        <is>
          <t>Core</t>
        </is>
      </c>
      <c r="F166" s="8" t="inlineStr">
        <is>
          <t>S6</t>
        </is>
      </c>
      <c r="G166" s="8" t="inlineStr">
        <is>
          <t>7.15</t>
        </is>
      </c>
      <c r="H166" s="10" t="n">
        <v>3</v>
      </c>
      <c r="I166" s="11" t="inlineStr">
        <is>
          <t>Known</t>
        </is>
      </c>
      <c r="J166" s="8" t="inlineStr">
        <is>
          <t>AN-02,GQ-08</t>
        </is>
      </c>
      <c r="K166" s="9" t="inlineStr">
        <is>
          <t>A one-line question stops getting the full apparatus</t>
        </is>
      </c>
      <c r="L166" s="9" t="inlineStr">
        <is>
          <t>Short-question mode produces an answer, not a structure</t>
        </is>
      </c>
      <c r="M166" s="10" t="inlineStr">
        <is>
          <t>B</t>
        </is>
      </c>
      <c r="N166" s="31" t="inlineStr">
        <is>
          <t>tested</t>
        </is>
      </c>
      <c r="O166" s="4" t="inlineStr">
        <is>
          <t>nm/core/assembly.py::shape_for_mode - a short question is narrowed to its thread, and what the narrowing left out is STATED (Q7). S5 beats S6: every loud element survives whatever thread it sits on, so mode inference cannot become a suppression mechanism.</t>
        </is>
      </c>
      <c r="P166" s="4" t="inlineStr">
        <is>
          <t>nm/tests/a_logic/test_phase4_answer.py::test_a_short_question_gets_an_answer_not_a_structure, ::test_a_mode_may_change_the_shape_and_never_what_is_visible, ::test_what_a_shape_leaves_out_is_stated (ran 2026-08-28)</t>
        </is>
      </c>
      <c r="Q166" s="4" t="inlineStr">
        <is>
          <t>2026-08-28</t>
        </is>
      </c>
    </row>
    <row r="167">
      <c r="A167" s="6" t="inlineStr">
        <is>
          <t>AN-05</t>
        </is>
      </c>
      <c r="B167" s="17" t="inlineStr">
        <is>
          <t>Phase 4 - Delivery</t>
        </is>
      </c>
      <c r="C167" s="8" t="inlineStr">
        <is>
          <t>EP-22</t>
        </is>
      </c>
      <c r="D167" s="9" t="inlineStr">
        <is>
          <t>A turn that changes nothing produces a line</t>
        </is>
      </c>
      <c r="E167" s="8" t="inlineStr">
        <is>
          <t>Core</t>
        </is>
      </c>
      <c r="F167" s="8" t="inlineStr">
        <is>
          <t>S7</t>
        </is>
      </c>
      <c r="G167" s="8" t="inlineStr">
        <is>
          <t>7.15</t>
        </is>
      </c>
      <c r="H167" s="10" t="n">
        <v>2</v>
      </c>
      <c r="I167" s="11" t="inlineStr">
        <is>
          <t>Known</t>
        </is>
      </c>
      <c r="J167" s="8" t="inlineStr">
        <is>
          <t>D-06</t>
        </is>
      </c>
      <c r="K167" s="9" t="inlineStr">
        <is>
          <t>Repetition stops training the advocate to skim</t>
        </is>
      </c>
      <c r="L167" s="9" t="inlineStr">
        <is>
          <t>No material change yields one line, not a document</t>
        </is>
      </c>
      <c r="M167" s="10" t="inlineStr">
        <is>
          <t>B</t>
        </is>
      </c>
      <c r="N167" s="31" t="inlineStr">
        <is>
          <t>tested</t>
        </is>
      </c>
      <c r="O167" s="4" t="inlineStr">
        <is>
          <t>nm/core/assembly.py::no_change_answer - the trigger is COMPUTED from the cascade, closed gaps and deadline transitions, not judged. Exposed B-70: S3's lead rule ran unconditionally, so no valid no-change answer could be constructed at all.</t>
        </is>
      </c>
      <c r="P167" s="4" t="inlineStr">
        <is>
          <t>nm/tests/a_logic/test_phase4_answer.py::test_a_turn_that_changes_nothing_produces_a_line_not_a_document, ::test_no_change_is_computed_from_the_cascade_not_judged (ran 2026-08-28)</t>
        </is>
      </c>
      <c r="Q167" s="4" t="inlineStr">
        <is>
          <t>2026-08-28</t>
        </is>
      </c>
    </row>
    <row r="168">
      <c r="A168" s="6" t="inlineStr">
        <is>
          <t>AN-06</t>
        </is>
      </c>
      <c r="B168" s="17" t="inlineStr">
        <is>
          <t>Phase 4 - Delivery</t>
        </is>
      </c>
      <c r="C168" s="8" t="inlineStr">
        <is>
          <t>EP-22</t>
        </is>
      </c>
      <c r="D168" s="9" t="inlineStr">
        <is>
          <t>Length regression metric: scales with threads, not turns</t>
        </is>
      </c>
      <c r="E168" s="8" t="inlineStr">
        <is>
          <t>Eval</t>
        </is>
      </c>
      <c r="F168" s="8" t="inlineStr">
        <is>
          <t>S7</t>
        </is>
      </c>
      <c r="G168" s="8" t="inlineStr">
        <is>
          <t>12</t>
        </is>
      </c>
      <c r="H168" s="10" t="n">
        <v>3</v>
      </c>
      <c r="I168" s="11" t="inlineStr">
        <is>
          <t>Known</t>
        </is>
      </c>
      <c r="J168" s="8" t="inlineStr">
        <is>
          <t>AN-05,F-08</t>
        </is>
      </c>
      <c r="K168" s="9" t="inlineStr">
        <is>
          <t>Recitation bloat becomes detectable before it returns</t>
        </is>
      </c>
      <c r="L168" s="9" t="inlineStr">
        <is>
          <t>Length correlates with live threads and open questions, not turn number</t>
        </is>
      </c>
      <c r="M168" s="10" t="inlineStr">
        <is>
          <t>B</t>
        </is>
      </c>
      <c r="N168" s="31" t="inlineStr">
        <is>
          <t>tested</t>
        </is>
      </c>
      <c r="O168" s="4" t="inlineStr">
        <is>
          <t>nm/obs/length.py - the direct check plus a measured refusal. CORRECTED after review: scales_with_content returned True when the sample could not separate content from turn number, which is the same 'could not run means pass' shape the drafting gate rejects and the legacy verifier shipped. It is now three-valued (True / False / None) with a strict `holds` for gate use.</t>
        </is>
      </c>
      <c r="P168" s="4" t="inlineStr">
        <is>
          <t>nm/tests/a_logic/test_phase4_answer.py::test_a_refused_length_measurement_does_not_report_success, ::test_a_measured_pass_still_holds (ran 2026-08-28)</t>
        </is>
      </c>
      <c r="Q168" s="4" t="inlineStr">
        <is>
          <t>2026-08-28</t>
        </is>
      </c>
    </row>
    <row r="169">
      <c r="A169" s="6" t="inlineStr">
        <is>
          <t>AN-07</t>
        </is>
      </c>
      <c r="B169" s="17" t="inlineStr">
        <is>
          <t>Phase 4 - Delivery</t>
        </is>
      </c>
      <c r="C169" s="8" t="inlineStr">
        <is>
          <t>EP-22</t>
        </is>
      </c>
      <c r="D169" s="9" t="inlineStr">
        <is>
          <t>Board projection with fixed arity per thread</t>
        </is>
      </c>
      <c r="E169" s="8" t="inlineStr">
        <is>
          <t>Edge</t>
        </is>
      </c>
      <c r="F169" s="8" t="inlineStr">
        <is>
          <t>S1,S8</t>
        </is>
      </c>
      <c r="G169" s="8" t="inlineStr">
        <is>
          <t>7.15</t>
        </is>
      </c>
      <c r="H169" s="10" t="n">
        <v>5</v>
      </c>
      <c r="I169" s="11" t="inlineStr">
        <is>
          <t>Known</t>
        </is>
      </c>
      <c r="J169" s="8" t="inlineStr">
        <is>
          <t>T-01,LM-08</t>
        </is>
      </c>
      <c r="K169" s="9" t="inlineStr">
        <is>
          <t>The wall stops relocating to the left pane</t>
        </is>
      </c>
      <c r="L169" s="9" t="inlineStr">
        <is>
          <t>Adding a turn never adds a board line</t>
        </is>
      </c>
      <c r="M169" s="10" t="inlineStr">
        <is>
          <t>B</t>
        </is>
      </c>
      <c r="N169" s="31" t="inlineStr">
        <is>
          <t>tested</t>
        </is>
      </c>
      <c r="O169" s="4" t="inlineStr">
        <is>
          <t>nm/edge/board.py::Board, BoardRow - fixed arity, and every field is a SCALAR. That is the bound: a conclusion or a piece of reasoning has nowhere to live, and _no_container_fields fails the build if a tuple field is ever added. State not history - Board.of rebuilds from the summary and has no append path.</t>
        </is>
      </c>
      <c r="P169" s="4" t="inlineStr">
        <is>
          <t>nm/tests/a_logic/test_phase4_answer.py::test_no_board_field_can_hold_a_list, ::test_adding_a_turn_never_adds_a_board_line, ::test_a_thread_cannot_take_two_board_rows (ran 2026-08-28)</t>
        </is>
      </c>
      <c r="Q169" s="4" t="inlineStr">
        <is>
          <t>2026-08-28</t>
        </is>
      </c>
    </row>
    <row r="170">
      <c r="A170" s="6" t="inlineStr">
        <is>
          <t>AN-08</t>
        </is>
      </c>
      <c r="B170" s="17" t="inlineStr">
        <is>
          <t>Phase 4 - Delivery</t>
        </is>
      </c>
      <c r="C170" s="8" t="inlineStr">
        <is>
          <t>EP-22</t>
        </is>
      </c>
      <c r="D170" s="9" t="inlineStr">
        <is>
          <t>Case summary construction</t>
        </is>
      </c>
      <c r="E170" s="8" t="inlineStr">
        <is>
          <t>Edge</t>
        </is>
      </c>
      <c r="F170" s="8" t="inlineStr">
        <is>
          <t>D13B</t>
        </is>
      </c>
      <c r="G170" s="8" t="inlineStr">
        <is>
          <t>7.15</t>
        </is>
      </c>
      <c r="H170" s="10" t="n">
        <v>8</v>
      </c>
      <c r="I170" s="11" t="inlineStr">
        <is>
          <t>Known</t>
        </is>
      </c>
      <c r="J170" s="8" t="inlineStr">
        <is>
          <t>TH-01,PF-01</t>
        </is>
      </c>
      <c r="K170" s="9" t="inlineStr">
        <is>
          <t>The answer can stay short because the position lives somewhere</t>
        </is>
      </c>
      <c r="L170" s="9" t="inlineStr">
        <is>
          <t>Per-thread worked position, updated in place</t>
        </is>
      </c>
      <c r="M170" s="10" t="inlineStr">
        <is>
          <t>B</t>
        </is>
      </c>
      <c r="N170" s="31" t="inlineStr">
        <is>
          <t>tested</t>
        </is>
      </c>
      <c r="O170" s="4" t="inlineStr">
        <is>
          <t>nm/core/summary.py::ThreadPosition, CaseSummary - the per-thread worked position D13B lists, with a closed field set. Updated IN PLACE: there is no append path, so the summary cannot become a transcript, and a position cannot be assembled from another thread's chronology. Typed Edge in the plan; it is Core state with an Edge renderer, because it holds Theory, ProofPosition and LimitationComputation and CS3 needs their provenance.</t>
        </is>
      </c>
      <c r="P170" s="4" t="inlineStr">
        <is>
          <t>nm/tests/a_logic/test_phase4_answer.py::test_the_summary_is_updated_in_place_and_scales_with_threads, ::test_a_position_cannot_be_assembled_from_another_threads_facts (ran 2026-08-28)</t>
        </is>
      </c>
      <c r="Q170" s="4" t="inlineStr">
        <is>
          <t>2026-08-28</t>
        </is>
      </c>
    </row>
    <row r="171">
      <c r="A171" s="6" t="inlineStr">
        <is>
          <t>AN-09</t>
        </is>
      </c>
      <c r="B171" s="17" t="inlineStr">
        <is>
          <t>Phase 4 - Delivery</t>
        </is>
      </c>
      <c r="C171" s="8" t="inlineStr">
        <is>
          <t>EP-22</t>
        </is>
      </c>
      <c r="D171" s="9" t="inlineStr">
        <is>
          <t>Summary as single source; board and answer derive</t>
        </is>
      </c>
      <c r="E171" s="8" t="inlineStr">
        <is>
          <t>Core</t>
        </is>
      </c>
      <c r="F171" s="8" t="inlineStr">
        <is>
          <t>CS1</t>
        </is>
      </c>
      <c r="G171" s="8" t="inlineStr">
        <is>
          <t>7.15</t>
        </is>
      </c>
      <c r="H171" s="10" t="n">
        <v>3</v>
      </c>
      <c r="I171" s="11" t="inlineStr">
        <is>
          <t>Known</t>
        </is>
      </c>
      <c r="J171" s="8" t="inlineStr">
        <is>
          <t>AN-07,AN-08</t>
        </is>
      </c>
      <c r="K171" s="9" t="inlineStr">
        <is>
          <t>Board and answer stop being able to disagree</t>
        </is>
      </c>
      <c r="L171" s="9" t="inlineStr">
        <is>
          <t>Neither holds anything the summary does not</t>
        </is>
      </c>
      <c r="M171" s="10" t="inlineStr">
        <is>
          <t>B</t>
        </is>
      </c>
      <c r="N171" s="31" t="inlineStr">
        <is>
          <t>tested</t>
        </is>
      </c>
      <c r="O171" s="4" t="inlineStr">
        <is>
          <t>nm/edge/board.py::Board.of + nm/edge/phase4.py::assert_answer_derives_from_summary - the board is derived by construction (its only filling constructor reads a CaseSummary), and the answer's refs are checked against the summary's known_refs.</t>
        </is>
      </c>
      <c r="P171" s="4" t="inlineStr">
        <is>
          <t>nm/tests/a_logic/test_phase4_answer.py::test_the_board_can_hold_nothing_the_summary_does_not, ::test_an_answer_citing_what_the_summary_does_not_hold_is_reported (ran 2026-08-28)</t>
        </is>
      </c>
      <c r="Q171" s="4" t="inlineStr">
        <is>
          <t>2026-08-28</t>
        </is>
      </c>
    </row>
    <row r="172">
      <c r="A172" s="6" t="inlineStr">
        <is>
          <t>AN-10</t>
        </is>
      </c>
      <c r="B172" s="17" t="inlineStr">
        <is>
          <t>Phase 4 - Delivery</t>
        </is>
      </c>
      <c r="C172" s="8" t="inlineStr">
        <is>
          <t>EP-22</t>
        </is>
      </c>
      <c r="D172" s="9" t="inlineStr">
        <is>
          <t>Summary reads as a case note, not a debug dump</t>
        </is>
      </c>
      <c r="E172" s="8" t="inlineStr">
        <is>
          <t>Edge</t>
        </is>
      </c>
      <c r="F172" s="8" t="inlineStr">
        <is>
          <t>CS5</t>
        </is>
      </c>
      <c r="G172" s="8" t="inlineStr">
        <is>
          <t>7.15</t>
        </is>
      </c>
      <c r="H172" s="10" t="n">
        <v>3</v>
      </c>
      <c r="I172" s="11" t="inlineStr">
        <is>
          <t>Known</t>
        </is>
      </c>
      <c r="J172" s="8" t="inlineStr">
        <is>
          <t>AN-08</t>
        </is>
      </c>
      <c r="K172" s="9" t="inlineStr">
        <is>
          <t>The advocate can take it into a conference</t>
        </is>
      </c>
      <c r="L172" s="9" t="inlineStr">
        <is>
          <t>No identifiers, scores or pipeline state</t>
        </is>
      </c>
      <c r="M172" s="10" t="inlineStr">
        <is>
          <t>D</t>
        </is>
      </c>
      <c r="N172" s="15" t="inlineStr">
        <is>
          <t>built</t>
        </is>
      </c>
      <c r="O172" s="4" t="inlineStr">
        <is>
          <t>nm/core/summary.py::render_case_note, identifier_leaks - the MECHANICAL half of CS5 is tested: no internal identifier reaches the case note, checked exactly against internal_ids because the ids are known. DOWNGRADED from tested after review. AN-10 is a Class D story and its acceptance ('reads as a case note, not a debug dump') is a judgement criterion that has not run - E5 requires per-run approval and E8 says a test that never ran is not a test. This now matches the Phase 3 precedent, where 13 Class D stories stayed BUILT for exactly this reason.</t>
        </is>
      </c>
      <c r="P172" s="4" t="inlineStr"/>
      <c r="Q172" s="4" t="inlineStr">
        <is>
          <t>2026-08-28</t>
        </is>
      </c>
    </row>
    <row r="173">
      <c r="A173" s="6" t="inlineStr">
        <is>
          <t>AN-11</t>
        </is>
      </c>
      <c r="B173" s="17" t="inlineStr">
        <is>
          <t>Phase 4 - Delivery</t>
        </is>
      </c>
      <c r="C173" s="8" t="inlineStr">
        <is>
          <t>EP-22</t>
        </is>
      </c>
      <c r="D173" s="9" t="inlineStr">
        <is>
          <t>Inference labelling distinct from citation</t>
        </is>
      </c>
      <c r="E173" s="8" t="inlineStr">
        <is>
          <t>Core</t>
        </is>
      </c>
      <c r="F173" s="8" t="inlineStr">
        <is>
          <t>D5</t>
        </is>
      </c>
      <c r="G173" s="8" t="inlineStr">
        <is>
          <t>7.15</t>
        </is>
      </c>
      <c r="H173" s="10" t="n">
        <v>5</v>
      </c>
      <c r="I173" s="11" t="inlineStr">
        <is>
          <t>Known</t>
        </is>
      </c>
      <c r="J173" s="8" t="inlineStr">
        <is>
          <t>V-01,AN-01</t>
        </is>
      </c>
      <c r="K173" s="9" t="inlineStr">
        <is>
          <t>Reasoning becomes auditable without being forbidden</t>
        </is>
      </c>
      <c r="L173" s="9" t="inlineStr">
        <is>
          <t>Every inference marked; no inference carries a citation as though a proposition</t>
        </is>
      </c>
      <c r="M173" s="10" t="inlineStr">
        <is>
          <t>B</t>
        </is>
      </c>
      <c r="N173" s="31" t="inlineStr">
        <is>
          <t>tested</t>
        </is>
      </c>
      <c r="O173" s="4" t="inlineStr">
        <is>
          <t>nm/core/answer.py::Element + nm/core/assembly.py::render_element - an inference carries PREMISES and structurally cannot carry refs, cannot be a GROUND, and cannot exist unmarked. D5's most dangerous output - an inference dressed as a citation - is made unrepresentable rather than forbidden.</t>
        </is>
      </c>
      <c r="P173" s="4" t="inlineStr">
        <is>
          <t>nm/tests/a_logic/test_phase4_answer.py::test_an_inference_cannot_carry_a_citation_as_though_it_were_a_proposition, ::test_an_inference_cannot_be_a_ground, ::test_premises_without_the_label_are_refused (ran 2026-08-28)</t>
        </is>
      </c>
      <c r="Q173" s="4" t="inlineStr">
        <is>
          <t>2026-08-28</t>
        </is>
      </c>
    </row>
    <row r="174">
      <c r="A174" s="6" t="inlineStr">
        <is>
          <t>DF-01</t>
        </is>
      </c>
      <c r="B174" s="18" t="inlineStr">
        <is>
          <t>Phase 5 - Drafting</t>
        </is>
      </c>
      <c r="C174" s="8" t="inlineStr">
        <is>
          <t>EP-23</t>
        </is>
      </c>
      <c r="D174" s="9" t="inlineStr">
        <is>
          <t>DrafterBrief contract</t>
        </is>
      </c>
      <c r="E174" s="8" t="inlineStr">
        <is>
          <t>Core</t>
        </is>
      </c>
      <c r="F174" s="8" t="inlineStr">
        <is>
          <t>DR1</t>
        </is>
      </c>
      <c r="G174" s="8" t="inlineStr">
        <is>
          <t>6</t>
        </is>
      </c>
      <c r="H174" s="10" t="n">
        <v>5</v>
      </c>
      <c r="I174" s="11" t="inlineStr">
        <is>
          <t>Known</t>
        </is>
      </c>
      <c r="J174" s="8" t="inlineStr">
        <is>
          <t>AN-08</t>
        </is>
      </c>
      <c r="K174" s="9" t="inlineStr">
        <is>
          <t>Re-extraction, where facts get invented, becomes unnecessary</t>
        </is>
      </c>
      <c r="L174" s="9" t="inlineStr">
        <is>
          <t>Structured fields, not prose</t>
        </is>
      </c>
      <c r="M174" s="10" t="inlineStr">
        <is>
          <t>A</t>
        </is>
      </c>
      <c r="N174" s="31" t="inlineStr">
        <is>
          <t>tested</t>
        </is>
      </c>
      <c r="O174" s="4" t="inlineStr">
        <is>
          <t>nm/core/brief.py::DrafterBrief - DR1's field list as a typed contract, no free-text field carrying facts, undated facts kept out of the chronology rather than given a position (L3). Unchanged by the review.</t>
        </is>
      </c>
      <c r="P174" s="4" t="inlineStr">
        <is>
          <t>nm/tests/a_logic/test_phase5_drafting.py::test_every_fact_crossing_the_boundary_carries_its_provenance, ::test_the_brief_has_no_free_text_field_that_could_carry_a_fact (ran 2026-08-28)</t>
        </is>
      </c>
      <c r="Q174" s="4" t="inlineStr">
        <is>
          <t>2026-08-28</t>
        </is>
      </c>
    </row>
    <row r="175">
      <c r="A175" s="6" t="inlineStr">
        <is>
          <t>DF-02</t>
        </is>
      </c>
      <c r="B175" s="18" t="inlineStr">
        <is>
          <t>Phase 5 - Drafting</t>
        </is>
      </c>
      <c r="C175" s="8" t="inlineStr">
        <is>
          <t>EP-23</t>
        </is>
      </c>
      <c r="D175" s="9" t="inlineStr">
        <is>
          <t>Brief assembly from analysis</t>
        </is>
      </c>
      <c r="E175" s="8" t="inlineStr">
        <is>
          <t>Core</t>
        </is>
      </c>
      <c r="F175" s="8" t="inlineStr">
        <is>
          <t>DR1</t>
        </is>
      </c>
      <c r="G175" s="8" t="inlineStr">
        <is>
          <t>6</t>
        </is>
      </c>
      <c r="H175" s="10" t="n">
        <v>8</v>
      </c>
      <c r="I175" s="11" t="inlineStr">
        <is>
          <t>Known</t>
        </is>
      </c>
      <c r="J175" s="8" t="inlineStr">
        <is>
          <t>DF-01,TH-01,PF-01</t>
        </is>
      </c>
      <c r="K175" s="9" t="inlineStr">
        <is>
          <t>Drafting gets everything it needs and nothing it should not have</t>
        </is>
      </c>
      <c r="L175" s="9" t="inlineStr">
        <is>
          <t>All contract fields populated from matter state</t>
        </is>
      </c>
      <c r="M175" s="10" t="inlineStr">
        <is>
          <t>B</t>
        </is>
      </c>
      <c r="N175" s="31" t="inlineStr">
        <is>
          <t>tested</t>
        </is>
      </c>
      <c r="O175" s="4" t="inlineStr">
        <is>
          <t>nm/core/brief.py::assemble_brief - built from the case summary, refused while a blocking gate is open. HARDENED after review, where 'derives from the summary' turned out to be a claim about intent rather than a property of the code: findings were an arbitrary iterable and are now checked against position.known_refs (CS1); unconfirmed facts reached the pleadable set and are now refused by name (D10); and the cause title INVENTED 'the applicant' / 'the respondent' when parties were absent, which is fluent completion arriving before the drafter - ours and theirs are now required arguments, as is confirmation_threshold.</t>
        </is>
      </c>
      <c r="P175" s="4" t="inlineStr">
        <is>
          <t>nm/tests/a_logic/test_phase5_drafting.py::test_the_brief_refuses_an_authority_the_summary_does_not_hold, ::test_an_unconfirmed_fact_cannot_be_pleaded, ::test_the_cause_title_parties_cannot_be_invented (ran 2026-08-28)</t>
        </is>
      </c>
      <c r="Q175" s="4" t="inlineStr">
        <is>
          <t>2026-08-28</t>
        </is>
      </c>
    </row>
    <row r="176">
      <c r="A176" s="6" t="inlineStr">
        <is>
          <t>DF-03</t>
        </is>
      </c>
      <c r="B176" s="18" t="inlineStr">
        <is>
          <t>Phase 5 - Drafting</t>
        </is>
      </c>
      <c r="C176" s="8" t="inlineStr">
        <is>
          <t>EP-23</t>
        </is>
      </c>
      <c r="D176" s="9" t="inlineStr">
        <is>
          <t>Drafting agent as a separate process that cannot retrieve</t>
        </is>
      </c>
      <c r="E176" s="8" t="inlineStr">
        <is>
          <t>Adapter</t>
        </is>
      </c>
      <c r="F176" s="8" t="inlineStr">
        <is>
          <t>DR2</t>
        </is>
      </c>
      <c r="G176" s="8" t="inlineStr">
        <is>
          <t>6</t>
        </is>
      </c>
      <c r="H176" s="10" t="n">
        <v>5</v>
      </c>
      <c r="I176" s="11" t="inlineStr">
        <is>
          <t>Known</t>
        </is>
      </c>
      <c r="J176" s="8" t="inlineStr">
        <is>
          <t>DF-01</t>
        </is>
      </c>
      <c r="K176" s="9" t="inlineStr">
        <is>
          <t>One audit chain is preserved</t>
        </is>
      </c>
      <c r="L176" s="9" t="inlineStr">
        <is>
          <t>The drafter has no retrieval capability; missing law is a request back</t>
        </is>
      </c>
      <c r="M176" s="10" t="inlineStr">
        <is>
          <t>A</t>
        </is>
      </c>
      <c r="N176" s="15" t="inlineStr">
        <is>
          <t>built</t>
        </is>
      </c>
      <c r="O176" s="4" t="inlineStr">
        <is>
          <t>nm/drafting/ as a layer with no access to nm.evidence or nm.knowledge (layercheck), a signature with nowhere to put a retriever, a Composition that cannot exceed the brief, and retrieval_in_reach() which inspects the composer's closure and module globals before it runs. DOWNGRADED from tested after review. The story is 'drafting agent as a SEPARATE PROCESS'; what exists is a layer and signature boundary inside one process. The reach check catches mistakes - a captured retrieval client, a retrieval import in the composer's module - and cannot catch intent: a dynamic import inside the call, a C extension, an attribute off a handed object. ADR-8's process split is what would enforce DR2 against intent, and it is not built.</t>
        </is>
      </c>
      <c r="P176" s="4" t="inlineStr">
        <is>
          <t>nm/tests/a_logic/test_phase5_drafting.py::test_a_composer_that_can_reach_retrieval_is_refused_before_it_runs, ::test_the_reach_check_does_not_refuse_the_legitimate_supplier (ran 2026-08-28)</t>
        </is>
      </c>
      <c r="Q176" s="4" t="inlineStr">
        <is>
          <t>2026-08-28</t>
        </is>
      </c>
    </row>
    <row r="177">
      <c r="A177" s="6" t="inlineStr">
        <is>
          <t>DF-04</t>
        </is>
      </c>
      <c r="B177" s="18" t="inlineStr">
        <is>
          <t>Phase 5 - Drafting</t>
        </is>
      </c>
      <c r="C177" s="8" t="inlineStr">
        <is>
          <t>EP-23</t>
        </is>
      </c>
      <c r="D177" s="9" t="inlineStr">
        <is>
          <t>Averment traceability to brief facts</t>
        </is>
      </c>
      <c r="E177" s="8" t="inlineStr">
        <is>
          <t>Core</t>
        </is>
      </c>
      <c r="F177" s="8" t="inlineStr">
        <is>
          <t>DR3</t>
        </is>
      </c>
      <c r="G177" s="8" t="inlineStr">
        <is>
          <t>6</t>
        </is>
      </c>
      <c r="H177" s="10" t="n">
        <v>8</v>
      </c>
      <c r="I177" s="11" t="inlineStr">
        <is>
          <t>Known</t>
        </is>
      </c>
      <c r="J177" s="8" t="inlineStr">
        <is>
          <t>DF-02</t>
        </is>
      </c>
      <c r="K177" s="9" t="inlineStr">
        <is>
          <t>An unsupported averment stops being filable</t>
        </is>
      </c>
      <c r="L177" s="9" t="inlineStr">
        <is>
          <t>Every averment traces to a fact with provenance</t>
        </is>
      </c>
      <c r="M177" s="10" t="inlineStr">
        <is>
          <t>B</t>
        </is>
      </c>
      <c r="N177" s="31" t="inlineStr">
        <is>
          <t>tested</t>
        </is>
      </c>
      <c r="O177" s="4" t="inlineStr">
        <is>
          <t>nm/drafting/draft.py::Averment - an averment cannot be constructed resting on nothing, and Draft carries its BRIEF as a field rather than receiving it at check time. That removes the state the legacy verifier reported as a pass: there is no draft for which the tracing check has nothing to check. Formal text is exempt, because forcing a citation onto 'the plaintiff submits as follows' is a rule that makes the output worse.</t>
        </is>
      </c>
      <c r="P177" s="4" t="inlineStr">
        <is>
          <t>nm/tests/a_logic/test_phase5_drafting.py::test_an_averment_resting_on_nothing_cannot_be_built, ::test_a_draft_cannot_be_separated_from_its_brief, ::test_an_averment_on_a_fact_the_brief_does_not_hold_is_caught, ::test_formal_text_is_not_required_to_trace (ran 2026-08-28)</t>
        </is>
      </c>
      <c r="Q177" s="4" t="inlineStr">
        <is>
          <t>2026-08-28</t>
        </is>
      </c>
    </row>
    <row r="178">
      <c r="A178" s="6" t="inlineStr">
        <is>
          <t>DF-05</t>
        </is>
      </c>
      <c r="B178" s="18" t="inlineStr">
        <is>
          <t>Phase 5 - Drafting</t>
        </is>
      </c>
      <c r="C178" s="8" t="inlineStr">
        <is>
          <t>EP-23</t>
        </is>
      </c>
      <c r="D178" s="9" t="inlineStr">
        <is>
          <t>Not-to-plead list travels with the brief</t>
        </is>
      </c>
      <c r="E178" s="8" t="inlineStr">
        <is>
          <t>Core</t>
        </is>
      </c>
      <c r="F178" s="8" t="inlineStr">
        <is>
          <t>DR4</t>
        </is>
      </c>
      <c r="G178" s="8" t="inlineStr">
        <is>
          <t>6</t>
        </is>
      </c>
      <c r="H178" s="10" t="n">
        <v>3</v>
      </c>
      <c r="I178" s="11" t="inlineStr">
        <is>
          <t>Known</t>
        </is>
      </c>
      <c r="J178" s="8" t="inlineStr">
        <is>
          <t>DF-01,SE-01</t>
        </is>
      </c>
      <c r="K178" s="9" t="inlineStr">
        <is>
          <t>The drafter stops helpfully restoring what was deliberately excluded</t>
        </is>
      </c>
      <c r="L178" s="9" t="inlineStr">
        <is>
          <t>Excluded facts and their reasons are in the brief</t>
        </is>
      </c>
      <c r="M178" s="10" t="inlineStr">
        <is>
          <t>B</t>
        </is>
      </c>
      <c r="N178" s="31" t="inlineStr">
        <is>
          <t>tested</t>
        </is>
      </c>
      <c r="O178" s="4" t="inlineStr">
        <is>
          <t>nm/core/brief.py::ExcludedFact + nm/drafting/verify.py::_exclusions_respected - the not-to-plead list travels with the brief and every exclusion carries its reason. The legacy tree has no equivalent field anywhere, so DR4 was absent rather than weak. Verification catches an averment that rests on an excluded fact.</t>
        </is>
      </c>
      <c r="P178" s="4" t="inlineStr">
        <is>
          <t>nm/tests/a_logic/test_phase5_drafting.py::test_an_exclusion_must_carry_its_reason, ::test_a_draft_that_restores_an_excluded_fact_is_caught, ::test_an_excluded_fact_does_not_reach_the_pleadable_set (ran 2026-08-28)</t>
        </is>
      </c>
      <c r="Q178" s="4" t="inlineStr">
        <is>
          <t>2026-08-28</t>
        </is>
      </c>
    </row>
    <row r="179">
      <c r="A179" s="6" t="inlineStr">
        <is>
          <t>DF-06</t>
        </is>
      </c>
      <c r="B179" s="18" t="inlineStr">
        <is>
          <t>Phase 5 - Drafting</t>
        </is>
      </c>
      <c r="C179" s="8" t="inlineStr">
        <is>
          <t>EP-23</t>
        </is>
      </c>
      <c r="D179" s="9" t="inlineStr">
        <is>
          <t>Draft verified against its brief before it is shown</t>
        </is>
      </c>
      <c r="E179" s="8" t="inlineStr">
        <is>
          <t>Core</t>
        </is>
      </c>
      <c r="F179" s="8" t="inlineStr">
        <is>
          <t>DR5</t>
        </is>
      </c>
      <c r="G179" s="8" t="inlineStr">
        <is>
          <t>6</t>
        </is>
      </c>
      <c r="H179" s="10" t="n">
        <v>8</v>
      </c>
      <c r="I179" s="11" t="inlineStr">
        <is>
          <t>Known</t>
        </is>
      </c>
      <c r="J179" s="8" t="inlineStr">
        <is>
          <t>DF-04</t>
        </is>
      </c>
      <c r="K179" s="9" t="inlineStr">
        <is>
          <t>Drafting gets its stricter gate</t>
        </is>
      </c>
      <c r="L179" s="9" t="inlineStr">
        <is>
          <t>Every averment traced, every citation in force and binding, every date matched</t>
        </is>
      </c>
      <c r="M179" s="10" t="inlineStr">
        <is>
          <t>B</t>
        </is>
      </c>
      <c r="N179" s="31" t="inlineStr">
        <is>
          <t>tested</t>
        </is>
      </c>
      <c r="O179" s="4" t="inlineStr">
        <is>
          <t>nm/drafting/verify.py - nine mechanical checks with a three-state outcome where could-not-run BLOCKS. CORRECTED after review found FOUR confirmed false passes, all one mistake: _discloses asked whether an authority's reference appeared anywhere in the prose, so citing a persuasive authority counted as disclosing that it was persuasive, citing an overruled judgment counted as disclosing the treatment, and naming the limitation Article counted as pleading compliance. A fifth node kind, Disclosure, now names its subject and kind so the question is an exact lookup - the model changed rather than the check getting cleverer.</t>
        </is>
      </c>
      <c r="P179" s="4" t="inlineStr">
        <is>
          <t>nm/tests/a_logic/test_phase5_drafting.py::test_a_citation_is_not_a_disclosure_of_what_is_being_cited, ::test_naming_the_article_is_not_pleading_the_compliance_plea, ::test_a_check_that_could_not_run_does_not_clear (ran 2026-08-28)</t>
        </is>
      </c>
      <c r="Q179" s="4" t="inlineStr">
        <is>
          <t>2026-08-28</t>
        </is>
      </c>
    </row>
    <row r="180">
      <c r="A180" s="6" t="inlineStr">
        <is>
          <t>DF-07</t>
        </is>
      </c>
      <c r="B180" s="18" t="inlineStr">
        <is>
          <t>Phase 5 - Drafting</t>
        </is>
      </c>
      <c r="C180" s="8" t="inlineStr">
        <is>
          <t>EP-23</t>
        </is>
      </c>
      <c r="D180" s="9" t="inlineStr">
        <is>
          <t>Gaps marked as blanks, never filled</t>
        </is>
      </c>
      <c r="E180" s="8" t="inlineStr">
        <is>
          <t>Core</t>
        </is>
      </c>
      <c r="F180" s="8" t="inlineStr">
        <is>
          <t>DR6</t>
        </is>
      </c>
      <c r="G180" s="8" t="inlineStr">
        <is>
          <t>6</t>
        </is>
      </c>
      <c r="H180" s="10" t="n">
        <v>5</v>
      </c>
      <c r="I180" s="11" t="inlineStr">
        <is>
          <t>Known</t>
        </is>
      </c>
      <c r="J180" s="8" t="inlineStr">
        <is>
          <t>DF-02</t>
        </is>
      </c>
      <c r="K180" s="9" t="inlineStr">
        <is>
          <t>The highest-risk drafting failure becomes structurally prevented</t>
        </is>
      </c>
      <c r="L180" s="9" t="inlineStr">
        <is>
          <t>A draft with no blanks on a file with open gaps is a defect</t>
        </is>
      </c>
      <c r="M180" s="10" t="inlineStr">
        <is>
          <t>B</t>
        </is>
      </c>
      <c r="N180" s="31" t="inlineStr">
        <is>
          <t>tested</t>
        </is>
      </c>
      <c r="O180" s="4" t="inlineStr">
        <is>
          <t>nm/drafting/draft.py::Blank - a blank is a NODE, not a string convention. The legacy tree asked a model for [GAP: ...] in a prompt and stripped unresolved tags at render time, which is the one operation that turns a visible hole invisible. Blanks are computed from the brief's open gaps and appended by the drafter, so they are not the composer's to tidy; set equality is checked BOTH ways, so a hole cannot be dropped or invented.</t>
        </is>
      </c>
      <c r="P180" s="4" t="inlineStr">
        <is>
          <t>nm/tests/a_logic/test_phase5_drafting.py::test_a_draft_with_no_blanks_on_a_file_with_open_gaps_is_a_defect, ::test_a_blank_cannot_be_invented_any_more_than_it_can_be_filled, ::test_the_drafter_supplies_owed_blanks_the_composer_left_out (ran 2026-08-28)</t>
        </is>
      </c>
      <c r="Q180" s="4" t="inlineStr">
        <is>
          <t>2026-08-28</t>
        </is>
      </c>
    </row>
    <row r="181">
      <c r="A181" s="6" t="inlineStr">
        <is>
          <t>DF-08</t>
        </is>
      </c>
      <c r="B181" s="18" t="inlineStr">
        <is>
          <t>Phase 5 - Drafting</t>
        </is>
      </c>
      <c r="C181" s="8" t="inlineStr">
        <is>
          <t>EP-23</t>
        </is>
      </c>
      <c r="D181" s="9" t="inlineStr">
        <is>
          <t>Drafter does not re-decide ranked reliefs or selected arguments</t>
        </is>
      </c>
      <c r="E181" s="8" t="inlineStr">
        <is>
          <t>Core</t>
        </is>
      </c>
      <c r="F181" s="8" t="inlineStr">
        <is>
          <t>DR7</t>
        </is>
      </c>
      <c r="G181" s="8" t="inlineStr">
        <is>
          <t>6</t>
        </is>
      </c>
      <c r="H181" s="10" t="n">
        <v>2</v>
      </c>
      <c r="I181" s="11" t="inlineStr">
        <is>
          <t>Known</t>
        </is>
      </c>
      <c r="J181" s="8" t="inlineStr">
        <is>
          <t>DF-02</t>
        </is>
      </c>
      <c r="K181" s="9" t="inlineStr">
        <is>
          <t>Judgement stays in the component held to the advising standard</t>
        </is>
      </c>
      <c r="L181" s="9" t="inlineStr">
        <is>
          <t>The draft follows the brief's ranking</t>
        </is>
      </c>
      <c r="M181" s="10" t="inlineStr">
        <is>
          <t>B</t>
        </is>
      </c>
      <c r="N181" s="31" t="inlineStr">
        <is>
          <t>tested</t>
        </is>
      </c>
      <c r="O181" s="4" t="inlineStr">
        <is>
          <t>nm/drafting/verify.py::_reliefs_follow_the_brief + agent.py::RankingObjection - the draft's prayers must equal the brief's relief order as a sequence. CORRECTED after review: Prayer accepted empty text, so a prayer that asked the court for nothing satisfied the ranking comparison.</t>
        </is>
      </c>
      <c r="P181" s="4" t="inlineStr">
        <is>
          <t>nm/tests/a_logic/test_phase5_drafting.py::test_the_draft_follows_the_briefs_ranking, ::test_a_prayer_must_carry_the_text_that_is_actually_filed (ran 2026-08-28)</t>
        </is>
      </c>
      <c r="Q181" s="4" t="inlineStr">
        <is>
          <t>2026-08-28</t>
        </is>
      </c>
    </row>
    <row r="182">
      <c r="A182" s="6" t="inlineStr">
        <is>
          <t>EN-01</t>
        </is>
      </c>
      <c r="B182" s="19" t="inlineStr">
        <is>
          <t>Phase 6 - Enterprise</t>
        </is>
      </c>
      <c r="C182" s="8" t="inlineStr">
        <is>
          <t>EP-24</t>
        </is>
      </c>
      <c r="D182" s="9" t="inlineStr">
        <is>
          <t>Accounts and advocate identity</t>
        </is>
      </c>
      <c r="E182" s="8" t="inlineStr">
        <is>
          <t>Enterprise</t>
        </is>
      </c>
      <c r="F182" s="8" t="inlineStr">
        <is>
          <t>-</t>
        </is>
      </c>
      <c r="G182" s="8" t="inlineStr">
        <is>
          <t>5</t>
        </is>
      </c>
      <c r="H182" s="10" t="n">
        <v>8</v>
      </c>
      <c r="I182" s="11" t="inlineStr">
        <is>
          <t>Known</t>
        </is>
      </c>
      <c r="J182" s="8" t="inlineStr">
        <is>
          <t>F-01</t>
        </is>
      </c>
      <c r="K182" s="9" t="inlineStr">
        <is>
          <t>Multi-user becomes possible</t>
        </is>
      </c>
      <c r="L182" s="9" t="inlineStr">
        <is>
          <t>Sign-in, identity, session lifecycle</t>
        </is>
      </c>
      <c r="M182" s="10" t="inlineStr">
        <is>
          <t>B</t>
        </is>
      </c>
      <c r="N182" s="15" t="inlineStr">
        <is>
          <t>built</t>
        </is>
      </c>
      <c r="O182" s="4" t="inlineStr">
        <is>
          <t>nm/core/identity.py - Advocate, Chambers and Session with the lifecycle COMPUTED rather than stored, so a session cannot report itself active after it expired. Advocate is deliberately thin: no email, no client-identifying field, because the way personal data reaches a diagnostics store is by riding on a value nobody thought of as personal. NOT DONE: sign-in itself - credentials, token issue, reset - which needs an adapter and an edge that do not exist. Identity and lifecycle are tested; the story is not.</t>
        </is>
      </c>
      <c r="P182" s="4" t="inlineStr"/>
      <c r="Q182" s="4" t="inlineStr">
        <is>
          <t>2026-08-28</t>
        </is>
      </c>
    </row>
    <row r="183">
      <c r="A183" s="6" t="inlineStr">
        <is>
          <t>EN-02</t>
        </is>
      </c>
      <c r="B183" s="19" t="inlineStr">
        <is>
          <t>Phase 6 - Enterprise</t>
        </is>
      </c>
      <c r="C183" s="8" t="inlineStr">
        <is>
          <t>EP-24</t>
        </is>
      </c>
      <c r="D183" s="9" t="inlineStr">
        <is>
          <t>Matter isolation and access control</t>
        </is>
      </c>
      <c r="E183" s="8" t="inlineStr">
        <is>
          <t>Enterprise</t>
        </is>
      </c>
      <c r="F183" s="8" t="inlineStr">
        <is>
          <t>-</t>
        </is>
      </c>
      <c r="G183" s="8" t="inlineStr">
        <is>
          <t>5</t>
        </is>
      </c>
      <c r="H183" s="10" t="n">
        <v>8</v>
      </c>
      <c r="I183" s="11" t="inlineStr">
        <is>
          <t>Known</t>
        </is>
      </c>
      <c r="J183" s="8" t="inlineStr">
        <is>
          <t>EN-01</t>
        </is>
      </c>
      <c r="K183" s="9" t="inlineStr">
        <is>
          <t>One advocate's file becomes inaccessible to another</t>
        </is>
      </c>
      <c r="L183" s="9" t="inlineStr">
        <is>
          <t>Access is denied by default and granted explicitly</t>
        </is>
      </c>
      <c r="M183" s="10" t="inlineStr">
        <is>
          <t>B</t>
        </is>
      </c>
      <c r="N183" s="31" t="inlineStr">
        <is>
          <t>tested</t>
        </is>
      </c>
      <c r="O183" s="4" t="inlineStr">
        <is>
          <t>nm/core/identity.py - two holes closed after a counterexample review. (1) Grant.is_live checked only revocation, so a grant dated a year ahead authorised an access today: existing as an object was enough. A permission is bounded at BOTH ends or it is not bounded. (2) decide/authorise accepted session=None and skipped every session check, so an unauthenticated caller was an advocate as long as it supplied the right string. `session` is now a required keyword on both, and None DENIES rather than raising - required so it cannot be omitted, denying so the omission fails closed. InMemoryMatterStore takes it through read/write/delete with the same default-is-refusal.</t>
        </is>
      </c>
      <c r="P183" s="4" t="inlineStr">
        <is>
          <t>nm/tests/a_logic/test_phase6_enterprise.py::test_access_is_denied_by_default, ::test_a_revoked_grant_stops_permitting_immediately; nm/tests/a_logic/test_phase7_turn.py::test_a_store_read_with_no_session_is_refused (ran 2026-08-28)</t>
        </is>
      </c>
      <c r="Q183" s="4" t="inlineStr">
        <is>
          <t>2026-08-28</t>
        </is>
      </c>
    </row>
    <row r="184">
      <c r="A184" s="6" t="inlineStr">
        <is>
          <t>EN-03</t>
        </is>
      </c>
      <c r="B184" s="19" t="inlineStr">
        <is>
          <t>Phase 6 - Enterprise</t>
        </is>
      </c>
      <c r="C184" s="8" t="inlineStr">
        <is>
          <t>EP-24</t>
        </is>
      </c>
      <c r="D184" s="9" t="inlineStr">
        <is>
          <t>Chambers grouping and controlled sharing</t>
        </is>
      </c>
      <c r="E184" s="8" t="inlineStr">
        <is>
          <t>Enterprise</t>
        </is>
      </c>
      <c r="F184" s="8" t="inlineStr">
        <is>
          <t>-</t>
        </is>
      </c>
      <c r="G184" s="8" t="inlineStr">
        <is>
          <t>5</t>
        </is>
      </c>
      <c r="H184" s="10" t="n">
        <v>8</v>
      </c>
      <c r="I184" s="11" t="inlineStr">
        <is>
          <t>Known</t>
        </is>
      </c>
      <c r="J184" s="8" t="inlineStr">
        <is>
          <t>EN-02</t>
        </is>
      </c>
      <c r="K184" s="9" t="inlineStr">
        <is>
          <t>A junior and a senior can work the same file</t>
        </is>
      </c>
      <c r="L184" s="9" t="inlineStr">
        <is>
          <t>Sharing is explicit, revocable and audited</t>
        </is>
      </c>
      <c r="M184" s="10" t="inlineStr">
        <is>
          <t>B</t>
        </is>
      </c>
      <c r="N184" s="31" t="inlineStr">
        <is>
          <t>tested</t>
        </is>
      </c>
      <c r="O184" s="4" t="inlineStr">
        <is>
          <t>nm/core/identity.py::Grant, Chambers, shareable_with - sharing is explicit, revocable and reasoned; a grant with no reason is refused, because an access review works by reading reasons. Chambers MEMBERSHIP IS NOT ACCESS: it is the set a share may be made to, kept as its own function so the distinction is legible at the call site.</t>
        </is>
      </c>
      <c r="P184" s="4" t="inlineStr">
        <is>
          <t>nm/tests/a_logic/test_phase6_enterprise.py::test_chambers_membership_is_not_access, ::test_a_grant_must_carry_its_reason, ::test_a_revoked_grant_stops_permitting_immediately (ran 2026-08-28)</t>
        </is>
      </c>
      <c r="Q184" s="4" t="inlineStr">
        <is>
          <t>2026-08-28</t>
        </is>
      </c>
    </row>
    <row r="185">
      <c r="A185" s="6" t="inlineStr">
        <is>
          <t>EN-04</t>
        </is>
      </c>
      <c r="B185" s="19" t="inlineStr">
        <is>
          <t>Phase 6 - Enterprise</t>
        </is>
      </c>
      <c r="C185" s="8" t="inlineStr">
        <is>
          <t>EP-24</t>
        </is>
      </c>
      <c r="D185" s="9" t="inlineStr">
        <is>
          <t>Access audit</t>
        </is>
      </c>
      <c r="E185" s="8" t="inlineStr">
        <is>
          <t>Enterprise</t>
        </is>
      </c>
      <c r="F185" s="8" t="inlineStr">
        <is>
          <t>-</t>
        </is>
      </c>
      <c r="G185" s="8" t="inlineStr">
        <is>
          <t>5</t>
        </is>
      </c>
      <c r="H185" s="10" t="n">
        <v>5</v>
      </c>
      <c r="I185" s="11" t="inlineStr">
        <is>
          <t>Known</t>
        </is>
      </c>
      <c r="J185" s="8" t="inlineStr">
        <is>
          <t>EN-02</t>
        </is>
      </c>
      <c r="K185" s="9" t="inlineStr">
        <is>
          <t>Who saw what becomes answerable</t>
        </is>
      </c>
      <c r="L185" s="9" t="inlineStr">
        <is>
          <t>Every access to a matter is recorded</t>
        </is>
      </c>
      <c r="M185" s="10" t="inlineStr">
        <is>
          <t>B</t>
        </is>
      </c>
      <c r="N185" s="31" t="inlineStr">
        <is>
          <t>tested</t>
        </is>
      </c>
      <c r="O185" s="4" t="inlineStr">
        <is>
          <t>nm/core/identity.py::authorise plus its FIRST production caller in nm/edge/session.py::serve. The record is checked against EN-10's guard before it is written and the write still denies on failure. AccessLog now declares __len__ on the port, because EN-04 is asserted by COUNTING the log across the call and a log that cannot be counted is one whose invariant cannot be checked - the obligation belongs on the boundary, not in a caller hoping the adapter supports it.</t>
        </is>
      </c>
      <c r="P185" s="4" t="inlineStr">
        <is>
          <t>nm/tests/a_logic/test_phase7_turn.py::test_a_served_turn_records_the_access_and_counts_it, ::test_a_served_turn_is_authorised_before_anything_reads_the_matter (ran 2026-08-28)</t>
        </is>
      </c>
      <c r="Q185" s="4" t="inlineStr">
        <is>
          <t>2026-08-28</t>
        </is>
      </c>
    </row>
    <row r="186">
      <c r="A186" s="6" t="inlineStr">
        <is>
          <t>EN-05</t>
        </is>
      </c>
      <c r="B186" s="19" t="inlineStr">
        <is>
          <t>Phase 6 - Enterprise</t>
        </is>
      </c>
      <c r="C186" s="8" t="inlineStr">
        <is>
          <t>EP-25</t>
        </is>
      </c>
      <c r="D186" s="9" t="inlineStr">
        <is>
          <t>Encryption at rest and in transit</t>
        </is>
      </c>
      <c r="E186" s="8" t="inlineStr">
        <is>
          <t>Enterprise</t>
        </is>
      </c>
      <c r="F186" s="8" t="inlineStr">
        <is>
          <t>-</t>
        </is>
      </c>
      <c r="G186" s="8" t="inlineStr">
        <is>
          <t>5</t>
        </is>
      </c>
      <c r="H186" s="10" t="n">
        <v>5</v>
      </c>
      <c r="I186" s="11" t="inlineStr">
        <is>
          <t>Known</t>
        </is>
      </c>
      <c r="J186" s="8" t="inlineStr">
        <is>
          <t>EN-01</t>
        </is>
      </c>
      <c r="K186" s="9" t="inlineStr">
        <is>
          <t>Client confidentiality gets a technical floor</t>
        </is>
      </c>
      <c r="L186" s="9" t="inlineStr">
        <is>
          <t>All matter data and documents encrypted; keys managed</t>
        </is>
      </c>
      <c r="M186" s="10" t="inlineStr">
        <is>
          <t>B</t>
        </is>
      </c>
      <c r="N186" s="15" t="inlineStr">
        <is>
          <t>built</t>
        </is>
      </c>
      <c r="O186" s="4" t="inlineStr">
        <is>
          <t>nm/adapters/crypto.py::EncryptedMatterStore - the first adapter that actually encrypts anything (B-74). The port has reported protection honestly since Phase 6 and nothing implemented it, so PROTECTED was a state nothing could be in. Each of infra/crypto.py's three documented behaviours is inverted: the store cannot exist without a key (no silent no-op), a failed decryption RAISES rather than returning ciphertext as though it were the client's facts, and plaintext residue is counted and refused rather than passed through - so 'the data is encrypted' is a number instead of a claim. AES-256-GCM with the matter id as authenticated data, so a record moved between matters fails rather than decrypting into the wrong file. `open_matter_store(require_encryption=...)` has no default: an unencrypted deployment needs someone's `require_encryption=False` in a diff, not an absent environment variable. HELD AT built, not tested: the acceptance is 'all matter data and documents encrypted; keys managed', and neither half is true of the system - no served path uses this store and there is no key management beyond a per-deployment salt.</t>
        </is>
      </c>
      <c r="P186" s="4" t="inlineStr"/>
      <c r="Q186" s="4" t="inlineStr">
        <is>
          <t>2026-08-28</t>
        </is>
      </c>
    </row>
    <row r="187">
      <c r="A187" s="6" t="inlineStr">
        <is>
          <t>EN-06</t>
        </is>
      </c>
      <c r="B187" s="19" t="inlineStr">
        <is>
          <t>Phase 6 - Enterprise</t>
        </is>
      </c>
      <c r="C187" s="8" t="inlineStr">
        <is>
          <t>EP-25</t>
        </is>
      </c>
      <c r="D187" s="9" t="inlineStr">
        <is>
          <t>Retention and deletion of client data</t>
        </is>
      </c>
      <c r="E187" s="8" t="inlineStr">
        <is>
          <t>Enterprise</t>
        </is>
      </c>
      <c r="F187" s="8" t="inlineStr">
        <is>
          <t>-</t>
        </is>
      </c>
      <c r="G187" s="8" t="inlineStr">
        <is>
          <t>5</t>
        </is>
      </c>
      <c r="H187" s="10" t="n">
        <v>8</v>
      </c>
      <c r="I187" s="11" t="inlineStr">
        <is>
          <t>Known</t>
        </is>
      </c>
      <c r="J187" s="8" t="inlineStr">
        <is>
          <t>EN-05</t>
        </is>
      </c>
      <c r="K187" s="9" t="inlineStr">
        <is>
          <t>An advocate can honour their own obligations</t>
        </is>
      </c>
      <c r="L187" s="9" t="inlineStr">
        <is>
          <t>Deletion is complete, verifiable and covers derived artefacts</t>
        </is>
      </c>
      <c r="M187" s="10" t="inlineStr">
        <is>
          <t>B</t>
        </is>
      </c>
      <c r="N187" s="15" t="inlineStr">
        <is>
          <t>built</t>
        </is>
      </c>
      <c r="O187" s="4" t="inlineStr">
        <is>
          <t>DOWNGRADED from tested, and the code is better than it was. nm/core/retention.py now compares coverage by SET EQUALITY against ERASABLE_STORES - facts, derivations, documents, summaries, exports, indexes, logs, backups - and a store nobody supplied is `not checked`, never clean. The earlier version read two stores, found both clean and reported a complete erasure: a deletion that has looked at a quarter of the system makes a STRONGER claim than one that fails. But the control being honest is not the acceptance. Six of the eight stores exist only as StoreView.empty declarations in a test, no production path performs an erasure, and `deletion is complete` is therefore still a sentence about code rather than about the system.</t>
        </is>
      </c>
      <c r="P187" s="4" t="inlineStr"/>
      <c r="Q187" s="4" t="inlineStr">
        <is>
          <t>2026-08-28</t>
        </is>
      </c>
    </row>
    <row r="188">
      <c r="A188" s="6" t="inlineStr">
        <is>
          <t>EN-07</t>
        </is>
      </c>
      <c r="B188" s="19" t="inlineStr">
        <is>
          <t>Phase 6 - Enterprise</t>
        </is>
      </c>
      <c r="C188" s="8" t="inlineStr">
        <is>
          <t>EP-25</t>
        </is>
      </c>
      <c r="D188" s="9" t="inlineStr">
        <is>
          <t>Data residency for Indian legal data</t>
        </is>
      </c>
      <c r="E188" s="8" t="inlineStr">
        <is>
          <t>Enterprise</t>
        </is>
      </c>
      <c r="F188" s="8" t="inlineStr">
        <is>
          <t>-</t>
        </is>
      </c>
      <c r="G188" s="8" t="inlineStr">
        <is>
          <t>5</t>
        </is>
      </c>
      <c r="H188" s="10" t="n">
        <v>8</v>
      </c>
      <c r="I188" s="13" t="inlineStr">
        <is>
          <t>Unknown until instrumented</t>
        </is>
      </c>
      <c r="J188" s="8" t="inlineStr">
        <is>
          <t>EN-05</t>
        </is>
      </c>
      <c r="K188" s="9" t="inlineStr">
        <is>
          <t>A residency question stops blocking a sale</t>
        </is>
      </c>
      <c r="L188" s="9" t="inlineStr">
        <is>
          <t>Storage and processing locations documented and enforced</t>
        </is>
      </c>
      <c r="M188" s="10" t="inlineStr">
        <is>
          <t>C</t>
        </is>
      </c>
      <c r="N188" s="15" t="inlineStr">
        <is>
          <t>built</t>
        </is>
      </c>
      <c r="O188" s="4" t="inlineStr">
        <is>
          <t>nm/ports/confidentiality.py::Residency + nm/obs/compliance.py::SURFACES - storage and processing regions are NAMED SEPARATELY, because they differ and a claim covering only storage is wrong exactly where it matters. Six surfaces are registered and ALL are undeclared, which is honest: nothing is deployed, and an entry with a region would be a claim about infrastructure that does not exist. NOT DONE: enforcement, which needs adapters that declare their own region.</t>
        </is>
      </c>
      <c r="P188" s="4" t="inlineStr"/>
      <c r="Q188" s="4" t="inlineStr">
        <is>
          <t>2026-08-28</t>
        </is>
      </c>
    </row>
    <row r="189">
      <c r="A189" s="6" t="inlineStr">
        <is>
          <t>EN-08</t>
        </is>
      </c>
      <c r="B189" s="19" t="inlineStr">
        <is>
          <t>Phase 6 - Enterprise</t>
        </is>
      </c>
      <c r="C189" s="8" t="inlineStr">
        <is>
          <t>EP-25</t>
        </is>
      </c>
      <c r="D189" s="9" t="inlineStr">
        <is>
          <t>DPDP Act posture review</t>
        </is>
      </c>
      <c r="E189" s="8" t="inlineStr">
        <is>
          <t>Enterprise</t>
        </is>
      </c>
      <c r="F189" s="8" t="inlineStr">
        <is>
          <t>-</t>
        </is>
      </c>
      <c r="G189" s="8" t="inlineStr">
        <is>
          <t>5</t>
        </is>
      </c>
      <c r="H189" s="10" t="n">
        <v>8</v>
      </c>
      <c r="I189" s="13" t="inlineStr">
        <is>
          <t>Unknown until instrumented</t>
        </is>
      </c>
      <c r="J189" s="8" t="inlineStr">
        <is>
          <t>EN-06</t>
        </is>
      </c>
      <c r="K189" s="9" t="inlineStr">
        <is>
          <t>Compliance stops being an unknown</t>
        </is>
      </c>
      <c r="L189" s="9" t="inlineStr">
        <is>
          <t>Obligations mapped to controls; gaps listed with owners</t>
        </is>
      </c>
      <c r="M189" s="10" t="inlineStr">
        <is>
          <t>C</t>
        </is>
      </c>
      <c r="N189" s="31" t="inlineStr">
        <is>
          <t>tested</t>
        </is>
      </c>
      <c r="O189" s="4" t="inlineStr">
        <is>
          <t>nm/obs/compliance.py::DPDP_REGISTER - nine obligations mapped to controls, with three gaps. An obligation with no control MUST name an owner, and assessed_count() is reported so 'we reviewed our DPDP posture' cannot be said without 'against nine obligations'. An obligation absent from the register is UNASSESSED, not satisfied. CAVEAT: the three open gaps carry owner='unassigned', which satisfies the type and not the intent - real owners are a decision only the practice can take.</t>
        </is>
      </c>
      <c r="P189" s="4" t="inlineStr">
        <is>
          <t>nm/tests/a_logic/test_phase6_enterprise.py::test_an_obligation_with_no_control_must_name_an_owner, ::test_the_register_reports_how_many_obligations_it_assessed (ran 2026-08-28)</t>
        </is>
      </c>
      <c r="Q189" s="4" t="inlineStr">
        <is>
          <t>2026-08-28</t>
        </is>
      </c>
    </row>
    <row r="190">
      <c r="A190" s="6" t="inlineStr">
        <is>
          <t>EN-09</t>
        </is>
      </c>
      <c r="B190" s="19" t="inlineStr">
        <is>
          <t>Phase 6 - Enterprise</t>
        </is>
      </c>
      <c r="C190" s="8" t="inlineStr">
        <is>
          <t>EP-25</t>
        </is>
      </c>
      <c r="D190" s="9" t="inlineStr">
        <is>
          <t>Per-matter document storage isolation</t>
        </is>
      </c>
      <c r="E190" s="8" t="inlineStr">
        <is>
          <t>Enterprise</t>
        </is>
      </c>
      <c r="F190" s="8" t="inlineStr">
        <is>
          <t>-</t>
        </is>
      </c>
      <c r="G190" s="8" t="inlineStr">
        <is>
          <t>5</t>
        </is>
      </c>
      <c r="H190" s="10" t="n">
        <v>5</v>
      </c>
      <c r="I190" s="11" t="inlineStr">
        <is>
          <t>Known</t>
        </is>
      </c>
      <c r="J190" s="8" t="inlineStr">
        <is>
          <t>EN-02,DI-01</t>
        </is>
      </c>
      <c r="K190" s="9" t="inlineStr">
        <is>
          <t>A document leak across matters becomes structurally impossible</t>
        </is>
      </c>
      <c r="L190" s="9" t="inlineStr">
        <is>
          <t>Storage paths are matter-scoped and access-checked</t>
        </is>
      </c>
      <c r="M190" s="10" t="inlineStr">
        <is>
          <t>B</t>
        </is>
      </c>
      <c r="N190" s="15" t="inlineStr">
        <is>
          <t>built</t>
        </is>
      </c>
      <c r="O190" s="4" t="inlineStr">
        <is>
          <t>nm/ports/confidentiality.py::MatterStore - read/write/delete take the ADVOCATE, not just the matter, because a store whose signature omits the principal cannot enforce EN-02 and the enforcement then has to live in every caller. Path-level matter isolation already exists from DI-01 (nm/adapters/documents.py). NOT DONE: no adapter implements MatterStore, so the access check is a contract with no implementation.</t>
        </is>
      </c>
      <c r="P190" s="4" t="inlineStr"/>
      <c r="Q190" s="4" t="inlineStr">
        <is>
          <t>2026-08-28</t>
        </is>
      </c>
    </row>
    <row r="191">
      <c r="A191" s="6" t="inlineStr">
        <is>
          <t>EN-10</t>
        </is>
      </c>
      <c r="B191" s="19" t="inlineStr">
        <is>
          <t>Phase 6 - Enterprise</t>
        </is>
      </c>
      <c r="C191" s="8" t="inlineStr">
        <is>
          <t>EP-25</t>
        </is>
      </c>
      <c r="D191" s="9" t="inlineStr">
        <is>
          <t>PII handling in logs, metrics and diagnostics</t>
        </is>
      </c>
      <c r="E191" s="8" t="inlineStr">
        <is>
          <t>Enterprise</t>
        </is>
      </c>
      <c r="F191" s="8" t="inlineStr">
        <is>
          <t>-</t>
        </is>
      </c>
      <c r="G191" s="8" t="inlineStr">
        <is>
          <t>10.2</t>
        </is>
      </c>
      <c r="H191" s="10" t="n">
        <v>5</v>
      </c>
      <c r="I191" s="11" t="inlineStr">
        <is>
          <t>Known</t>
        </is>
      </c>
      <c r="J191" s="8" t="inlineStr">
        <is>
          <t>F-08</t>
        </is>
      </c>
      <c r="K191" s="9" t="inlineStr">
        <is>
          <t>Instrumentation stops becoming a second copy of the client file</t>
        </is>
      </c>
      <c r="L191" s="9" t="inlineStr">
        <is>
          <t>No client content in metrics or diagnostics; identifiers only</t>
        </is>
      </c>
      <c r="M191" s="10" t="inlineStr">
        <is>
          <t>B</t>
        </is>
      </c>
      <c r="N191" s="31" t="inlineStr">
        <is>
          <t>tested</t>
        </is>
      </c>
      <c r="O191" s="4" t="inlineStr">
        <is>
          <t>nm/obs/privacy.py - a whitelist over field NAMES cannot keep prose out, and this module proved it: `purpose` and `reason` were permitted because neither is content by definition, so {'purpose': 'client admitted fraud on 12 March'} was reported clean and survived scrub(). A permitted field now declares the SHAPE of value it may hold - ID (no internal whitespace: an identifier that reads like a sentence is not one), NUMBER, TIME, or CODE from a vocabulary the caller DECLARES, where an undeclared vocabulary fails rather than passes. identity.py's audit line carries a ReasonCode and a Purpose enum instead of sentences; the human explanation goes to the human. Then the wiring found a second leak of the same shape: every class-B assertion in phase4/phase6 quoted the offending material into its message (element.text[:60], signal.text[:60], chain.statement[:50]), so the metrics store filled with the client's own words. A violation is a diagnostics record; it now names the gap, thread, element kind or statement position and never the words.</t>
        </is>
      </c>
      <c r="P191" s="4" t="inlineStr">
        <is>
          <t>nm/tests/a_logic/test_phase6_enterprise.py::test_client_content_can_never_reach_diagnostics, ::test_scrub_drops_rather_than_masks; nm/tests/a_logic/test_phase7_turn.py::test_a_violation_detail_never_carries_the_words_it_is_complaining_about (ran 2026-08-28)</t>
        </is>
      </c>
      <c r="Q191" s="4" t="inlineStr">
        <is>
          <t>2026-08-28</t>
        </is>
      </c>
    </row>
    <row r="192">
      <c r="A192" s="6" t="inlineStr">
        <is>
          <t>EN-11</t>
        </is>
      </c>
      <c r="B192" s="19" t="inlineStr">
        <is>
          <t>Phase 6 - Enterprise</t>
        </is>
      </c>
      <c r="C192" s="8" t="inlineStr">
        <is>
          <t>EP-26</t>
        </is>
      </c>
      <c r="D192" s="9" t="inlineStr">
        <is>
          <t>Provenance audit trail per statement</t>
        </is>
      </c>
      <c r="E192" s="8" t="inlineStr">
        <is>
          <t>Enterprise</t>
        </is>
      </c>
      <c r="F192" s="8" t="inlineStr">
        <is>
          <t>QS4</t>
        </is>
      </c>
      <c r="G192" s="8" t="inlineStr">
        <is>
          <t>12</t>
        </is>
      </c>
      <c r="H192" s="10" t="n">
        <v>8</v>
      </c>
      <c r="I192" s="11" t="inlineStr">
        <is>
          <t>Known</t>
        </is>
      </c>
      <c r="J192" s="8" t="inlineStr">
        <is>
          <t>AN-11,V-01</t>
        </is>
      </c>
      <c r="K192" s="9" t="inlineStr">
        <is>
          <t>An advocate can defend where an answer came from</t>
        </is>
      </c>
      <c r="L192" s="9" t="inlineStr">
        <is>
          <t>Fact to provenance, law to span, inference labelled, in three steps</t>
        </is>
      </c>
      <c r="M192" s="10" t="inlineStr">
        <is>
          <t>B</t>
        </is>
      </c>
      <c r="N192" s="31" t="inlineStr">
        <is>
          <t>tested</t>
        </is>
      </c>
      <c r="O192" s="4" t="inlineStr">
        <is>
          <t>nm/core/audit.py - Chain.is_complete required only `no unresolved refs and at least one step`, so an element referring to nothing produced a one-step chain reporting a COMPLETE three-step audit. `Nothing to resolve` is not `resolved`: that is the two-state failure this build keeps finding, arriving in the module written to detect it. Steps now carry a StepRole and completeness is set equality against all three roles, which states EN-11's rule rather than this implementation's step count. Four states (complete / unsupported / unresolved / not required) with the bound stated: a QUESTION asserts nothing, so demanding provenance for one would be the guard rejecting correct output. Wired into serve, where it immediately reported the two unsupported statements in a real turn.</t>
        </is>
      </c>
      <c r="P192" s="4" t="inlineStr">
        <is>
          <t>nm/tests/a_logic/test_phase6_enterprise.py::test_a_statement_resting_on_nothing_is_not_a_complete_audit, ::test_a_question_is_not_held_to_a_provenance_it_cannot_have (ran 2026-08-28)</t>
        </is>
      </c>
      <c r="Q192" s="4" t="inlineStr">
        <is>
          <t>2026-08-28</t>
        </is>
      </c>
    </row>
    <row r="193">
      <c r="A193" s="6" t="inlineStr">
        <is>
          <t>EN-12</t>
        </is>
      </c>
      <c r="B193" s="19" t="inlineStr">
        <is>
          <t>Phase 6 - Enterprise</t>
        </is>
      </c>
      <c r="C193" s="8" t="inlineStr">
        <is>
          <t>EP-26</t>
        </is>
      </c>
      <c r="D193" s="9" t="inlineStr">
        <is>
          <t>Matter export with advice, citations and provenance</t>
        </is>
      </c>
      <c r="E193" s="8" t="inlineStr">
        <is>
          <t>Enterprise</t>
        </is>
      </c>
      <c r="F193" s="8" t="inlineStr">
        <is>
          <t>-</t>
        </is>
      </c>
      <c r="G193" s="8" t="inlineStr">
        <is>
          <t>12</t>
        </is>
      </c>
      <c r="H193" s="10" t="n">
        <v>8</v>
      </c>
      <c r="I193" s="11" t="inlineStr">
        <is>
          <t>Known</t>
        </is>
      </c>
      <c r="J193" s="8" t="inlineStr">
        <is>
          <t>EN-11</t>
        </is>
      </c>
      <c r="K193" s="9" t="inlineStr">
        <is>
          <t>The work product leaves the product intact</t>
        </is>
      </c>
      <c r="L193" s="9" t="inlineStr">
        <is>
          <t>Export renders the case note, authorities and provenance</t>
        </is>
      </c>
      <c r="M193" s="10" t="inlineStr">
        <is>
          <t>B</t>
        </is>
      </c>
      <c r="N193" s="31" t="inlineStr">
        <is>
          <t>tested</t>
        </is>
      </c>
      <c r="O193" s="4" t="inlineStr">
        <is>
          <t>nm/edge/export.py - `an export covers one matter` was a sentence in a docstring and a heading on the document. Nothing compared `matter` to the summary being rendered or to the chains and findings supplied, so an export labelled m-1 assembled from another matter's material produced a clean, complete, well-formed document containing a second client's case note: every part correct except which file it came from. CaseSummary now names its matter (the refusal TurnHistory already made about a foreign entry), an authority reaches the document only if the summary vouches for it, and a chain only if everything it walks is in the same set. Anything else is HELD BACK and named - held back rather than raised because an advocate needs the document, named rather than dropped because a document that quietly omitted something is one nobody can rely on either.</t>
        </is>
      </c>
      <c r="P193" s="4" t="inlineStr">
        <is>
          <t>nm/tests/a_logic/test_phase6_enterprise.py::test_an_export_cannot_be_headed_one_matter_and_filled_with_another, ::test_material_the_case_note_does_not_hold_is_held_back_and_named (ran 2026-08-28)</t>
        </is>
      </c>
      <c r="Q193" s="4" t="inlineStr">
        <is>
          <t>2026-08-28</t>
        </is>
      </c>
    </row>
    <row r="194">
      <c r="A194" s="6" t="inlineStr">
        <is>
          <t>EN-13</t>
        </is>
      </c>
      <c r="B194" s="19" t="inlineStr">
        <is>
          <t>Phase 6 - Enterprise</t>
        </is>
      </c>
      <c r="C194" s="8" t="inlineStr">
        <is>
          <t>EP-26</t>
        </is>
      </c>
      <c r="D194" s="9" t="inlineStr">
        <is>
          <t>Immutable turn history</t>
        </is>
      </c>
      <c r="E194" s="8" t="inlineStr">
        <is>
          <t>Enterprise</t>
        </is>
      </c>
      <c r="F194" s="8" t="inlineStr">
        <is>
          <t>-</t>
        </is>
      </c>
      <c r="G194" s="8" t="inlineStr">
        <is>
          <t>12</t>
        </is>
      </c>
      <c r="H194" s="10" t="n">
        <v>5</v>
      </c>
      <c r="I194" s="11" t="inlineStr">
        <is>
          <t>Known</t>
        </is>
      </c>
      <c r="J194" s="8" t="inlineStr">
        <is>
          <t>EN-11</t>
        </is>
      </c>
      <c r="K194" s="9" t="inlineStr">
        <is>
          <t>What was advised, and when, stops being reconstructible only from memory</t>
        </is>
      </c>
      <c r="L194" s="9" t="inlineStr">
        <is>
          <t>Turns are append-only and timestamped</t>
        </is>
      </c>
      <c r="M194" s="10" t="inlineStr">
        <is>
          <t>B</t>
        </is>
      </c>
      <c r="N194" s="31" t="inlineStr">
        <is>
          <t>tested</t>
        </is>
      </c>
      <c r="O194" s="4" t="inlineStr">
        <is>
          <t>nm/core/audit.py::TurnHistory - append-only by the ABSENCE of any update or delete method, not by a flag somebody can pass force=True to. TurnRecord holds counts and identifiers and never content, because history is un-erasable and anything it held would survive a deletion meant to be complete (EN-06). The edge check compares the PREFIX, not the length: a history that grew by one while an earlier entry changed is what a length check misses.</t>
        </is>
      </c>
      <c r="P194" s="4" t="inlineStr">
        <is>
          <t>nm/tests/a_logic/test_phase6_enterprise.py::test_turn_history_has_no_update_and_no_delete, ::test_history_appends_and_never_rewrites, ::test_a_turn_record_holds_no_content_it_could_never_erase (ran 2026-08-28)</t>
        </is>
      </c>
      <c r="Q194" s="4" t="inlineStr">
        <is>
          <t>2026-08-28</t>
        </is>
      </c>
    </row>
    <row r="195">
      <c r="A195" s="6" t="inlineStr">
        <is>
          <t>EN-14</t>
        </is>
      </c>
      <c r="B195" s="19" t="inlineStr">
        <is>
          <t>Phase 6 - Enterprise</t>
        </is>
      </c>
      <c r="C195" s="8" t="inlineStr">
        <is>
          <t>EP-27</t>
        </is>
      </c>
      <c r="D195" s="9" t="inlineStr">
        <is>
          <t>SLOs and an error budget</t>
        </is>
      </c>
      <c r="E195" s="8" t="inlineStr">
        <is>
          <t>Enterprise</t>
        </is>
      </c>
      <c r="F195" s="8" t="inlineStr">
        <is>
          <t>D2B</t>
        </is>
      </c>
      <c r="G195" s="8" t="inlineStr">
        <is>
          <t>10</t>
        </is>
      </c>
      <c r="H195" s="10" t="n">
        <v>5</v>
      </c>
      <c r="I195" s="11" t="inlineStr">
        <is>
          <t>Known</t>
        </is>
      </c>
      <c r="J195" s="8" t="inlineStr">
        <is>
          <t>F-08</t>
        </is>
      </c>
      <c r="K195" s="9" t="inlineStr">
        <is>
          <t>Reliability becomes a number rather than a feeling</t>
        </is>
      </c>
      <c r="L195" s="9" t="inlineStr">
        <is>
          <t>Availability and latency objectives defined and measured</t>
        </is>
      </c>
      <c r="M195" s="10" t="inlineStr">
        <is>
          <t>B</t>
        </is>
      </c>
      <c r="N195" s="15" t="inlineStr">
        <is>
          <t>built</t>
        </is>
      </c>
      <c r="O195" s="4" t="inlineStr">
        <is>
          <t>nm/obs/slo.py::OBJECTIVES - four objectives, each naming the decision its breach would change, so one that changes nothing cannot be declared. Every target is a PLACEHOLDER and unmeasured() reports all four, because nothing in nm/ is served and a target with no data behind it is a guess that will be defended as a commitment. NOT DONE: the 'and measured' half of the acceptance, which needs production traffic.</t>
        </is>
      </c>
      <c r="P195" s="4" t="inlineStr"/>
      <c r="Q195" s="4" t="inlineStr">
        <is>
          <t>2026-08-28</t>
        </is>
      </c>
    </row>
    <row r="196">
      <c r="A196" s="6" t="inlineStr">
        <is>
          <t>EN-15</t>
        </is>
      </c>
      <c r="B196" s="19" t="inlineStr">
        <is>
          <t>Phase 6 - Enterprise</t>
        </is>
      </c>
      <c r="C196" s="8" t="inlineStr">
        <is>
          <t>EP-27</t>
        </is>
      </c>
      <c r="D196" s="9" t="inlineStr">
        <is>
          <t>Degradation modes: an adapter failure fails the need, not the turn</t>
        </is>
      </c>
      <c r="E196" s="8" t="inlineStr">
        <is>
          <t>Enterprise</t>
        </is>
      </c>
      <c r="F196" s="8" t="inlineStr">
        <is>
          <t>P5</t>
        </is>
      </c>
      <c r="G196" s="8" t="inlineStr">
        <is>
          <t>10.3</t>
        </is>
      </c>
      <c r="H196" s="10" t="n">
        <v>5</v>
      </c>
      <c r="I196" s="11" t="inlineStr">
        <is>
          <t>Known</t>
        </is>
      </c>
      <c r="J196" s="8" t="inlineStr">
        <is>
          <t>V-07</t>
        </is>
      </c>
      <c r="K196" s="9" t="inlineStr">
        <is>
          <t>An index outage stops taking the product down</t>
        </is>
      </c>
      <c r="L196" s="9" t="inlineStr">
        <is>
          <t>The gap becomes visible; the turn completes</t>
        </is>
      </c>
      <c r="M196" s="10" t="inlineStr">
        <is>
          <t>B</t>
        </is>
      </c>
      <c r="N196" s="31" t="inlineStr">
        <is>
          <t>tested</t>
        </is>
      </c>
      <c r="O196" s="4" t="inlineStr">
        <is>
          <t>nm/core/degrade.py - an adapter failure fails the NEED and the turn completes. The half that gets skipped is the second one, so a DegradedNeed must state a consequence and TurnOutcome.must_be_surfaced is checked against what the answer actually said. is_a_coverage_finding() always returns False and exists to fail at the call site: G7 distinguishes not-held from held-but-not-retrieved, and an outage is neither.</t>
        </is>
      </c>
      <c r="P196" s="4" t="inlineStr">
        <is>
          <t>nm/tests/a_logic/test_phase6_enterprise.py::test_an_adapter_failure_fails_the_need_not_the_turn, ::test_a_degraded_need_that_never_reached_the_answer_is_caught, ::test_an_outage_is_never_a_coverage_finding (ran 2026-08-28)</t>
        </is>
      </c>
      <c r="Q196" s="4" t="inlineStr">
        <is>
          <t>2026-08-28</t>
        </is>
      </c>
    </row>
    <row r="197">
      <c r="A197" s="6" t="inlineStr">
        <is>
          <t>EN-16</t>
        </is>
      </c>
      <c r="B197" s="19" t="inlineStr">
        <is>
          <t>Phase 6 - Enterprise</t>
        </is>
      </c>
      <c r="C197" s="8" t="inlineStr">
        <is>
          <t>EP-27</t>
        </is>
      </c>
      <c r="D197" s="9" t="inlineStr">
        <is>
          <t>Observability, dashboards and alerting</t>
        </is>
      </c>
      <c r="E197" s="8" t="inlineStr">
        <is>
          <t>Enterprise</t>
        </is>
      </c>
      <c r="F197" s="8" t="inlineStr">
        <is>
          <t>E6</t>
        </is>
      </c>
      <c r="G197" s="8" t="inlineStr">
        <is>
          <t>10.2</t>
        </is>
      </c>
      <c r="H197" s="10" t="n">
        <v>8</v>
      </c>
      <c r="I197" s="11" t="inlineStr">
        <is>
          <t>Known</t>
        </is>
      </c>
      <c r="J197" s="8" t="inlineStr">
        <is>
          <t>F-08</t>
        </is>
      </c>
      <c r="K197" s="9" t="inlineStr">
        <is>
          <t>Regressions get noticed without someone looking</t>
        </is>
      </c>
      <c r="L197" s="9" t="inlineStr">
        <is>
          <t>Alerts on SLO burn, violation rate and cost per turn</t>
        </is>
      </c>
      <c r="M197" s="10" t="inlineStr">
        <is>
          <t>B</t>
        </is>
      </c>
      <c r="N197" s="15" t="inlineStr">
        <is>
          <t>built</t>
        </is>
      </c>
      <c r="O197" s="4" t="inlineStr">
        <is>
          <t>nm/obs/slo.py::evaluate - alerts fire on breach and on a CONSUMED ERROR BUDGET, never on one event: a single slow turn is not a signal, and paging on one is how an alert becomes something people mute. An Alert must name its runbook. burn_threshold defaults to 1.0 because no observation exists to set a lower one from. NOT DONE: dashboards and alert delivery, which need a deployment.</t>
        </is>
      </c>
      <c r="P197" s="4" t="inlineStr"/>
      <c r="Q197" s="4" t="inlineStr">
        <is>
          <t>2026-08-28</t>
        </is>
      </c>
    </row>
    <row r="198">
      <c r="A198" s="6" t="inlineStr">
        <is>
          <t>EN-17</t>
        </is>
      </c>
      <c r="B198" s="19" t="inlineStr">
        <is>
          <t>Phase 6 - Enterprise</t>
        </is>
      </c>
      <c r="C198" s="8" t="inlineStr">
        <is>
          <t>EP-27</t>
        </is>
      </c>
      <c r="D198" s="9" t="inlineStr">
        <is>
          <t>Backup and restore for matter store and corpus</t>
        </is>
      </c>
      <c r="E198" s="8" t="inlineStr">
        <is>
          <t>Enterprise</t>
        </is>
      </c>
      <c r="F198" s="8" t="inlineStr">
        <is>
          <t>-</t>
        </is>
      </c>
      <c r="G198" s="8" t="inlineStr">
        <is>
          <t>10.4</t>
        </is>
      </c>
      <c r="H198" s="10" t="n">
        <v>8</v>
      </c>
      <c r="I198" s="11" t="inlineStr">
        <is>
          <t>Known</t>
        </is>
      </c>
      <c r="J198" s="8" t="inlineStr">
        <is>
          <t>EN-05</t>
        </is>
      </c>
      <c r="K198" s="9" t="inlineStr">
        <is>
          <t>Data loss stops being terminal</t>
        </is>
      </c>
      <c r="L198" s="9" t="inlineStr">
        <is>
          <t>Restore exercised, not merely configured</t>
        </is>
      </c>
      <c r="M198" s="10" t="inlineStr">
        <is>
          <t>B</t>
        </is>
      </c>
      <c r="N198" s="8" t="inlineStr">
        <is>
          <t>decided</t>
        </is>
      </c>
      <c r="O198" s="4" t="inlineStr">
        <is>
          <t>NOT STARTED. Backup and restore need a deployed store; the acceptance is 'restore exercised, not merely configured', which cannot be satisfied against infrastructure that does not exist.</t>
        </is>
      </c>
      <c r="P198" s="4" t="inlineStr"/>
      <c r="Q198" s="4" t="inlineStr">
        <is>
          <t>2026-08-28</t>
        </is>
      </c>
    </row>
    <row r="199">
      <c r="A199" s="6" t="inlineStr">
        <is>
          <t>EN-18</t>
        </is>
      </c>
      <c r="B199" s="19" t="inlineStr">
        <is>
          <t>Phase 6 - Enterprise</t>
        </is>
      </c>
      <c r="C199" s="8" t="inlineStr">
        <is>
          <t>EP-27</t>
        </is>
      </c>
      <c r="D199" s="9" t="inlineStr">
        <is>
          <t>Load and capacity testing</t>
        </is>
      </c>
      <c r="E199" s="8" t="inlineStr">
        <is>
          <t>Enterprise</t>
        </is>
      </c>
      <c r="F199" s="8" t="inlineStr">
        <is>
          <t>-</t>
        </is>
      </c>
      <c r="G199" s="8" t="inlineStr">
        <is>
          <t>10</t>
        </is>
      </c>
      <c r="H199" s="10" t="n">
        <v>8</v>
      </c>
      <c r="I199" s="13" t="inlineStr">
        <is>
          <t>Unknown until instrumented</t>
        </is>
      </c>
      <c r="J199" s="8" t="inlineStr">
        <is>
          <t>EN-14</t>
        </is>
      </c>
      <c r="K199" s="9" t="inlineStr">
        <is>
          <t>Concurrency limits become known before a customer finds them</t>
        </is>
      </c>
      <c r="L199" s="9" t="inlineStr">
        <is>
          <t>Capacity documented with the measurement behind it</t>
        </is>
      </c>
      <c r="M199" s="10" t="inlineStr">
        <is>
          <t>C</t>
        </is>
      </c>
      <c r="N199" s="8" t="inlineStr">
        <is>
          <t>decided</t>
        </is>
      </c>
      <c r="O199" s="4" t="inlineStr">
        <is>
          <t>NOT STARTED. Load and capacity testing need a running system. The acceptance asks for capacity documented with the measurement behind it, and there is nothing to measure.</t>
        </is>
      </c>
      <c r="P199" s="4" t="inlineStr"/>
      <c r="Q199" s="4" t="inlineStr">
        <is>
          <t>2026-08-28</t>
        </is>
      </c>
    </row>
    <row r="200">
      <c r="A200" s="6" t="inlineStr">
        <is>
          <t>EN-19</t>
        </is>
      </c>
      <c r="B200" s="19" t="inlineStr">
        <is>
          <t>Phase 6 - Enterprise</t>
        </is>
      </c>
      <c r="C200" s="8" t="inlineStr">
        <is>
          <t>EP-28</t>
        </is>
      </c>
      <c r="D200" s="9" t="inlineStr">
        <is>
          <t>Per-turn and per-matter cost attribution</t>
        </is>
      </c>
      <c r="E200" s="8" t="inlineStr">
        <is>
          <t>Enterprise</t>
        </is>
      </c>
      <c r="F200" s="8" t="inlineStr">
        <is>
          <t>D2B</t>
        </is>
      </c>
      <c r="G200" s="8" t="inlineStr">
        <is>
          <t>10.6</t>
        </is>
      </c>
      <c r="H200" s="10" t="n">
        <v>5</v>
      </c>
      <c r="I200" s="11" t="inlineStr">
        <is>
          <t>Known</t>
        </is>
      </c>
      <c r="J200" s="8" t="inlineStr">
        <is>
          <t>F-08</t>
        </is>
      </c>
      <c r="K200" s="9" t="inlineStr">
        <is>
          <t>Unit economics become knowable</t>
        </is>
      </c>
      <c r="L200" s="9" t="inlineStr">
        <is>
          <t>Cost attributable to a turn and to a matter</t>
        </is>
      </c>
      <c r="M200" s="10" t="inlineStr">
        <is>
          <t>B</t>
        </is>
      </c>
      <c r="N200" s="31" t="inlineStr">
        <is>
          <t>tested</t>
        </is>
      </c>
      <c r="O200" s="4" t="inlineStr">
        <is>
          <t>nm/obs/cost.py::cost_of_turn - cost is DERIVED from TurnMetrics.model_mix, which the turn already records for its own reasons, so no second counter can drift out of step with what the turn did. A model with no rate is listed as UNPRICED rather than treated as free: a gap that reports as zero is discovered on an invoice. The rate table is a required argument with no default, because provider prices change without notice.</t>
        </is>
      </c>
      <c r="P200" s="4" t="inlineStr">
        <is>
          <t>nm/tests/a_logic/test_phase6_enterprise.py::test_cost_is_derived_from_the_turns_own_recorded_model_mix, ::test_a_model_with_no_rate_is_unpriced_never_free, ::test_a_rate_must_carry_its_currency_and_the_date_it_was_quoted (ran 2026-08-28)</t>
        </is>
      </c>
      <c r="Q200" s="4" t="inlineStr">
        <is>
          <t>2026-08-28</t>
        </is>
      </c>
    </row>
    <row r="201">
      <c r="A201" s="6" t="inlineStr">
        <is>
          <t>EN-20</t>
        </is>
      </c>
      <c r="B201" s="19" t="inlineStr">
        <is>
          <t>Phase 6 - Enterprise</t>
        </is>
      </c>
      <c r="C201" s="8" t="inlineStr">
        <is>
          <t>EP-28</t>
        </is>
      </c>
      <c r="D201" s="9" t="inlineStr">
        <is>
          <t>Budget guards and quota</t>
        </is>
      </c>
      <c r="E201" s="8" t="inlineStr">
        <is>
          <t>Enterprise</t>
        </is>
      </c>
      <c r="F201" s="8" t="inlineStr">
        <is>
          <t>D2B</t>
        </is>
      </c>
      <c r="G201" s="8" t="inlineStr">
        <is>
          <t>10.6</t>
        </is>
      </c>
      <c r="H201" s="10" t="n">
        <v>5</v>
      </c>
      <c r="I201" s="11" t="inlineStr">
        <is>
          <t>Known</t>
        </is>
      </c>
      <c r="J201" s="8" t="inlineStr">
        <is>
          <t>EN-19</t>
        </is>
      </c>
      <c r="K201" s="9" t="inlineStr">
        <is>
          <t>A runaway file stops being a surprise invoice</t>
        </is>
      </c>
      <c r="L201" s="9" t="inlineStr">
        <is>
          <t>Configurable limits with visible warnings</t>
        </is>
      </c>
      <c r="M201" s="10" t="inlineStr">
        <is>
          <t>B</t>
        </is>
      </c>
      <c r="N201" s="31" t="inlineStr">
        <is>
          <t>tested</t>
        </is>
      </c>
      <c r="O201" s="4" t="inlineStr">
        <is>
          <t>nm/obs/cost.py::Budget - a configurable limit with a warning threshold that is a REQUIRED argument, because a threshold nobody chose either never fires or fires constantly. Exceeding a budget does not stop work unless blocks=True was chosen deliberately: D2 priority 1 says a missing answer is worse than a dear one, and stopping work on a privileged matter is a decision someone takes.</t>
        </is>
      </c>
      <c r="P201" s="4" t="inlineStr">
        <is>
          <t>nm/tests/a_logic/test_phase6_enterprise.py::test_a_budget_warns_before_it_stops_and_the_warning_must_be_shown, ::test_exceeding_a_budget_does_not_stop_work_unless_that_was_chosen (ran 2026-08-28)</t>
        </is>
      </c>
      <c r="Q201" s="4" t="inlineStr">
        <is>
          <t>2026-08-28</t>
        </is>
      </c>
    </row>
    <row r="202">
      <c r="A202" s="6" t="inlineStr">
        <is>
          <t>EN-21</t>
        </is>
      </c>
      <c r="B202" s="19" t="inlineStr">
        <is>
          <t>Phase 6 - Enterprise</t>
        </is>
      </c>
      <c r="C202" s="8" t="inlineStr">
        <is>
          <t>EP-28</t>
        </is>
      </c>
      <c r="D202" s="9" t="inlineStr">
        <is>
          <t>Cost regression gate in CI</t>
        </is>
      </c>
      <c r="E202" s="8" t="inlineStr">
        <is>
          <t>Eval</t>
        </is>
      </c>
      <c r="F202" s="8" t="inlineStr">
        <is>
          <t>D2B</t>
        </is>
      </c>
      <c r="G202" s="8" t="inlineStr">
        <is>
          <t>10.6</t>
        </is>
      </c>
      <c r="H202" s="10" t="n">
        <v>5</v>
      </c>
      <c r="I202" s="11" t="inlineStr">
        <is>
          <t>Known</t>
        </is>
      </c>
      <c r="J202" s="8" t="inlineStr">
        <is>
          <t>EN-19,F-07</t>
        </is>
      </c>
      <c r="K202" s="9" t="inlineStr">
        <is>
          <t>Added cost has to show what it bought</t>
        </is>
      </c>
      <c r="L202" s="9" t="inlineStr">
        <is>
          <t>A release regressing cost without a measured quality gain fails the gate</t>
        </is>
      </c>
      <c r="M202" s="10" t="inlineStr">
        <is>
          <t>C</t>
        </is>
      </c>
      <c r="N202" s="15" t="inlineStr">
        <is>
          <t>built</t>
        </is>
      </c>
      <c r="O202" s="4" t="inlineStr">
        <is>
          <t>nm/obs/cost.py - check_regression compared `quality_after &gt; quality_before` and called that an improvement, which is true of an accuracy and false of an error rate, a latency, a refusal count and a cost. Measured: a release whose hallucination rate fell 0.20 -&gt; 0.10 FAILED the gate and one whose rate rose 0.10 -&gt; 0.20 PASSED it. Not a near miss - the answer inverted. Direction is now a required argument with no default, because a default here is a guess about somebody else's number and it is wrong silently and in the direction that ships the regression. Held at `built`: the class-C evidence, an actual release comparison over the corpus, has never been produced.</t>
        </is>
      </c>
      <c r="P202" s="4" t="inlineStr"/>
      <c r="Q202" s="4" t="inlineStr">
        <is>
          <t>2026-08-28</t>
        </is>
      </c>
    </row>
    <row r="203">
      <c r="A203" s="6" t="inlineStr">
        <is>
          <t>EN-22</t>
        </is>
      </c>
      <c r="B203" s="19" t="inlineStr">
        <is>
          <t>Phase 6 - Enterprise</t>
        </is>
      </c>
      <c r="C203" s="8" t="inlineStr">
        <is>
          <t>EP-29</t>
        </is>
      </c>
      <c r="D203" s="9" t="inlineStr">
        <is>
          <t>Staging environment with a corpus snapshot</t>
        </is>
      </c>
      <c r="E203" s="8" t="inlineStr">
        <is>
          <t>Enterprise</t>
        </is>
      </c>
      <c r="F203" s="8" t="inlineStr">
        <is>
          <t>-</t>
        </is>
      </c>
      <c r="G203" s="8" t="inlineStr">
        <is>
          <t>9</t>
        </is>
      </c>
      <c r="H203" s="10" t="n">
        <v>8</v>
      </c>
      <c r="I203" s="11" t="inlineStr">
        <is>
          <t>Known</t>
        </is>
      </c>
      <c r="J203" s="8" t="inlineStr">
        <is>
          <t>I-07</t>
        </is>
      </c>
      <c r="K203" s="9" t="inlineStr">
        <is>
          <t>Changes can be verified before they reach an advocate</t>
        </is>
      </c>
      <c r="L203" s="9" t="inlineStr">
        <is>
          <t>Staging mirrors production corpus version</t>
        </is>
      </c>
      <c r="M203" s="10" t="inlineStr">
        <is>
          <t>C</t>
        </is>
      </c>
      <c r="N203" s="8" t="inlineStr">
        <is>
          <t>decided</t>
        </is>
      </c>
      <c r="O203" s="4" t="inlineStr">
        <is>
          <t>NOT STARTED. A staging environment mirroring the production corpus version needs both environments to exist.</t>
        </is>
      </c>
      <c r="P203" s="4" t="inlineStr"/>
      <c r="Q203" s="4" t="inlineStr">
        <is>
          <t>2026-08-28</t>
        </is>
      </c>
    </row>
    <row r="204">
      <c r="A204" s="6" t="inlineStr">
        <is>
          <t>EN-23</t>
        </is>
      </c>
      <c r="B204" s="19" t="inlineStr">
        <is>
          <t>Phase 6 - Enterprise</t>
        </is>
      </c>
      <c r="C204" s="8" t="inlineStr">
        <is>
          <t>EP-29</t>
        </is>
      </c>
      <c r="D204" s="9" t="inlineStr">
        <is>
          <t>Canary release and rollback</t>
        </is>
      </c>
      <c r="E204" s="8" t="inlineStr">
        <is>
          <t>Enterprise</t>
        </is>
      </c>
      <c r="F204" s="8" t="inlineStr">
        <is>
          <t>-</t>
        </is>
      </c>
      <c r="G204" s="8" t="inlineStr">
        <is>
          <t>9</t>
        </is>
      </c>
      <c r="H204" s="10" t="n">
        <v>5</v>
      </c>
      <c r="I204" s="11" t="inlineStr">
        <is>
          <t>Known</t>
        </is>
      </c>
      <c r="J204" s="8" t="inlineStr">
        <is>
          <t>EN-22</t>
        </is>
      </c>
      <c r="K204" s="9" t="inlineStr">
        <is>
          <t>A bad release stops being a full-population event</t>
        </is>
      </c>
      <c r="L204" s="9" t="inlineStr">
        <is>
          <t>Rollback exercised, not merely documented</t>
        </is>
      </c>
      <c r="M204" s="10" t="inlineStr">
        <is>
          <t>B</t>
        </is>
      </c>
      <c r="N204" s="8" t="inlineStr">
        <is>
          <t>decided</t>
        </is>
      </c>
      <c r="O204" s="4" t="inlineStr">
        <is>
          <t>NOT STARTED. The acceptance is 'rollback exercised, not merely documented', which needs a deployment to roll back.</t>
        </is>
      </c>
      <c r="P204" s="4" t="inlineStr"/>
      <c r="Q204" s="4" t="inlineStr">
        <is>
          <t>2026-08-28</t>
        </is>
      </c>
    </row>
    <row r="205">
      <c r="A205" s="6" t="inlineStr">
        <is>
          <t>EN-24</t>
        </is>
      </c>
      <c r="B205" s="19" t="inlineStr">
        <is>
          <t>Phase 6 - Enterprise</t>
        </is>
      </c>
      <c r="C205" s="8" t="inlineStr">
        <is>
          <t>EP-29</t>
        </is>
      </c>
      <c r="D205" s="9" t="inlineStr">
        <is>
          <t>Golden and e2e runs behind an explicit approval gate</t>
        </is>
      </c>
      <c r="E205" s="8" t="inlineStr">
        <is>
          <t>Eval</t>
        </is>
      </c>
      <c r="F205" s="8" t="inlineStr">
        <is>
          <t>E5</t>
        </is>
      </c>
      <c r="G205" s="8" t="inlineStr">
        <is>
          <t>11</t>
        </is>
      </c>
      <c r="H205" s="10" t="n">
        <v>3</v>
      </c>
      <c r="I205" s="11" t="inlineStr">
        <is>
          <t>Known</t>
        </is>
      </c>
      <c r="J205" s="8" t="inlineStr">
        <is>
          <t>F-06</t>
        </is>
      </c>
      <c r="K205" s="9" t="inlineStr">
        <is>
          <t>Expensive runs stop happening by accident</t>
        </is>
      </c>
      <c r="L205" s="9" t="inlineStr">
        <is>
          <t>A run cannot start without recorded approval and a stated cost</t>
        </is>
      </c>
      <c r="M205" s="10" t="inlineStr">
        <is>
          <t>D</t>
        </is>
      </c>
      <c r="N205" s="15" t="inlineStr">
        <is>
          <t>built</t>
        </is>
      </c>
      <c r="O205" s="4" t="inlineStr">
        <is>
          <t>DOWNGRADED from tested. nm/obs/approval.py had a real defect and it is fixed: Run.start kept the ORIGINAL live approval on the Run and returned the consumed copy separately, so run.approval was live and started a second run in one line - the re-run E5 names, reachable through the object that exists precisely to record that the first one happened. The run now holds the spent approval and refuses to exist holding anything else. The status is the honest part: this story is Class D, and its class-D evidence - that the gate actually stops a real expensive run - has never been produced, because no golden or e2e run has ever been started through it. The deterministic half is tested; a class-D story resting on class-A evidence is `built`.</t>
        </is>
      </c>
      <c r="P205" s="4" t="inlineStr"/>
      <c r="Q205" s="4" t="inlineStr">
        <is>
          <t>2026-08-28</t>
        </is>
      </c>
    </row>
    <row r="206">
      <c r="A206" s="6" t="inlineStr">
        <is>
          <t>EN-25</t>
        </is>
      </c>
      <c r="B206" s="19" t="inlineStr">
        <is>
          <t>Phase 6 - Enterprise</t>
        </is>
      </c>
      <c r="C206" s="8" t="inlineStr">
        <is>
          <t>EP-29</t>
        </is>
      </c>
      <c r="D206" s="9" t="inlineStr">
        <is>
          <t>Release checklist tied to E7 statuses</t>
        </is>
      </c>
      <c r="E206" s="8" t="inlineStr">
        <is>
          <t>Enterprise</t>
        </is>
      </c>
      <c r="F206" s="8" t="inlineStr">
        <is>
          <t>E7</t>
        </is>
      </c>
      <c r="G206" s="8" t="inlineStr">
        <is>
          <t>12</t>
        </is>
      </c>
      <c r="H206" s="10" t="n">
        <v>3</v>
      </c>
      <c r="I206" s="11" t="inlineStr">
        <is>
          <t>Known</t>
        </is>
      </c>
      <c r="J206" s="8" t="inlineStr">
        <is>
          <t>F-09</t>
        </is>
      </c>
      <c r="K206" s="9" t="inlineStr">
        <is>
          <t>Shipping something still marked decided becomes visible</t>
        </is>
      </c>
      <c r="L206" s="9" t="inlineStr">
        <is>
          <t>No release includes a decision below tested</t>
        </is>
      </c>
      <c r="M206" s="10" t="inlineStr">
        <is>
          <t>A</t>
        </is>
      </c>
      <c r="N206" s="31" t="inlineStr">
        <is>
          <t>tested</t>
        </is>
      </c>
      <c r="O206" s="4" t="inlineStr">
        <is>
          <t>nm/tools/release.py - the gate passed over nothing. statuses_from_plan dropped every row whose status it could not parse and returned a bare mapping, so a plan that failed to open produced an EMPTY map, no story below the bar, and the report `release: all 0 stories are at least tested`. The check ran, over nothing, and said yes. Coverage now travels with the result (PlanStatuses carries what it could not read), an unreadable status BLOCKS rather than disappearing - a skipped row is a row reported as fine, which is the legacy verifier counting a skipped check as a pass, in the gate written to avoid it - and may_release requires considered &gt; 0.</t>
        </is>
      </c>
      <c r="P206" s="4" t="inlineStr">
        <is>
          <t>nm/tests/a_logic/test_phase6_enterprise.py::test_a_release_check_over_nothing_is_not_a_passing_check, ::test_a_status_nobody_can_read_blocks_rather_than_disappearing (ran 2026-08-28)</t>
        </is>
      </c>
      <c r="Q206" s="4" t="inlineStr">
        <is>
          <t>2026-08-28</t>
        </is>
      </c>
    </row>
    <row r="207">
      <c r="A207" s="6" t="inlineStr">
        <is>
          <t>EN-26</t>
        </is>
      </c>
      <c r="B207" s="19" t="inlineStr">
        <is>
          <t>Phase 6 - Enterprise</t>
        </is>
      </c>
      <c r="C207" s="8" t="inlineStr">
        <is>
          <t>EP-30</t>
        </is>
      </c>
      <c r="D207" s="9" t="inlineStr">
        <is>
          <t>Correct the product copy: senior counsel, not a junior</t>
        </is>
      </c>
      <c r="E207" s="8" t="inlineStr">
        <is>
          <t>Product</t>
        </is>
      </c>
      <c r="F207" s="8" t="inlineStr">
        <is>
          <t>D1</t>
        </is>
      </c>
      <c r="G207" s="8" t="inlineStr">
        <is>
          <t>2</t>
        </is>
      </c>
      <c r="H207" s="10" t="n">
        <v>2</v>
      </c>
      <c r="I207" s="11" t="inlineStr">
        <is>
          <t>Known</t>
        </is>
      </c>
      <c r="J207" s="8" t="inlineStr"/>
      <c r="K207" s="9" t="inlineStr">
        <is>
          <t>The product stops describing itself as the thing it was redesigned away from</t>
        </is>
      </c>
      <c r="L207" s="9" t="inlineStr">
        <is>
          <t>No surface describes NM as working the file the way a junior would</t>
        </is>
      </c>
      <c r="M207" s="10" t="inlineStr">
        <is>
          <t>A</t>
        </is>
      </c>
      <c r="N207" s="15" t="inlineStr">
        <is>
          <t>built</t>
        </is>
      </c>
      <c r="O207" s="4" t="inlineStr">
        <is>
          <t>nm/tools/copycheck.py - finds FOUR places that describe NM as a junior: prompts/intake.py 'a senior Indian advocate's intake clerk' (x2) and prompts/research.py 'a legal researcher synthesising retrieval output'. NOT DONE: the correction itself. Those are legacy prompts, and the legacy system is deliberately kept runnable because the Baseline measurements only mean anything while the measured system works - changing a persona prompt changes its behaviour and invalidates the baseline. That is a decision for the user, not a silent edit.</t>
        </is>
      </c>
      <c r="P207" s="4" t="inlineStr"/>
      <c r="Q207" s="4" t="inlineStr">
        <is>
          <t>2026-08-28</t>
        </is>
      </c>
    </row>
    <row r="208">
      <c r="A208" s="6" t="inlineStr">
        <is>
          <t>EN-27</t>
        </is>
      </c>
      <c r="B208" s="19" t="inlineStr">
        <is>
          <t>Phase 6 - Enterprise</t>
        </is>
      </c>
      <c r="C208" s="8" t="inlineStr">
        <is>
          <t>EP-30</t>
        </is>
      </c>
      <c r="D208" s="9" t="inlineStr">
        <is>
          <t>Onboarding and in-product guidance</t>
        </is>
      </c>
      <c r="E208" s="8" t="inlineStr">
        <is>
          <t>Product</t>
        </is>
      </c>
      <c r="F208" s="8" t="inlineStr">
        <is>
          <t>-</t>
        </is>
      </c>
      <c r="G208" s="8" t="inlineStr">
        <is>
          <t>4</t>
        </is>
      </c>
      <c r="H208" s="10" t="n">
        <v>8</v>
      </c>
      <c r="I208" s="11" t="inlineStr">
        <is>
          <t>Known</t>
        </is>
      </c>
      <c r="J208" s="8" t="inlineStr">
        <is>
          <t>AN-07</t>
        </is>
      </c>
      <c r="K208" s="9" t="inlineStr">
        <is>
          <t>A new advocate gets to a first useful answer unaided</t>
        </is>
      </c>
      <c r="L208" s="9" t="inlineStr">
        <is>
          <t>First-session completion measured</t>
        </is>
      </c>
      <c r="M208" s="10" t="inlineStr">
        <is>
          <t>D</t>
        </is>
      </c>
      <c r="N208" s="8" t="inlineStr">
        <is>
          <t>decided</t>
        </is>
      </c>
      <c r="O208" s="4" t="inlineStr">
        <is>
          <t>NOT STARTED. Onboarding is a product surface with a Class D acceptance ('first-session completion measured'); there is no served product to onboard into.</t>
        </is>
      </c>
      <c r="P208" s="4" t="inlineStr"/>
      <c r="Q208" s="4" t="inlineStr">
        <is>
          <t>2026-08-28</t>
        </is>
      </c>
    </row>
    <row r="209">
      <c r="A209" s="6" t="inlineStr">
        <is>
          <t>EN-28</t>
        </is>
      </c>
      <c r="B209" s="19" t="inlineStr">
        <is>
          <t>Phase 6 - Enterprise</t>
        </is>
      </c>
      <c r="C209" s="8" t="inlineStr">
        <is>
          <t>EP-30</t>
        </is>
      </c>
      <c r="D209" s="9" t="inlineStr">
        <is>
          <t>Support runbooks</t>
        </is>
      </c>
      <c r="E209" s="8" t="inlineStr">
        <is>
          <t>Product</t>
        </is>
      </c>
      <c r="F209" s="8" t="inlineStr">
        <is>
          <t>-</t>
        </is>
      </c>
      <c r="G209" s="8" t="inlineStr">
        <is>
          <t>10</t>
        </is>
      </c>
      <c r="H209" s="10" t="n">
        <v>5</v>
      </c>
      <c r="I209" s="11" t="inlineStr">
        <is>
          <t>Known</t>
        </is>
      </c>
      <c r="J209" s="8" t="inlineStr">
        <is>
          <t>EN-16</t>
        </is>
      </c>
      <c r="K209" s="9" t="inlineStr">
        <is>
          <t>A failure gets diagnosed without the author present</t>
        </is>
      </c>
      <c r="L209" s="9" t="inlineStr">
        <is>
          <t>Runbook per alert, exercised once</t>
        </is>
      </c>
      <c r="M209" s="10" t="inlineStr">
        <is>
          <t>B</t>
        </is>
      </c>
      <c r="N209" s="15" t="inlineStr">
        <is>
          <t>built</t>
        </is>
      </c>
      <c r="O209" s="4" t="inlineStr">
        <is>
          <t>nm/obs/compliance.py::RUNBOOKS - one runbook per alert nm.obs.slo can raise, checked against OBJECTIVES rather than a list kept alongside, so adding an objective without its runbook fails. NOT DONE: the acceptance says 'exercised once' and none has been. exercised_on is empty for all four rather than backdated - none of these alerts can fire against a system with no traffic.</t>
        </is>
      </c>
      <c r="P209" s="4" t="inlineStr"/>
      <c r="Q209" s="4" t="inlineStr">
        <is>
          <t>2026-08-28</t>
        </is>
      </c>
    </row>
    <row r="210">
      <c r="A210" s="6" t="inlineStr">
        <is>
          <t>EN-29</t>
        </is>
      </c>
      <c r="B210" s="19" t="inlineStr">
        <is>
          <t>Phase 6 - Enterprise</t>
        </is>
      </c>
      <c r="C210" s="8" t="inlineStr">
        <is>
          <t>EP-30</t>
        </is>
      </c>
      <c r="D210" s="9" t="inlineStr">
        <is>
          <t>Pricing and packaging decision</t>
        </is>
      </c>
      <c r="E210" s="8" t="inlineStr">
        <is>
          <t>Product</t>
        </is>
      </c>
      <c r="F210" s="8" t="inlineStr">
        <is>
          <t>-</t>
        </is>
      </c>
      <c r="G210" s="8" t="inlineStr">
        <is>
          <t>2</t>
        </is>
      </c>
      <c r="H210" s="10" t="n">
        <v>5</v>
      </c>
      <c r="I210" s="13" t="inlineStr">
        <is>
          <t>Unknown until instrumented</t>
        </is>
      </c>
      <c r="J210" s="8" t="inlineStr">
        <is>
          <t>EN-19</t>
        </is>
      </c>
      <c r="K210" s="9" t="inlineStr">
        <is>
          <t>Unit economics become a business decision rather than a guess</t>
        </is>
      </c>
      <c r="L210" s="9" t="inlineStr">
        <is>
          <t>Price per seat or matter set against measured cost</t>
        </is>
      </c>
      <c r="M210" s="10" t="inlineStr">
        <is>
          <t>D</t>
        </is>
      </c>
      <c r="N210" s="8" t="inlineStr">
        <is>
          <t>decided</t>
        </is>
      </c>
      <c r="O210" s="4" t="inlineStr">
        <is>
          <t>NOT STARTED, and not mine to start. Pricing per seat or matter against measured cost is a commercial decision; the cost side now has machinery (EN-19) but no measured figure, and the price side is the practice's call.</t>
        </is>
      </c>
      <c r="P210" s="4" t="inlineStr"/>
      <c r="Q210" s="4" t="inlineStr">
        <is>
          <t>2026-08-28</t>
        </is>
      </c>
    </row>
    <row r="211">
      <c r="A211" s="34" t="inlineStr">
        <is>
          <t>IN-01</t>
        </is>
      </c>
      <c r="B211" s="46" t="inlineStr">
        <is>
          <t>Phase 7 - Integration</t>
        </is>
      </c>
      <c r="C211" s="35" t="inlineStr">
        <is>
          <t>EP-31</t>
        </is>
      </c>
      <c r="D211" s="4" t="inlineStr">
        <is>
          <t>EvidencePort and the EvidenceNeed contract</t>
        </is>
      </c>
      <c r="E211" s="35" t="inlineStr">
        <is>
          <t>Core</t>
        </is>
      </c>
      <c r="F211" s="35" t="inlineStr">
        <is>
          <t>G2,G9</t>
        </is>
      </c>
      <c r="G211" s="35" t="inlineStr">
        <is>
          <t>8.2</t>
        </is>
      </c>
      <c r="H211" s="30" t="n">
        <v>5</v>
      </c>
      <c r="I211" s="44" t="inlineStr">
        <is>
          <t>Known</t>
        </is>
      </c>
      <c r="J211" s="35" t="inlineStr">
        <is>
          <t>V-01</t>
        </is>
      </c>
      <c r="K211" s="4" t="inlineStr">
        <is>
          <t>The core can ask for law without holding an index</t>
        </is>
      </c>
      <c r="L211" s="4" t="inlineStr">
        <is>
          <t>A need carries structured matter state, never a bare string</t>
        </is>
      </c>
      <c r="M211" s="30" t="inlineStr">
        <is>
          <t>A</t>
        </is>
      </c>
      <c r="N211" s="45" t="inlineStr">
        <is>
          <t>tested</t>
        </is>
      </c>
      <c r="O211" s="4" t="inlineStr">
        <is>
          <t>nm/core/needs.py - EvidenceNeed carries a structured MatterState, not a text string, so search cannot run before resolution (G2/ADR-1). The governing date is a required field with no default (G1): 'today' is what answers a 2019 question with 2026 law. EvidencePort returns Findings, never chunks (G9). Lives in core rather than ports because nm.ports may import only nm.ports and this interface traffics in Finding - a stdlib mirror in ports would be a second representation of the retrieval contract, free to drift from the one verification enforces.</t>
        </is>
      </c>
      <c r="P211" s="4" t="inlineStr">
        <is>
          <t>nm/tests/a_logic/test_phase7_turn.py::test_a_need_carries_the_matter_not_just_a_question, ::test_the_governing_date_cannot_be_omitted (ran 2026-08-28)</t>
        </is>
      </c>
      <c r="Q211" s="4" t="inlineStr">
        <is>
          <t>2026-08-28</t>
        </is>
      </c>
    </row>
    <row r="212">
      <c r="A212" s="34" t="inlineStr">
        <is>
          <t>IN-02</t>
        </is>
      </c>
      <c r="B212" s="46" t="inlineStr">
        <is>
          <t>Phase 7 - Integration</t>
        </is>
      </c>
      <c r="C212" s="35" t="inlineStr">
        <is>
          <t>EP-31</t>
        </is>
      </c>
      <c r="D212" s="4" t="inlineStr">
        <is>
          <t>ModelPort, reachable only through a declared step</t>
        </is>
      </c>
      <c r="E212" s="35" t="inlineStr">
        <is>
          <t>Core</t>
        </is>
      </c>
      <c r="F212" s="35" t="inlineStr">
        <is>
          <t>D2B</t>
        </is>
      </c>
      <c r="G212" s="35" t="inlineStr">
        <is>
          <t>10.5,10.6</t>
        </is>
      </c>
      <c r="H212" s="30" t="n">
        <v>5</v>
      </c>
      <c r="I212" s="44" t="inlineStr">
        <is>
          <t>Known</t>
        </is>
      </c>
      <c r="J212" s="35" t="inlineStr">
        <is>
          <t>F-11,F-12</t>
        </is>
      </c>
      <c r="K212" s="4" t="inlineStr">
        <is>
          <t>Every model call has an owner and a recorded cost</t>
        </is>
      </c>
      <c r="L212" s="4" t="inlineStr">
        <is>
          <t>A call without a registered step is refused</t>
        </is>
      </c>
      <c r="M212" s="30" t="inlineStr">
        <is>
          <t>A</t>
        </is>
      </c>
      <c r="N212" s="45" t="inlineStr">
        <is>
          <t>tested</t>
        </is>
      </c>
      <c r="O212" s="4" t="inlineStr">
        <is>
          <t>nm/core/gateway.py - the only door to a model call, and it refuses a Step the registry does not hold. The check is IDENTITY (REGISTRY.get(id) is step), not membership: an id check passes for a locally built Step reusing a registered id with different prompt text, which is the duplicate-prompt failure arriving through the call site instead of a second module. Every call records itself into TurnMetrics, so model_mix is derivable without instrumentation scattered through the code (D2B).</t>
        </is>
      </c>
      <c r="P212" s="4" t="inlineStr">
        <is>
          <t>nm/tests/a_logic/test_phase7_turn.py::test_a_model_call_from_an_undeclared_step_is_refused, ::test_a_second_step_object_with_a_registered_id_is_refused, ::test_a_model_call_records_itself_in_the_turns_metrics (ran 2026-08-28)</t>
        </is>
      </c>
      <c r="Q212" s="4" t="inlineStr">
        <is>
          <t>2026-08-28</t>
        </is>
      </c>
    </row>
    <row r="213">
      <c r="A213" s="34" t="inlineStr">
        <is>
          <t>IN-03</t>
        </is>
      </c>
      <c r="B213" s="46" t="inlineStr">
        <is>
          <t>Phase 7 - Integration</t>
        </is>
      </c>
      <c r="C213" s="35" t="inlineStr">
        <is>
          <t>EP-31</t>
        </is>
      </c>
      <c r="D213" s="4" t="inlineStr">
        <is>
          <t>MatterStore port and an in-process implementation</t>
        </is>
      </c>
      <c r="E213" s="35" t="inlineStr">
        <is>
          <t>Adapter</t>
        </is>
      </c>
      <c r="F213" s="35" t="inlineStr">
        <is>
          <t>D15</t>
        </is>
      </c>
      <c r="G213" s="35" t="inlineStr">
        <is>
          <t>5</t>
        </is>
      </c>
      <c r="H213" s="30" t="n">
        <v>5</v>
      </c>
      <c r="I213" s="44" t="inlineStr">
        <is>
          <t>Known</t>
        </is>
      </c>
      <c r="J213" s="35" t="inlineStr">
        <is>
          <t>EN-02</t>
        </is>
      </c>
      <c r="K213" s="4" t="inlineStr">
        <is>
          <t>A turn can persist and resume</t>
        </is>
      </c>
      <c r="L213" s="4" t="inlineStr">
        <is>
          <t>Reads and writes are access-checked per advocate</t>
        </is>
      </c>
      <c r="M213" s="30" t="inlineStr">
        <is>
          <t>B</t>
        </is>
      </c>
      <c r="N213" s="45" t="inlineStr">
        <is>
          <t>tested</t>
        </is>
      </c>
      <c r="O213" s="4" t="inlineStr">
        <is>
          <t>nm/adapters/inprocess.py::InMemoryMatterStore - a real implementation of the MatterStore port that genuinely enforces the per-advocate access check, because a store whose isolation is a stub trains every caller to assume reads succeed. Reports its protection as UNAVAILABLE rather than unprotected: an in-memory store has no key and no provider configured, which is the state the legacy crypto layer reported as success (B-74).</t>
        </is>
      </c>
      <c r="P213" s="4" t="inlineStr">
        <is>
          <t>nm/tests/a_logic/test_phase7_turn.py::test_the_in_process_store_really_denies_access, ::test_an_in_process_store_reports_its_protection_as_unavailable (ran 2026-08-28)</t>
        </is>
      </c>
      <c r="Q213" s="4" t="inlineStr">
        <is>
          <t>2026-08-28</t>
        </is>
      </c>
    </row>
    <row r="214">
      <c r="A214" s="34" t="inlineStr">
        <is>
          <t>IN-04</t>
        </is>
      </c>
      <c r="B214" s="46" t="inlineStr">
        <is>
          <t>Phase 7 - Integration</t>
        </is>
      </c>
      <c r="C214" s="35" t="inlineStr">
        <is>
          <t>EP-31</t>
        </is>
      </c>
      <c r="D214" s="4" t="inlineStr">
        <is>
          <t>The turn orchestrator: architecture 8 in dependency order</t>
        </is>
      </c>
      <c r="E214" s="35" t="inlineStr">
        <is>
          <t>Core</t>
        </is>
      </c>
      <c r="F214" s="35" t="inlineStr">
        <is>
          <t>Q1,Q10,S3</t>
        </is>
      </c>
      <c r="G214" s="35" t="inlineStr">
        <is>
          <t>8,8.1</t>
        </is>
      </c>
      <c r="H214" s="30" t="n">
        <v>13</v>
      </c>
      <c r="I214" s="44" t="inlineStr">
        <is>
          <t>Unknown until instrumented</t>
        </is>
      </c>
      <c r="J214" s="35" t="inlineStr">
        <is>
          <t>IN-01,IN-02,GQ-02,AN-02</t>
        </is>
      </c>
      <c r="K214" s="4" t="inlineStr">
        <is>
          <t>The components become a product</t>
        </is>
      </c>
      <c r="L214" s="4" t="inlineStr">
        <is>
          <t>One message and one document produce an answer, a board and a summary</t>
        </is>
      </c>
      <c r="M214" s="30" t="inlineStr">
        <is>
          <t>B</t>
        </is>
      </c>
      <c r="N214" s="45" t="inlineStr">
        <is>
          <t>tested</t>
        </is>
      </c>
      <c r="O214" s="4" t="inlineStr">
        <is>
          <t>nm/core/turn.py::run_turn - architecture 8 in dependency order: infer the mode, integrate facts, cascade corrections, compute gates, run the bounded evidence loop, build the gap queue across the file, phrase the questions it owes, re-orient on a real delta, assemble. Found one defect immediately (B-84): the no-change condition ignored the elements and findings the turn produced, so a turn with a recommendation and retrieved law was declared quiet and its answer replaced by the S7 line. NOT DONE: the analysis stages - theory, proof, adversarial, salvage, selection - are model-driven, each needs its own declared step, and the orchestrator carries thread state through and leaves them to the caller.</t>
        </is>
      </c>
      <c r="P214" s="4" t="inlineStr">
        <is>
          <t>nm/tests/a_logic/test_phase7_turn.py::test_a_turn_runs_end_to_end_and_produces_an_answer, ::test_the_mode_is_inferred_from_the_turns_own_state, ::test_every_question_the_turn_asks_traces_to_a_blocking_gate (ran 2026-08-28)</t>
        </is>
      </c>
      <c r="Q214" s="4" t="inlineStr">
        <is>
          <t>2026-08-28</t>
        </is>
      </c>
    </row>
    <row r="215">
      <c r="A215" s="34" t="inlineStr">
        <is>
          <t>IN-05</t>
        </is>
      </c>
      <c r="B215" s="46" t="inlineStr">
        <is>
          <t>Phase 7 - Integration</t>
        </is>
      </c>
      <c r="C215" s="35" t="inlineStr">
        <is>
          <t>EP-31</t>
        </is>
      </c>
      <c r="D215" s="4" t="inlineStr">
        <is>
          <t>The evidence loop is bounded and the bound is stated</t>
        </is>
      </c>
      <c r="E215" s="35" t="inlineStr">
        <is>
          <t>Core</t>
        </is>
      </c>
      <c r="F215" s="35" t="inlineStr">
        <is>
          <t>D2B</t>
        </is>
      </c>
      <c r="G215" s="35" t="inlineStr">
        <is>
          <t>8.2</t>
        </is>
      </c>
      <c r="H215" s="30" t="n">
        <v>3</v>
      </c>
      <c r="I215" s="44" t="inlineStr">
        <is>
          <t>Known</t>
        </is>
      </c>
      <c r="J215" s="35" t="inlineStr">
        <is>
          <t>IN-04</t>
        </is>
      </c>
      <c r="K215" s="4" t="inlineStr">
        <is>
          <t>A turn stays measurable</t>
        </is>
      </c>
      <c r="L215" s="4" t="inlineStr">
        <is>
          <t>The loop terminates and reports the round it stopped on</t>
        </is>
      </c>
      <c r="M215" s="30" t="inlineStr">
        <is>
          <t>A</t>
        </is>
      </c>
      <c r="N215" s="45" t="inlineStr">
        <is>
          <t>tested</t>
        </is>
      </c>
      <c r="O215" s="4" t="inlineStr">
        <is>
          <t>nm/core/turn.py - `rounds` is a required argument with no default, because the number of evidence rounds a matter deserves is a property of the matter and a default here would be an unmeasured constant deciding how hard the system tries. EvidenceRounds reports whether the loop was EXHAUSTED, so a turn that stopped at the bound is visible rather than merely shorter. A round that answered nothing breaks rather than burning the budget to no effect.</t>
        </is>
      </c>
      <c r="P215" s="4" t="inlineStr">
        <is>
          <t>nm/tests/a_logic/test_phase7_turn.py::test_the_evidence_loop_terminates_and_says_where_it_stopped, ::test_a_zero_round_budget_reports_exhaustion_rather_than_silence, ::test_the_round_budget_has_no_default (ran 2026-08-28)</t>
        </is>
      </c>
      <c r="Q215" s="4" t="inlineStr">
        <is>
          <t>2026-08-28</t>
        </is>
      </c>
    </row>
    <row r="216">
      <c r="A216" s="34" t="inlineStr">
        <is>
          <t>IN-06</t>
        </is>
      </c>
      <c r="B216" s="46" t="inlineStr">
        <is>
          <t>Phase 7 - Integration</t>
        </is>
      </c>
      <c r="C216" s="35" t="inlineStr">
        <is>
          <t>EP-31</t>
        </is>
      </c>
      <c r="D216" s="4" t="inlineStr">
        <is>
          <t>A blocking gate short-circuits its thread and pays for nothing</t>
        </is>
      </c>
      <c r="E216" s="35" t="inlineStr">
        <is>
          <t>Core</t>
        </is>
      </c>
      <c r="F216" s="35" t="inlineStr">
        <is>
          <t>Q1,D8</t>
        </is>
      </c>
      <c r="G216" s="35" t="inlineStr">
        <is>
          <t>8.1</t>
        </is>
      </c>
      <c r="H216" s="30" t="n">
        <v>5</v>
      </c>
      <c r="I216" s="44" t="inlineStr">
        <is>
          <t>Known</t>
        </is>
      </c>
      <c r="J216" s="35" t="inlineStr">
        <is>
          <t>IN-04</t>
        </is>
      </c>
      <c r="K216" s="4" t="inlineStr">
        <is>
          <t>Correctness and cost from one mechanism</t>
        </is>
      </c>
      <c r="L216" s="4" t="inlineStr">
        <is>
          <t>No derivation and no evidence need is produced below an open blocking gate</t>
        </is>
      </c>
      <c r="M216" s="30" t="inlineStr">
        <is>
          <t>B</t>
        </is>
      </c>
      <c r="N216" s="45" t="inlineStr">
        <is>
          <t>tested</t>
        </is>
      </c>
      <c r="O216" s="4" t="inlineStr">
        <is>
          <t>nm/core/turn.py::_needs_for - a blocked thread emits NO evidence need. One early return serves both purposes: nothing wrong is generated below an open gate (correctness) and nothing is paid for (cost), which is why they cannot drift apart. Asserted against a spy adapter that records what it was asked, so 'a blocked thread asked for nothing' is measured rather than assumed.</t>
        </is>
      </c>
      <c r="P216" s="4" t="inlineStr">
        <is>
          <t>nm/tests/a_logic/test_phase7_turn.py::test_a_blocked_thread_emits_no_evidence_need_and_pays_for_nothing, ::test_an_unblocked_thread_does_ask (ran 2026-08-28)</t>
        </is>
      </c>
      <c r="Q216" s="4" t="inlineStr">
        <is>
          <t>2026-08-28</t>
        </is>
      </c>
    </row>
    <row r="217">
      <c r="A217" s="34" t="inlineStr">
        <is>
          <t>IN-07</t>
        </is>
      </c>
      <c r="B217" s="46" t="inlineStr">
        <is>
          <t>Phase 7 - Integration</t>
        </is>
      </c>
      <c r="C217" s="35" t="inlineStr">
        <is>
          <t>EP-31</t>
        </is>
      </c>
      <c r="D217" s="4" t="inlineStr">
        <is>
          <t>Deterministic adapters so a turn runs with no network</t>
        </is>
      </c>
      <c r="E217" s="35" t="inlineStr">
        <is>
          <t>Adapter</t>
        </is>
      </c>
      <c r="F217" s="35" t="inlineStr">
        <is>
          <t>E1</t>
        </is>
      </c>
      <c r="G217" s="35" t="inlineStr">
        <is>
          <t>5</t>
        </is>
      </c>
      <c r="H217" s="30" t="n">
        <v>5</v>
      </c>
      <c r="I217" s="44" t="inlineStr">
        <is>
          <t>Known</t>
        </is>
      </c>
      <c r="J217" s="35" t="inlineStr">
        <is>
          <t>IN-01,IN-02</t>
        </is>
      </c>
      <c r="K217" s="4" t="inlineStr">
        <is>
          <t>The turn is testable at commit cadence</t>
        </is>
      </c>
      <c r="L217" s="4" t="inlineStr">
        <is>
          <t>A full turn runs inside the class-A guards</t>
        </is>
      </c>
      <c r="M217" s="30" t="inlineStr">
        <is>
          <t>B</t>
        </is>
      </c>
      <c r="N217" s="45" t="inlineStr">
        <is>
          <t>tested</t>
        </is>
      </c>
      <c r="O217" s="4" t="inlineStr">
        <is>
          <t>nm/adapters/inprocess.py - real implementations of the real ports with the non-determinism removed rather than the interface faked, so a full turn runs inside the class-A guards (no sockets, no corpus, no LLM) at commit cadence. ScriptedModel REFUSES a step it has no answer for rather than returning an empty string that would fail in the consumer and point the traceback at the wrong module. These prove the components compose and nothing else - not that retrieval works, not that a turn is any good.</t>
        </is>
      </c>
      <c r="P217" s="4" t="inlineStr">
        <is>
          <t>nm/tests/a_logic/test_phase7_turn.py::test_a_turn_runs_end_to_end_and_produces_an_answer (runs under the class-A network and legacy-import guards) (ran 2026-08-28)</t>
        </is>
      </c>
      <c r="Q217" s="4" t="inlineStr">
        <is>
          <t>2026-08-28</t>
        </is>
      </c>
    </row>
    <row r="218">
      <c r="A218" s="34" t="inlineStr">
        <is>
          <t>IN-08</t>
        </is>
      </c>
      <c r="B218" s="46" t="inlineStr">
        <is>
          <t>Phase 7 - Integration</t>
        </is>
      </c>
      <c r="C218" s="35" t="inlineStr">
        <is>
          <t>EP-31</t>
        </is>
      </c>
      <c r="D218" s="4" t="inlineStr">
        <is>
          <t>One real turn, asserted end to end with its metrics</t>
        </is>
      </c>
      <c r="E218" s="35" t="inlineStr">
        <is>
          <t>Eval</t>
        </is>
      </c>
      <c r="F218" s="35" t="inlineStr">
        <is>
          <t>E3,E6</t>
        </is>
      </c>
      <c r="G218" s="35" t="inlineStr">
        <is>
          <t>8,12</t>
        </is>
      </c>
      <c r="H218" s="30" t="n">
        <v>8</v>
      </c>
      <c r="I218" s="44" t="inlineStr">
        <is>
          <t>Unknown until instrumented</t>
        </is>
      </c>
      <c r="J218" s="35" t="inlineStr">
        <is>
          <t>IN-04,IN-07</t>
        </is>
      </c>
      <c r="K218" s="4" t="inlineStr">
        <is>
          <t>The first thing that can be verified live</t>
        </is>
      </c>
      <c r="L218" s="4" t="inlineStr">
        <is>
          <t>Every class-B assertion runs against a real turn and its violations are collected</t>
        </is>
      </c>
      <c r="M218" s="30" t="inlineStr">
        <is>
          <t>B</t>
        </is>
      </c>
      <c r="N218" s="45" t="inlineStr">
        <is>
          <t>tested</t>
        </is>
      </c>
      <c r="O218" s="4" t="inlineStr">
        <is>
          <t>nm/edge/session.py::serve - the Phase 6 class-B invariants now have a production caller, which was the review's F8 and the reason five of the seven P1 defects survived their own tests. Always asserted: the access record (counted across the call), the diagnostics line, the provenance of every statement, the append-only history. Asserted when their input exists: cost attribution, budget state, degraded needs - a turn with no rate table has no cost to attribute, and asserting over an absent input is the check that passes because nothing was there. Never here and said so rather than quietly counted as wired: assert_erasure_is_complete, because erasure is not a turn. serve also refuses a summary belonging to another matter, and requires a session and the facts the answer walks back to.</t>
        </is>
      </c>
      <c r="P218" s="4" t="inlineStr">
        <is>
          <t>nm/tests/a_logic/test_phase7_turn.py::test_a_served_turn_runs_the_phase_6_invariants_and_not_only_the_phase_4_ones, ::test_a_turn_served_for_one_matter_cannot_use_another_matters_summary (ran 2026-08-28)</t>
        </is>
      </c>
      <c r="Q218" s="4" t="inlineStr">
        <is>
          <t>2026-08-28</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9" customWidth="1" min="1" max="1"/>
    <col width="20" customWidth="1" min="2" max="2"/>
    <col width="44" customWidth="1" min="3" max="3"/>
    <col width="70" customWidth="1" min="4" max="4"/>
    <col width="9" customWidth="1" min="5" max="5"/>
    <col width="9" customWidth="1" min="6" max="6"/>
    <col width="11" customWidth="1" min="7" max="7"/>
  </cols>
  <sheetData>
    <row r="1">
      <c r="A1" s="5" t="inlineStr">
        <is>
          <t>Epic</t>
        </is>
      </c>
      <c r="B1" s="5" t="inlineStr">
        <is>
          <t>Phase</t>
        </is>
      </c>
      <c r="C1" s="5" t="inlineStr">
        <is>
          <t>Name</t>
        </is>
      </c>
      <c r="D1" s="5" t="inlineStr">
        <is>
          <t>Why it is here</t>
        </is>
      </c>
      <c r="E1" s="5" t="inlineStr">
        <is>
          <t>Stories</t>
        </is>
      </c>
      <c r="F1" s="5" t="inlineStr">
        <is>
          <t>Points</t>
        </is>
      </c>
      <c r="G1" s="5" t="inlineStr">
        <is>
          <t>Unknowns</t>
        </is>
      </c>
    </row>
    <row r="2">
      <c r="A2" s="6" t="inlineStr">
        <is>
          <t>EP-01</t>
        </is>
      </c>
      <c r="B2" s="8" t="inlineStr">
        <is>
          <t>Phase 0 - Foundation</t>
        </is>
      </c>
      <c r="C2" s="9" t="inlineStr">
        <is>
          <t>Engineering foundation and the eval harness</t>
        </is>
      </c>
      <c r="D2" s="9" t="inlineStr">
        <is>
          <t>The test cadence is a design input; nothing later is enforceable without it</t>
        </is>
      </c>
      <c r="E2" s="10">
        <f>COUNTIF(Backlog!$C$2:$C$218,$A2)</f>
        <v/>
      </c>
      <c r="F2" s="10">
        <f>SUMIF(Backlog!$C$2:$C$218,$A2,Backlog!$H$2:$H$218)</f>
        <v/>
      </c>
      <c r="G2" s="10">
        <f>COUNTIFS(Backlog!$C$2:$C$218,$A2,Backlog!$I$2:$I$218,"Unknown until instrumented")</f>
        <v/>
      </c>
    </row>
    <row r="3">
      <c r="A3" s="6" t="inlineStr">
        <is>
          <t>EP-02</t>
        </is>
      </c>
      <c r="B3" s="8" t="inlineStr">
        <is>
          <t>Phase 0 - Foundation</t>
        </is>
      </c>
      <c r="C3" s="9" t="inlineStr">
        <is>
          <t>Data model and derivation graph</t>
        </is>
      </c>
      <c r="D3" s="9" t="inlineStr">
        <is>
          <t>A schema that cannot express a rule makes that rule unimplementable</t>
        </is>
      </c>
      <c r="E3" s="10">
        <f>COUNTIF(Backlog!$C$2:$C$218,$A3)</f>
        <v/>
      </c>
      <c r="F3" s="10">
        <f>SUMIF(Backlog!$C$2:$C$218,$A3,Backlog!$H$2:$H$218)</f>
        <v/>
      </c>
      <c r="G3" s="10">
        <f>COUNTIFS(Backlog!$C$2:$C$218,$A3,Backlog!$I$2:$I$218,"Unknown until instrumented")</f>
        <v/>
      </c>
    </row>
    <row r="4">
      <c r="A4" s="6" t="inlineStr">
        <is>
          <t>EP-03</t>
        </is>
      </c>
      <c r="B4" s="8" t="inlineStr">
        <is>
          <t>Phase 1 - Knowledge</t>
        </is>
      </c>
      <c r="C4" s="9" t="inlineStr">
        <is>
          <t>Legal graph</t>
        </is>
      </c>
      <c r="D4" s="9" t="inlineStr">
        <is>
          <t>Resolution needs structure to resolve against</t>
        </is>
      </c>
      <c r="E4" s="10">
        <f>COUNTIF(Backlog!$C$2:$C$218,$A4)</f>
        <v/>
      </c>
      <c r="F4" s="10">
        <f>SUMIF(Backlog!$C$2:$C$218,$A4,Backlog!$H$2:$H$218)</f>
        <v/>
      </c>
      <c r="G4" s="10">
        <f>COUNTIFS(Backlog!$C$2:$C$218,$A4,Backlog!$I$2:$I$218,"Unknown until instrumented")</f>
        <v/>
      </c>
    </row>
    <row r="5">
      <c r="A5" s="6" t="inlineStr">
        <is>
          <t>EP-04</t>
        </is>
      </c>
      <c r="B5" s="8" t="inlineStr">
        <is>
          <t>Phase 1 - Knowledge</t>
        </is>
      </c>
      <c r="C5" s="9" t="inlineStr">
        <is>
          <t>Corpus manifest</t>
        </is>
      </c>
      <c r="D5" s="9" t="inlineStr">
        <is>
          <t>Until it exists, an honest refusal and a retrieval defect are indistinguishable</t>
        </is>
      </c>
      <c r="E5" s="10">
        <f>COUNTIF(Backlog!$C$2:$C$218,$A5)</f>
        <v/>
      </c>
      <c r="F5" s="10">
        <f>SUMIF(Backlog!$C$2:$C$218,$A5,Backlog!$H$2:$H$218)</f>
        <v/>
      </c>
      <c r="G5" s="10">
        <f>COUNTIFS(Backlog!$C$2:$C$218,$A5,Backlog!$I$2:$I$218,"Unknown until instrumented")</f>
        <v/>
      </c>
    </row>
    <row r="6">
      <c r="A6" s="6" t="inlineStr">
        <is>
          <t>EP-05</t>
        </is>
      </c>
      <c r="B6" s="8" t="inlineStr">
        <is>
          <t>Phase 1 - Knowledge</t>
        </is>
      </c>
      <c r="C6" s="9" t="inlineStr">
        <is>
          <t>Ingestion</t>
        </is>
      </c>
      <c r="D6" s="9" t="inlineStr">
        <is>
          <t>Including the binding court the corpus currently lacks entirely</t>
        </is>
      </c>
      <c r="E6" s="10">
        <f>COUNTIF(Backlog!$C$2:$C$218,$A6)</f>
        <v/>
      </c>
      <c r="F6" s="10">
        <f>SUMIF(Backlog!$C$2:$C$218,$A6,Backlog!$H$2:$H$218)</f>
        <v/>
      </c>
      <c r="G6" s="10">
        <f>COUNTIFS(Backlog!$C$2:$C$218,$A6,Backlog!$I$2:$I$218,"Unknown until instrumented")</f>
        <v/>
      </c>
    </row>
    <row r="7">
      <c r="A7" s="6" t="inlineStr">
        <is>
          <t>EP-06</t>
        </is>
      </c>
      <c r="B7" s="8" t="inlineStr">
        <is>
          <t>Phase 1 - Knowledge</t>
        </is>
      </c>
      <c r="C7" s="9" t="inlineStr">
        <is>
          <t>Indices and summaries</t>
        </is>
      </c>
      <c r="D7" s="9" t="inlineStr">
        <is>
          <t>Section level is both the missing retrieval granularity and the missing summary granularity</t>
        </is>
      </c>
      <c r="E7" s="10">
        <f>COUNTIF(Backlog!$C$2:$C$218,$A7)</f>
        <v/>
      </c>
      <c r="F7" s="10">
        <f>SUMIF(Backlog!$C$2:$C$218,$A7,Backlog!$H$2:$H$218)</f>
        <v/>
      </c>
      <c r="G7" s="10">
        <f>COUNTIFS(Backlog!$C$2:$C$218,$A7,Backlog!$I$2:$I$218,"Unknown until instrumented")</f>
        <v/>
      </c>
    </row>
    <row r="8">
      <c r="A8" s="6" t="inlineStr">
        <is>
          <t>EP-07</t>
        </is>
      </c>
      <c r="B8" s="8" t="inlineStr">
        <is>
          <t>Phase 1 - Knowledge</t>
        </is>
      </c>
      <c r="C8" s="9" t="inlineStr">
        <is>
          <t>Citation graph and treatment</t>
        </is>
      </c>
      <c r="D8" s="9" t="inlineStr">
        <is>
          <t>Authority lines, and is-this-still-good-law</t>
        </is>
      </c>
      <c r="E8" s="10">
        <f>COUNTIF(Backlog!$C$2:$C$218,$A8)</f>
        <v/>
      </c>
      <c r="F8" s="10">
        <f>SUMIF(Backlog!$C$2:$C$218,$A8,Backlog!$H$2:$H$218)</f>
        <v/>
      </c>
      <c r="G8" s="10">
        <f>COUNTIFS(Backlog!$C$2:$C$218,$A8,Backlog!$I$2:$I$218,"Unknown until instrumented")</f>
        <v/>
      </c>
    </row>
    <row r="9">
      <c r="A9" s="6" t="inlineStr">
        <is>
          <t>EP-08</t>
        </is>
      </c>
      <c r="B9" s="8" t="inlineStr">
        <is>
          <t>Phase 2 - Evidence</t>
        </is>
      </c>
      <c r="C9" s="9" t="inlineStr">
        <is>
          <t>Resolution</t>
        </is>
      </c>
      <c r="D9" s="9" t="inlineStr">
        <is>
          <t>The query is the matter, not a sentence</t>
        </is>
      </c>
      <c r="E9" s="10">
        <f>COUNTIF(Backlog!$C$2:$C$218,$A9)</f>
        <v/>
      </c>
      <c r="F9" s="10">
        <f>SUMIF(Backlog!$C$2:$C$218,$A9,Backlog!$H$2:$H$218)</f>
        <v/>
      </c>
      <c r="G9" s="10">
        <f>COUNTIFS(Backlog!$C$2:$C$218,$A9,Backlog!$I$2:$I$218,"Unknown until instrumented")</f>
        <v/>
      </c>
    </row>
    <row r="10">
      <c r="A10" s="6" t="inlineStr">
        <is>
          <t>EP-09</t>
        </is>
      </c>
      <c r="B10" s="8" t="inlineStr">
        <is>
          <t>Phase 2 - Evidence</t>
        </is>
      </c>
      <c r="C10" s="9" t="inlineStr">
        <is>
          <t>Search</t>
        </is>
      </c>
      <c r="D10" s="9" t="inlineStr">
        <is>
          <t>Scoped by law; similarity may only reorder</t>
        </is>
      </c>
      <c r="E10" s="10">
        <f>COUNTIF(Backlog!$C$2:$C$218,$A10)</f>
        <v/>
      </c>
      <c r="F10" s="10">
        <f>SUMIF(Backlog!$C$2:$C$218,$A10,Backlog!$H$2:$H$218)</f>
        <v/>
      </c>
      <c r="G10" s="10">
        <f>COUNTIFS(Backlog!$C$2:$C$218,$A10,Backlog!$I$2:$I$218,"Unknown until instrumented")</f>
        <v/>
      </c>
    </row>
    <row r="11">
      <c r="A11" s="6" t="inlineStr">
        <is>
          <t>EP-10</t>
        </is>
      </c>
      <c r="B11" s="8" t="inlineStr">
        <is>
          <t>Phase 2 - Evidence</t>
        </is>
      </c>
      <c r="C11" s="9" t="inlineStr">
        <is>
          <t>Verification</t>
        </is>
      </c>
      <c r="D11" s="9" t="inlineStr">
        <is>
          <t>Where grounding stops being an aspiration and becomes a gate</t>
        </is>
      </c>
      <c r="E11" s="10">
        <f>COUNTIF(Backlog!$C$2:$C$218,$A11)</f>
        <v/>
      </c>
      <c r="F11" s="10">
        <f>SUMIF(Backlog!$C$2:$C$218,$A11,Backlog!$H$2:$H$218)</f>
        <v/>
      </c>
      <c r="G11" s="10">
        <f>COUNTIFS(Backlog!$C$2:$C$218,$A11,Backlog!$I$2:$I$218,"Unknown until instrumented")</f>
        <v/>
      </c>
    </row>
    <row r="12">
      <c r="A12" s="6" t="inlineStr">
        <is>
          <t>EP-11</t>
        </is>
      </c>
      <c r="B12" s="8" t="inlineStr">
        <is>
          <t>Phase 3 - Analysis</t>
        </is>
      </c>
      <c r="C12" s="9" t="inlineStr">
        <is>
          <t>Threads and identity</t>
        </is>
      </c>
      <c r="D12" s="9" t="inlineStr">
        <is>
          <t>A wrong merge inverts the advice invisibly</t>
        </is>
      </c>
      <c r="E12" s="10">
        <f>COUNTIF(Backlog!$C$2:$C$218,$A12)</f>
        <v/>
      </c>
      <c r="F12" s="10">
        <f>SUMIF(Backlog!$C$2:$C$218,$A12,Backlog!$H$2:$H$218)</f>
        <v/>
      </c>
      <c r="G12" s="10">
        <f>COUNTIFS(Backlog!$C$2:$C$218,$A12,Backlog!$I$2:$I$218,"Unknown until instrumented")</f>
        <v/>
      </c>
    </row>
    <row r="13">
      <c r="A13" s="6" t="inlineStr">
        <is>
          <t>EP-12</t>
        </is>
      </c>
      <c r="B13" s="8" t="inlineStr">
        <is>
          <t>Phase 3 - Analysis</t>
        </is>
      </c>
      <c r="C13" s="9" t="inlineStr">
        <is>
          <t>Facts, provenance and the correction cascade</t>
        </is>
      </c>
      <c r="D13" s="9" t="inlineStr">
        <is>
          <t>A corrected fact must not leave stale conclusions beneath it</t>
        </is>
      </c>
      <c r="E13" s="10">
        <f>COUNTIF(Backlog!$C$2:$C$218,$A13)</f>
        <v/>
      </c>
      <c r="F13" s="10">
        <f>SUMIF(Backlog!$C$2:$C$218,$A13,Backlog!$H$2:$H$218)</f>
        <v/>
      </c>
      <c r="G13" s="10">
        <f>COUNTIFS(Backlog!$C$2:$C$218,$A13,Backlog!$I$2:$I$218,"Unknown until instrumented")</f>
        <v/>
      </c>
    </row>
    <row r="14">
      <c r="A14" s="6" t="inlineStr">
        <is>
          <t>EP-13</t>
        </is>
      </c>
      <c r="B14" s="8" t="inlineStr">
        <is>
          <t>Phase 3 - Analysis</t>
        </is>
      </c>
      <c r="C14" s="9" t="inlineStr">
        <is>
          <t>Document intake</t>
        </is>
      </c>
      <c r="D14" s="9" t="inlineStr">
        <is>
          <t>Documents are the primary input, not an add-on</t>
        </is>
      </c>
      <c r="E14" s="10">
        <f>COUNTIF(Backlog!$C$2:$C$218,$A14)</f>
        <v/>
      </c>
      <c r="F14" s="10">
        <f>SUMIF(Backlog!$C$2:$C$218,$A14,Backlog!$H$2:$H$218)</f>
        <v/>
      </c>
      <c r="G14" s="10">
        <f>COUNTIFS(Backlog!$C$2:$C$218,$A14,Backlog!$I$2:$I$218,"Unknown until instrumented")</f>
        <v/>
      </c>
    </row>
    <row r="15">
      <c r="A15" s="6" t="inlineStr">
        <is>
          <t>EP-14</t>
        </is>
      </c>
      <c r="B15" s="8" t="inlineStr">
        <is>
          <t>Phase 3 - Analysis</t>
        </is>
      </c>
      <c r="C15" s="9" t="inlineStr">
        <is>
          <t>Posture</t>
        </is>
      </c>
      <c r="D15" s="9" t="inlineStr">
        <is>
          <t>Step 1 of the order of work; everything below inverts when it is wrong</t>
        </is>
      </c>
      <c r="E15" s="10">
        <f>COUNTIF(Backlog!$C$2:$C$218,$A15)</f>
        <v/>
      </c>
      <c r="F15" s="10">
        <f>SUMIF(Backlog!$C$2:$C$218,$A15,Backlog!$H$2:$H$218)</f>
        <v/>
      </c>
      <c r="G15" s="10">
        <f>COUNTIFS(Backlog!$C$2:$C$218,$A15,Backlog!$I$2:$I$218,"Unknown until instrumented")</f>
        <v/>
      </c>
    </row>
    <row r="16">
      <c r="A16" s="6" t="inlineStr">
        <is>
          <t>EP-15</t>
        </is>
      </c>
      <c r="B16" s="8" t="inlineStr">
        <is>
          <t>Phase 3 - Analysis</t>
        </is>
      </c>
      <c r="C16" s="9" t="inlineStr">
        <is>
          <t>Dates, limitation and deadlines</t>
        </is>
      </c>
      <c r="D16" s="9" t="inlineStr">
        <is>
          <t>A threshold question that disposes of matters regardless of merit</t>
        </is>
      </c>
      <c r="E16" s="10">
        <f>COUNTIF(Backlog!$C$2:$C$218,$A16)</f>
        <v/>
      </c>
      <c r="F16" s="10">
        <f>SUMIF(Backlog!$C$2:$C$218,$A16,Backlog!$H$2:$H$218)</f>
        <v/>
      </c>
      <c r="G16" s="10">
        <f>COUNTIFS(Backlog!$C$2:$C$218,$A16,Backlog!$I$2:$I$218,"Unknown until instrumented")</f>
        <v/>
      </c>
    </row>
    <row r="17">
      <c r="A17" s="6" t="inlineStr">
        <is>
          <t>EP-16</t>
        </is>
      </c>
      <c r="B17" s="8" t="inlineStr">
        <is>
          <t>Phase 3 - Analysis</t>
        </is>
      </c>
      <c r="C17" s="9" t="inlineStr">
        <is>
          <t>Issues and facets</t>
        </is>
      </c>
      <c r="D17" s="9" t="inlineStr">
        <is>
          <t>Nothing is filtered; everything carries a disposition</t>
        </is>
      </c>
      <c r="E17" s="10">
        <f>COUNTIF(Backlog!$C$2:$C$218,$A17)</f>
        <v/>
      </c>
      <c r="F17" s="10">
        <f>SUMIF(Backlog!$C$2:$C$218,$A17,Backlog!$H$2:$H$218)</f>
        <v/>
      </c>
      <c r="G17" s="10">
        <f>COUNTIFS(Backlog!$C$2:$C$218,$A17,Backlog!$I$2:$I$218,"Unknown until instrumented")</f>
        <v/>
      </c>
    </row>
    <row r="18">
      <c r="A18" s="6" t="inlineStr">
        <is>
          <t>EP-17</t>
        </is>
      </c>
      <c r="B18" s="8" t="inlineStr">
        <is>
          <t>Phase 3 - Analysis</t>
        </is>
      </c>
      <c r="C18" s="9" t="inlineStr">
        <is>
          <t>Proof and burden</t>
        </is>
      </c>
      <c r="D18" s="9" t="inlineStr">
        <is>
          <t>What can be established, not what is true</t>
        </is>
      </c>
      <c r="E18" s="10">
        <f>COUNTIF(Backlog!$C$2:$C$218,$A18)</f>
        <v/>
      </c>
      <c r="F18" s="10">
        <f>SUMIF(Backlog!$C$2:$C$218,$A18,Backlog!$H$2:$H$218)</f>
        <v/>
      </c>
      <c r="G18" s="10">
        <f>COUNTIFS(Backlog!$C$2:$C$218,$A18,Backlog!$I$2:$I$218,"Unknown until instrumented")</f>
        <v/>
      </c>
    </row>
    <row r="19">
      <c r="A19" s="6" t="inlineStr">
        <is>
          <t>EP-18</t>
        </is>
      </c>
      <c r="B19" s="8" t="inlineStr">
        <is>
          <t>Phase 3 - Analysis</t>
        </is>
      </c>
      <c r="C19" s="9" t="inlineStr">
        <is>
          <t>Case theory</t>
        </is>
      </c>
      <c r="D19" s="9" t="inlineStr">
        <is>
          <t>The spine, and the criterion for selection</t>
        </is>
      </c>
      <c r="E19" s="10">
        <f>COUNTIF(Backlog!$C$2:$C$218,$A19)</f>
        <v/>
      </c>
      <c r="F19" s="10">
        <f>SUMIF(Backlog!$C$2:$C$218,$A19,Backlog!$H$2:$H$218)</f>
        <v/>
      </c>
      <c r="G19" s="10">
        <f>COUNTIFS(Backlog!$C$2:$C$218,$A19,Backlog!$I$2:$I$218,"Unknown until instrumented")</f>
        <v/>
      </c>
    </row>
    <row r="20">
      <c r="A20" s="6" t="inlineStr">
        <is>
          <t>EP-19</t>
        </is>
      </c>
      <c r="B20" s="8" t="inlineStr">
        <is>
          <t>Phase 3 - Analysis</t>
        </is>
      </c>
      <c r="C20" s="9" t="inlineStr">
        <is>
          <t>Adversarial pass and salvage</t>
        </is>
      </c>
      <c r="D20" s="9" t="inlineStr">
        <is>
          <t>Anticipate, then prepare the counter; and what to do when the case is weak</t>
        </is>
      </c>
      <c r="E20" s="10">
        <f>COUNTIF(Backlog!$C$2:$C$218,$A20)</f>
        <v/>
      </c>
      <c r="F20" s="10">
        <f>SUMIF(Backlog!$C$2:$C$218,$A20,Backlog!$H$2:$H$218)</f>
        <v/>
      </c>
      <c r="G20" s="10">
        <f>COUNTIFS(Backlog!$C$2:$C$218,$A20,Backlog!$I$2:$I$218,"Unknown until instrumented")</f>
        <v/>
      </c>
    </row>
    <row r="21">
      <c r="A21" s="6" t="inlineStr">
        <is>
          <t>EP-20</t>
        </is>
      </c>
      <c r="B21" s="8" t="inlineStr">
        <is>
          <t>Phase 3 - Analysis</t>
        </is>
      </c>
      <c r="C21" s="9" t="inlineStr">
        <is>
          <t>Selection</t>
        </is>
      </c>
      <c r="D21" s="9" t="inlineStr">
        <is>
          <t>Exhaustive in spotting, selective in recommending</t>
        </is>
      </c>
      <c r="E21" s="10">
        <f>COUNTIF(Backlog!$C$2:$C$218,$A21)</f>
        <v/>
      </c>
      <c r="F21" s="10">
        <f>SUMIF(Backlog!$C$2:$C$218,$A21,Backlog!$H$2:$H$218)</f>
        <v/>
      </c>
      <c r="G21" s="10">
        <f>COUNTIFS(Backlog!$C$2:$C$218,$A21,Backlog!$I$2:$I$218,"Unknown until instrumented")</f>
        <v/>
      </c>
    </row>
    <row r="22">
      <c r="A22" s="6" t="inlineStr">
        <is>
          <t>EP-21</t>
        </is>
      </c>
      <c r="B22" s="8" t="inlineStr">
        <is>
          <t>Phase 4 - Delivery</t>
        </is>
      </c>
      <c r="C22" s="9" t="inlineStr">
        <is>
          <t>Conversation as a gap queue</t>
        </is>
      </c>
      <c r="D22" s="9" t="inlineStr">
        <is>
          <t>A senior asks what matters most next, not what comes next in a script</t>
        </is>
      </c>
      <c r="E22" s="10">
        <f>COUNTIF(Backlog!$C$2:$C$218,$A22)</f>
        <v/>
      </c>
      <c r="F22" s="10">
        <f>SUMIF(Backlog!$C$2:$C$218,$A22,Backlog!$H$2:$H$218)</f>
        <v/>
      </c>
      <c r="G22" s="10">
        <f>COUNTIFS(Backlog!$C$2:$C$218,$A22,Backlog!$I$2:$I$218,"Unknown until instrumented")</f>
        <v/>
      </c>
    </row>
    <row r="23">
      <c r="A23" s="6" t="inlineStr">
        <is>
          <t>EP-22</t>
        </is>
      </c>
      <c r="B23" s="8" t="inlineStr">
        <is>
          <t>Phase 4 - Delivery</t>
        </is>
      </c>
      <c r="C23" s="9" t="inlineStr">
        <is>
          <t>Answer, board and case summary</t>
        </is>
      </c>
      <c r="D23" s="9" t="inlineStr">
        <is>
          <t>Three surfaces, three jobs</t>
        </is>
      </c>
      <c r="E23" s="10">
        <f>COUNTIF(Backlog!$C$2:$C$218,$A23)</f>
        <v/>
      </c>
      <c r="F23" s="10">
        <f>SUMIF(Backlog!$C$2:$C$218,$A23,Backlog!$H$2:$H$218)</f>
        <v/>
      </c>
      <c r="G23" s="10">
        <f>COUNTIFS(Backlog!$C$2:$C$218,$A23,Backlog!$I$2:$I$218,"Unknown until instrumented")</f>
        <v/>
      </c>
    </row>
    <row r="24">
      <c r="A24" s="6" t="inlineStr">
        <is>
          <t>EP-23</t>
        </is>
      </c>
      <c r="B24" s="8" t="inlineStr">
        <is>
          <t>Phase 5 - Drafting</t>
        </is>
      </c>
      <c r="C24" s="9" t="inlineStr">
        <is>
          <t>Drafting agent behind the brief contract</t>
        </is>
      </c>
      <c r="D24" s="9" t="inlineStr">
        <is>
          <t>An analysis error is read; a drafting error is filed</t>
        </is>
      </c>
      <c r="E24" s="10">
        <f>COUNTIF(Backlog!$C$2:$C$218,$A24)</f>
        <v/>
      </c>
      <c r="F24" s="10">
        <f>SUMIF(Backlog!$C$2:$C$218,$A24,Backlog!$H$2:$H$218)</f>
        <v/>
      </c>
      <c r="G24" s="10">
        <f>COUNTIFS(Backlog!$C$2:$C$218,$A24,Backlog!$I$2:$I$218,"Unknown until instrumented")</f>
        <v/>
      </c>
    </row>
    <row r="25">
      <c r="A25" s="6" t="inlineStr">
        <is>
          <t>EP-24</t>
        </is>
      </c>
      <c r="B25" s="8" t="inlineStr">
        <is>
          <t>Phase 6 - Enterprise</t>
        </is>
      </c>
      <c r="C25" s="9" t="inlineStr">
        <is>
          <t>Multi-tenancy and identity</t>
        </is>
      </c>
      <c r="D25" s="9" t="inlineStr">
        <is>
          <t>Advocates, chambers, and isolation between matters</t>
        </is>
      </c>
      <c r="E25" s="10">
        <f>COUNTIF(Backlog!$C$2:$C$218,$A25)</f>
        <v/>
      </c>
      <c r="F25" s="10">
        <f>SUMIF(Backlog!$C$2:$C$218,$A25,Backlog!$H$2:$H$218)</f>
        <v/>
      </c>
      <c r="G25" s="10">
        <f>COUNTIFS(Backlog!$C$2:$C$218,$A25,Backlog!$I$2:$I$218,"Unknown until instrumented")</f>
        <v/>
      </c>
    </row>
    <row r="26">
      <c r="A26" s="6" t="inlineStr">
        <is>
          <t>EP-25</t>
        </is>
      </c>
      <c r="B26" s="8" t="inlineStr">
        <is>
          <t>Phase 6 - Enterprise</t>
        </is>
      </c>
      <c r="C26" s="9" t="inlineStr">
        <is>
          <t>Confidentiality and data protection</t>
        </is>
      </c>
      <c r="D26" s="9" t="inlineStr">
        <is>
          <t>Privileged client material, held to that standard</t>
        </is>
      </c>
      <c r="E26" s="10">
        <f>COUNTIF(Backlog!$C$2:$C$218,$A26)</f>
        <v/>
      </c>
      <c r="F26" s="10">
        <f>SUMIF(Backlog!$C$2:$C$218,$A26,Backlog!$H$2:$H$218)</f>
        <v/>
      </c>
      <c r="G26" s="10">
        <f>COUNTIFS(Backlog!$C$2:$C$218,$A26,Backlog!$I$2:$I$218,"Unknown until instrumented")</f>
        <v/>
      </c>
    </row>
    <row r="27">
      <c r="A27" s="6" t="inlineStr">
        <is>
          <t>EP-26</t>
        </is>
      </c>
      <c r="B27" s="8" t="inlineStr">
        <is>
          <t>Phase 6 - Enterprise</t>
        </is>
      </c>
      <c r="C27" s="9" t="inlineStr">
        <is>
          <t>Audit trail and export</t>
        </is>
      </c>
      <c r="D27" s="9" t="inlineStr">
        <is>
          <t>An advocate must be able to defend where an answer came from</t>
        </is>
      </c>
      <c r="E27" s="10">
        <f>COUNTIF(Backlog!$C$2:$C$218,$A27)</f>
        <v/>
      </c>
      <c r="F27" s="10">
        <f>SUMIF(Backlog!$C$2:$C$218,$A27,Backlog!$H$2:$H$218)</f>
        <v/>
      </c>
      <c r="G27" s="10">
        <f>COUNTIFS(Backlog!$C$2:$C$218,$A27,Backlog!$I$2:$I$218,"Unknown until instrumented")</f>
        <v/>
      </c>
    </row>
    <row r="28">
      <c r="A28" s="6" t="inlineStr">
        <is>
          <t>EP-27</t>
        </is>
      </c>
      <c r="B28" s="8" t="inlineStr">
        <is>
          <t>Phase 6 - Enterprise</t>
        </is>
      </c>
      <c r="C28" s="9" t="inlineStr">
        <is>
          <t>Reliability and operations</t>
        </is>
      </c>
      <c r="D28" s="9" t="inlineStr">
        <is>
          <t>Degrade the need, not the turn</t>
        </is>
      </c>
      <c r="E28" s="10">
        <f>COUNTIF(Backlog!$C$2:$C$218,$A28)</f>
        <v/>
      </c>
      <c r="F28" s="10">
        <f>SUMIF(Backlog!$C$2:$C$218,$A28,Backlog!$H$2:$H$218)</f>
        <v/>
      </c>
      <c r="G28" s="10">
        <f>COUNTIFS(Backlog!$C$2:$C$218,$A28,Backlog!$I$2:$I$218,"Unknown until instrumented")</f>
        <v/>
      </c>
    </row>
    <row r="29">
      <c r="A29" s="6" t="inlineStr">
        <is>
          <t>EP-28</t>
        </is>
      </c>
      <c r="B29" s="8" t="inlineStr">
        <is>
          <t>Phase 6 - Enterprise</t>
        </is>
      </c>
      <c r="C29" s="9" t="inlineStr">
        <is>
          <t>Cost control</t>
        </is>
      </c>
      <c r="D29" s="9" t="inlineStr">
        <is>
          <t>No ceiling, but every increase must show what it bought</t>
        </is>
      </c>
      <c r="E29" s="10">
        <f>COUNTIF(Backlog!$C$2:$C$218,$A29)</f>
        <v/>
      </c>
      <c r="F29" s="10">
        <f>SUMIF(Backlog!$C$2:$C$218,$A29,Backlog!$H$2:$H$218)</f>
        <v/>
      </c>
      <c r="G29" s="10">
        <f>COUNTIFS(Backlog!$C$2:$C$218,$A29,Backlog!$I$2:$I$218,"Unknown until instrumented")</f>
        <v/>
      </c>
    </row>
    <row r="30">
      <c r="A30" s="6" t="inlineStr">
        <is>
          <t>EP-29</t>
        </is>
      </c>
      <c r="B30" s="8" t="inlineStr">
        <is>
          <t>Phase 6 - Enterprise</t>
        </is>
      </c>
      <c r="C30" s="9" t="inlineStr">
        <is>
          <t>Release and quality gates</t>
        </is>
      </c>
      <c r="D30" s="9" t="inlineStr">
        <is>
          <t>Nothing ships still marked decided</t>
        </is>
      </c>
      <c r="E30" s="10">
        <f>COUNTIF(Backlog!$C$2:$C$218,$A30)</f>
        <v/>
      </c>
      <c r="F30" s="10">
        <f>SUMIF(Backlog!$C$2:$C$218,$A30,Backlog!$H$2:$H$218)</f>
        <v/>
      </c>
      <c r="G30" s="10">
        <f>COUNTIFS(Backlog!$C$2:$C$218,$A30,Backlog!$I$2:$I$218,"Unknown until instrumented")</f>
        <v/>
      </c>
    </row>
    <row r="31">
      <c r="A31" s="6" t="inlineStr">
        <is>
          <t>EP-30</t>
        </is>
      </c>
      <c r="B31" s="8" t="inlineStr">
        <is>
          <t>Phase 6 - Enterprise</t>
        </is>
      </c>
      <c r="C31" s="9" t="inlineStr">
        <is>
          <t>Product, docs and commercial</t>
        </is>
      </c>
      <c r="D31" s="9" t="inlineStr">
        <is>
          <t>Including the copy that still calls NM a junior</t>
        </is>
      </c>
      <c r="E31" s="10">
        <f>COUNTIF(Backlog!$C$2:$C$218,$A31)</f>
        <v/>
      </c>
      <c r="F31" s="10">
        <f>SUMIF(Backlog!$C$2:$C$218,$A31,Backlog!$H$2:$H$218)</f>
        <v/>
      </c>
      <c r="G31" s="10">
        <f>COUNTIFS(Backlog!$C$2:$C$218,$A31,Backlog!$I$2:$I$218,"Unknown until instrumented")</f>
        <v/>
      </c>
    </row>
    <row r="32">
      <c r="A32" s="34" t="inlineStr">
        <is>
          <t>EP-31</t>
        </is>
      </c>
      <c r="B32" s="35" t="inlineStr">
        <is>
          <t>Phase 7 - Integration</t>
        </is>
      </c>
      <c r="C32" s="4" t="inlineStr">
        <is>
          <t>The turn: wiring the components into a product</t>
        </is>
      </c>
      <c r="D32" s="4" t="inlineStr">
        <is>
          <t>Every component is tested and nothing has ever run; five P1 defects survived every gate</t>
        </is>
      </c>
      <c r="E32" s="30">
        <f>COUNTIF(Backlog!$C$2:$C$218,$A32)</f>
        <v/>
      </c>
      <c r="F32" s="30">
        <f>SUMIF(Backlog!$C$2:$C$218,$A32,Backlog!$H$2:$H$218)</f>
        <v/>
      </c>
      <c r="G32" s="30">
        <f>COUNTIFS(Backlog!$C$2:$C$218,$A32,Backlog!$I$2:$I$218,"Unknown until instrumented")</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68"/>
  <sheetViews>
    <sheetView workbookViewId="0">
      <selection activeCell="A1" sqref="A1"/>
    </sheetView>
  </sheetViews>
  <sheetFormatPr baseColWidth="8" defaultRowHeight="15"/>
  <cols>
    <col width="9" customWidth="1" min="1" max="1"/>
    <col width="9" customWidth="1" min="2" max="2"/>
    <col width="56" customWidth="1" min="3" max="3"/>
    <col width="56" customWidth="1" min="4" max="4"/>
  </cols>
  <sheetData>
    <row r="1">
      <c r="A1" s="5" t="inlineStr">
        <is>
          <t>Story</t>
        </is>
      </c>
      <c r="B1" s="5" t="inlineStr">
        <is>
          <t>Blocked by</t>
        </is>
      </c>
      <c r="C1" s="5" t="inlineStr">
        <is>
          <t>Story title</t>
        </is>
      </c>
      <c r="D1" s="5" t="inlineStr">
        <is>
          <t>Blocker title</t>
        </is>
      </c>
    </row>
    <row r="2">
      <c r="A2" s="8" t="inlineStr">
        <is>
          <t>F-02</t>
        </is>
      </c>
      <c r="B2" s="8" t="inlineStr">
        <is>
          <t>F-01</t>
        </is>
      </c>
      <c r="C2" s="9" t="inlineStr">
        <is>
          <t>CI rule: core may import only core and ports; violation fails the build</t>
        </is>
      </c>
      <c r="D2" s="9" t="inlineStr">
        <is>
          <t>Split the repo into core / ports / adapters / knowledge / edge / obs</t>
        </is>
      </c>
    </row>
    <row r="3">
      <c r="A3" s="8" t="inlineStr">
        <is>
          <t>F-03</t>
        </is>
      </c>
      <c r="B3" s="8" t="inlineStr">
        <is>
          <t>F-01</t>
        </is>
      </c>
      <c r="C3" s="9" t="inlineStr">
        <is>
          <t>Class-A test runner: no corpus, no LLM, whole suite under 10s</t>
        </is>
      </c>
      <c r="D3" s="9" t="inlineStr">
        <is>
          <t>Split the repo into core / ports / adapters / knowledge / edge / obs</t>
        </is>
      </c>
    </row>
    <row r="4">
      <c r="A4" s="8" t="inlineStr">
        <is>
          <t>F-04</t>
        </is>
      </c>
      <c r="B4" s="8" t="inlineStr">
        <is>
          <t>F-01</t>
        </is>
      </c>
      <c r="C4" s="9" t="inlineStr">
        <is>
          <t>Class-B runtime assertion framework writing to TurnMetrics.violations</t>
        </is>
      </c>
      <c r="D4" s="9" t="inlineStr">
        <is>
          <t>Split the repo into core / ports / adapters / knowledge / edge / obs</t>
        </is>
      </c>
    </row>
    <row r="5">
      <c r="A5" s="8" t="inlineStr">
        <is>
          <t>F-04</t>
        </is>
      </c>
      <c r="B5" s="8" t="inlineStr">
        <is>
          <t>D-01</t>
        </is>
      </c>
      <c r="C5" s="9" t="inlineStr">
        <is>
          <t>Class-B runtime assertion framework writing to TurnMetrics.violations</t>
        </is>
      </c>
      <c r="D5" s="9" t="inlineStr">
        <is>
          <t>Core entity definitions from the information view</t>
        </is>
      </c>
    </row>
    <row r="6">
      <c r="A6" s="8" t="inlineStr">
        <is>
          <t>F-05</t>
        </is>
      </c>
      <c r="B6" s="8" t="inlineStr">
        <is>
          <t>F-01</t>
        </is>
      </c>
      <c r="C6" s="9" t="inlineStr">
        <is>
          <t>Class-C corpus test runner</t>
        </is>
      </c>
      <c r="D6" s="9" t="inlineStr">
        <is>
          <t>Split the repo into core / ports / adapters / knowledge / edge / obs</t>
        </is>
      </c>
    </row>
    <row r="7">
      <c r="A7" s="8" t="inlineStr">
        <is>
          <t>F-06</t>
        </is>
      </c>
      <c r="B7" s="8" t="inlineStr">
        <is>
          <t>F-05</t>
        </is>
      </c>
      <c r="C7" s="9" t="inlineStr">
        <is>
          <t>Class-D rubric harness using a judge model distinct from the answering model</t>
        </is>
      </c>
      <c r="D7" s="9" t="inlineStr">
        <is>
          <t>Class-C corpus test runner</t>
        </is>
      </c>
    </row>
    <row r="8">
      <c r="A8" s="8" t="inlineStr">
        <is>
          <t>F-07</t>
        </is>
      </c>
      <c r="B8" s="8" t="inlineStr">
        <is>
          <t>F-08</t>
        </is>
      </c>
      <c r="C8" s="9" t="inlineStr">
        <is>
          <t>Baseline record, seeded with the measurements already taken</t>
        </is>
      </c>
      <c r="D8" s="9" t="inlineStr">
        <is>
          <t>Turn metrics: latency, call count, tokens, model mix, per-stage timings</t>
        </is>
      </c>
    </row>
    <row r="9">
      <c r="A9" s="8" t="inlineStr">
        <is>
          <t>F-08</t>
        </is>
      </c>
      <c r="B9" s="8" t="inlineStr">
        <is>
          <t>F-01</t>
        </is>
      </c>
      <c r="C9" s="9" t="inlineStr">
        <is>
          <t>Turn metrics: latency, call count, tokens, model mix, per-stage timings</t>
        </is>
      </c>
      <c r="D9" s="9" t="inlineStr">
        <is>
          <t>Split the repo into core / ports / adapters / knowledge / edge / obs</t>
        </is>
      </c>
    </row>
    <row r="10">
      <c r="A10" s="8" t="inlineStr">
        <is>
          <t>F-09</t>
        </is>
      </c>
      <c r="B10" s="8" t="inlineStr">
        <is>
          <t>F-03</t>
        </is>
      </c>
      <c r="C10" s="9" t="inlineStr">
        <is>
          <t>Status tracking: decided / built / tested / verified live</t>
        </is>
      </c>
      <c r="D10" s="9" t="inlineStr">
        <is>
          <t>Class-A test runner: no corpus, no LLM, whole suite under 10s</t>
        </is>
      </c>
    </row>
    <row r="11">
      <c r="A11" s="8" t="inlineStr">
        <is>
          <t>F-10</t>
        </is>
      </c>
      <c r="B11" s="8" t="inlineStr">
        <is>
          <t>F-01</t>
        </is>
      </c>
      <c r="C11" s="9" t="inlineStr">
        <is>
          <t>Error policy: programming errors caught separately and logged at ERROR with traceback</t>
        </is>
      </c>
      <c r="D11" s="9" t="inlineStr">
        <is>
          <t>Split the repo into core / ports / adapters / knowledge / edge / obs</t>
        </is>
      </c>
    </row>
    <row r="12">
      <c r="A12" s="8" t="inlineStr">
        <is>
          <t>F-11</t>
        </is>
      </c>
      <c r="B12" s="8" t="inlineStr">
        <is>
          <t>F-01</t>
        </is>
      </c>
      <c r="C12" s="9" t="inlineStr">
        <is>
          <t>Prompt ownership registry: exactly one owner per step, no duplicated text</t>
        </is>
      </c>
      <c r="D12" s="9" t="inlineStr">
        <is>
          <t>Split the repo into core / ports / adapters / knowledge / edge / obs</t>
        </is>
      </c>
    </row>
    <row r="13">
      <c r="A13" s="8" t="inlineStr">
        <is>
          <t>F-12</t>
        </is>
      </c>
      <c r="B13" s="8" t="inlineStr">
        <is>
          <t>F-08</t>
        </is>
      </c>
      <c r="C13" s="9" t="inlineStr">
        <is>
          <t>Per-step model policy declaration; cheap model is the default</t>
        </is>
      </c>
      <c r="D13" s="9" t="inlineStr">
        <is>
          <t>Turn metrics: latency, call count, tokens, model mix, per-stage timings</t>
        </is>
      </c>
    </row>
    <row r="14">
      <c r="A14" s="8" t="inlineStr">
        <is>
          <t>D-01</t>
        </is>
      </c>
      <c r="B14" s="8" t="inlineStr">
        <is>
          <t>F-01</t>
        </is>
      </c>
      <c r="C14" s="9" t="inlineStr">
        <is>
          <t>Core entity definitions from the information view</t>
        </is>
      </c>
      <c r="D14" s="9" t="inlineStr">
        <is>
          <t>Split the repo into core / ports / adapters / knowledge / edge / obs</t>
        </is>
      </c>
    </row>
    <row r="15">
      <c r="A15" s="8" t="inlineStr">
        <is>
          <t>D-02</t>
        </is>
      </c>
      <c r="B15" s="8" t="inlineStr">
        <is>
          <t>D-01</t>
        </is>
      </c>
      <c r="C15" s="9" t="inlineStr">
        <is>
          <t>Derived mixin: depends_on, computed_at, prior, basis</t>
        </is>
      </c>
      <c r="D15" s="9" t="inlineStr">
        <is>
          <t>Core entity definitions from the information view</t>
        </is>
      </c>
    </row>
    <row r="16">
      <c r="A16" s="8" t="inlineStr">
        <is>
          <t>D-03</t>
        </is>
      </c>
      <c r="B16" s="8" t="inlineStr">
        <is>
          <t>D-02</t>
        </is>
      </c>
      <c r="C16" s="9" t="inlineStr">
        <is>
          <t>Derivation graph: invalidation and topological recompute</t>
        </is>
      </c>
      <c r="D16" s="9" t="inlineStr">
        <is>
          <t>Derived mixin: depends_on, computed_at, prior, basis</t>
        </is>
      </c>
    </row>
    <row r="17">
      <c r="A17" s="8" t="inlineStr">
        <is>
          <t>D-04</t>
        </is>
      </c>
      <c r="B17" s="8" t="inlineStr">
        <is>
          <t>D-03</t>
        </is>
      </c>
      <c r="C17" s="9" t="inlineStr">
        <is>
          <t>Prior-value retention, only where a conclusion changed</t>
        </is>
      </c>
      <c r="D17" s="9" t="inlineStr">
        <is>
          <t>Derivation graph: invalidation and topological recompute</t>
        </is>
      </c>
    </row>
    <row r="18">
      <c r="A18" s="8" t="inlineStr">
        <is>
          <t>D-05</t>
        </is>
      </c>
      <c r="B18" s="8" t="inlineStr">
        <is>
          <t>D-01</t>
        </is>
      </c>
      <c r="C18" s="9" t="inlineStr">
        <is>
          <t>Provenance type, non-optional on Fact</t>
        </is>
      </c>
      <c r="D18" s="9" t="inlineStr">
        <is>
          <t>Core entity definitions from the information view</t>
        </is>
      </c>
    </row>
    <row r="19">
      <c r="A19" s="8" t="inlineStr">
        <is>
          <t>D-06</t>
        </is>
      </c>
      <c r="B19" s="8" t="inlineStr">
        <is>
          <t>D-03</t>
        </is>
      </c>
      <c r="C19" s="9" t="inlineStr">
        <is>
          <t>Material-fact classification gating the cascade</t>
        </is>
      </c>
      <c r="D19" s="9" t="inlineStr">
        <is>
          <t>Derivation graph: invalidation and topological recompute</t>
        </is>
      </c>
    </row>
    <row r="20">
      <c r="A20" s="8" t="inlineStr">
        <is>
          <t>D-07</t>
        </is>
      </c>
      <c r="B20" s="8" t="inlineStr">
        <is>
          <t>D-03</t>
        </is>
      </c>
      <c r="C20" s="9" t="inlineStr">
        <is>
          <t>Class-A invariant suite for the derivation graph</t>
        </is>
      </c>
      <c r="D20" s="9" t="inlineStr">
        <is>
          <t>Derivation graph: invalidation and topological recompute</t>
        </is>
      </c>
    </row>
    <row r="21">
      <c r="A21" s="8" t="inlineStr">
        <is>
          <t>D-07</t>
        </is>
      </c>
      <c r="B21" s="8" t="inlineStr">
        <is>
          <t>F-03</t>
        </is>
      </c>
      <c r="C21" s="9" t="inlineStr">
        <is>
          <t>Class-A invariant suite for the derivation graph</t>
        </is>
      </c>
      <c r="D21" s="9" t="inlineStr">
        <is>
          <t>Class-A test runner: no corpus, no LLM, whole suite under 10s</t>
        </is>
      </c>
    </row>
    <row r="22">
      <c r="A22" s="8" t="inlineStr">
        <is>
          <t>K-01</t>
        </is>
      </c>
      <c r="B22" s="8" t="inlineStr">
        <is>
          <t>D-01</t>
        </is>
      </c>
      <c r="C22" s="9" t="inlineStr">
        <is>
          <t>Legal graph entity schema</t>
        </is>
      </c>
      <c r="D22" s="9" t="inlineStr">
        <is>
          <t>Core entity definitions from the information view</t>
        </is>
      </c>
    </row>
    <row r="23">
      <c r="A23" s="8" t="inlineStr">
        <is>
          <t>K-02</t>
        </is>
      </c>
      <c r="B23" s="8" t="inlineStr">
        <is>
          <t>K-01</t>
        </is>
      </c>
      <c r="C23" s="9" t="inlineStr">
        <is>
          <t>Validity windows on every provision</t>
        </is>
      </c>
      <c r="D23" s="9" t="inlineStr">
        <is>
          <t>Legal graph entity schema</t>
        </is>
      </c>
    </row>
    <row r="24">
      <c r="A24" s="8" t="inlineStr">
        <is>
          <t>K-03</t>
        </is>
      </c>
      <c r="B24" s="8" t="inlineStr">
        <is>
          <t>K-02</t>
        </is>
      </c>
      <c r="C24" s="9" t="inlineStr">
        <is>
          <t>amends / repeals / substitutes edges</t>
        </is>
      </c>
      <c r="D24" s="9" t="inlineStr">
        <is>
          <t>Validity windows on every provision</t>
        </is>
      </c>
    </row>
    <row r="25">
      <c r="A25" s="8" t="inlineStr">
        <is>
          <t>K-04</t>
        </is>
      </c>
      <c r="B25" s="8" t="inlineStr">
        <is>
          <t>K-03</t>
        </is>
      </c>
      <c r="C25" s="9" t="inlineStr">
        <is>
          <t>corresponds-to edges: IPC-BNS, CrPC-BNSS, IEA-BSA</t>
        </is>
      </c>
      <c r="D25" s="9" t="inlineStr">
        <is>
          <t>amends / repeals / substitutes edges</t>
        </is>
      </c>
    </row>
    <row r="26">
      <c r="A26" s="8" t="inlineStr">
        <is>
          <t>K-05</t>
        </is>
      </c>
      <c r="B26" s="8" t="inlineStr">
        <is>
          <t>K-01</t>
        </is>
      </c>
      <c r="C26" s="9" t="inlineStr">
        <is>
          <t>Cross-reference edges between provisions</t>
        </is>
      </c>
      <c r="D26" s="9" t="inlineStr">
        <is>
          <t>Legal graph entity schema</t>
        </is>
      </c>
    </row>
    <row r="27">
      <c r="A27" s="8" t="inlineStr">
        <is>
          <t>K-06</t>
        </is>
      </c>
      <c r="B27" s="8" t="inlineStr">
        <is>
          <t>K-01</t>
        </is>
      </c>
      <c r="C27" s="9" t="inlineStr">
        <is>
          <t>judgment-interprets-section edges</t>
        </is>
      </c>
      <c r="D27" s="9" t="inlineStr">
        <is>
          <t>Legal graph entity schema</t>
        </is>
      </c>
    </row>
    <row r="28">
      <c r="A28" s="8" t="inlineStr">
        <is>
          <t>K-06</t>
        </is>
      </c>
      <c r="B28" s="8" t="inlineStr">
        <is>
          <t>I-02</t>
        </is>
      </c>
      <c r="C28" s="9" t="inlineStr">
        <is>
          <t>judgment-interprets-section edges</t>
        </is>
      </c>
      <c r="D28" s="9" t="inlineStr">
        <is>
          <t>Judgment ingestion with paragraph classification</t>
        </is>
      </c>
    </row>
    <row r="29">
      <c r="A29" s="8" t="inlineStr">
        <is>
          <t>K-07</t>
        </is>
      </c>
      <c r="B29" s="8" t="inlineStr">
        <is>
          <t>K-01</t>
        </is>
      </c>
      <c r="C29" s="9" t="inlineStr">
        <is>
          <t>Cause-of-action taxonomy and schema</t>
        </is>
      </c>
      <c r="D29" s="9" t="inlineStr">
        <is>
          <t>Legal graph entity schema</t>
        </is>
      </c>
    </row>
    <row r="30">
      <c r="A30" s="8" t="inlineStr">
        <is>
          <t>K-08</t>
        </is>
      </c>
      <c r="B30" s="8" t="inlineStr">
        <is>
          <t>K-07</t>
        </is>
      </c>
      <c r="C30" s="9" t="inlineStr">
        <is>
          <t>Curate cause-of-action to Limitation Article map for launch areas</t>
        </is>
      </c>
      <c r="D30" s="9" t="inlineStr">
        <is>
          <t>Cause-of-action taxonomy and schema</t>
        </is>
      </c>
    </row>
    <row r="31">
      <c r="A31" s="8" t="inlineStr">
        <is>
          <t>K-09</t>
        </is>
      </c>
      <c r="B31" s="8" t="inlineStr">
        <is>
          <t>K-07</t>
        </is>
      </c>
      <c r="C31" s="9" t="inlineStr">
        <is>
          <t>Curate cause-of-action to forum map</t>
        </is>
      </c>
      <c r="D31" s="9" t="inlineStr">
        <is>
          <t>Cause-of-action taxonomy and schema</t>
        </is>
      </c>
    </row>
    <row r="32">
      <c r="A32" s="8" t="inlineStr">
        <is>
          <t>K-10</t>
        </is>
      </c>
      <c r="B32" s="8" t="inlineStr">
        <is>
          <t>K-03</t>
        </is>
      </c>
      <c r="C32" s="9" t="inlineStr">
        <is>
          <t>Deterministic, versioned graph build pipeline</t>
        </is>
      </c>
      <c r="D32" s="9" t="inlineStr">
        <is>
          <t>amends / repeals / substitutes edges</t>
        </is>
      </c>
    </row>
    <row r="33">
      <c r="A33" s="8" t="inlineStr">
        <is>
          <t>K-11</t>
        </is>
      </c>
      <c r="B33" s="8" t="inlineStr">
        <is>
          <t>K-10</t>
        </is>
      </c>
      <c r="C33" s="9" t="inlineStr">
        <is>
          <t>Invariant: an edge without a verbatim span is not an edge</t>
        </is>
      </c>
      <c r="D33" s="9" t="inlineStr">
        <is>
          <t>Deterministic, versioned graph build pipeline</t>
        </is>
      </c>
    </row>
    <row r="34">
      <c r="A34" s="8" t="inlineStr">
        <is>
          <t>K-11</t>
        </is>
      </c>
      <c r="B34" s="8" t="inlineStr">
        <is>
          <t>F-03</t>
        </is>
      </c>
      <c r="C34" s="9" t="inlineStr">
        <is>
          <t>Invariant: an edge without a verbatim span is not an edge</t>
        </is>
      </c>
      <c r="D34" s="9" t="inlineStr">
        <is>
          <t>Class-A test runner: no corpus, no LLM, whole suite under 10s</t>
        </is>
      </c>
    </row>
    <row r="35">
      <c r="A35" s="8" t="inlineStr">
        <is>
          <t>M-01</t>
        </is>
      </c>
      <c r="B35" s="8" t="inlineStr">
        <is>
          <t>D-01</t>
        </is>
      </c>
      <c r="C35" s="9" t="inlineStr">
        <is>
          <t>ManifestEntry schema</t>
        </is>
      </c>
      <c r="D35" s="9" t="inlineStr">
        <is>
          <t>Core entity definitions from the information view</t>
        </is>
      </c>
    </row>
    <row r="36">
      <c r="A36" s="8" t="inlineStr">
        <is>
          <t>M-02</t>
        </is>
      </c>
      <c r="B36" s="8" t="inlineStr">
        <is>
          <t>M-01</t>
        </is>
      </c>
      <c r="C36" s="9" t="inlineStr">
        <is>
          <t>Curate the manifest for the current corpus</t>
        </is>
      </c>
      <c r="D36" s="9" t="inlineStr">
        <is>
          <t>ManifestEntry schema</t>
        </is>
      </c>
    </row>
    <row r="37">
      <c r="A37" s="8" t="inlineStr">
        <is>
          <t>M-03</t>
        </is>
      </c>
      <c r="B37" s="8" t="inlineStr">
        <is>
          <t>M-02</t>
        </is>
      </c>
      <c r="C37" s="9" t="inlineStr">
        <is>
          <t>Reconciliation job computing intended minus actual</t>
        </is>
      </c>
      <c r="D37" s="9" t="inlineStr">
        <is>
          <t>Curate the manifest for the current corpus</t>
        </is>
      </c>
    </row>
    <row r="38">
      <c r="A38" s="8" t="inlineStr">
        <is>
          <t>M-04</t>
        </is>
      </c>
      <c r="B38" s="8" t="inlineStr">
        <is>
          <t>M-03</t>
        </is>
      </c>
      <c r="C38" s="9" t="inlineStr">
        <is>
          <t>coverage_state(): the three-state answer</t>
        </is>
      </c>
      <c r="D38" s="9" t="inlineStr">
        <is>
          <t>Reconciliation job computing intended minus actual</t>
        </is>
      </c>
    </row>
    <row r="39">
      <c r="A39" s="8" t="inlineStr">
        <is>
          <t>M-05</t>
        </is>
      </c>
      <c r="B39" s="8" t="inlineStr">
        <is>
          <t>M-04</t>
        </is>
      </c>
      <c r="C39" s="9" t="inlineStr">
        <is>
          <t>HELD_NOT_FOUND escalation and defect reporting</t>
        </is>
      </c>
      <c r="D39" s="9" t="inlineStr">
        <is>
          <t>coverage_state(): the three-state answer</t>
        </is>
      </c>
    </row>
    <row r="40">
      <c r="A40" s="8" t="inlineStr">
        <is>
          <t>M-06</t>
        </is>
      </c>
      <c r="B40" s="8" t="inlineStr">
        <is>
          <t>M-03</t>
        </is>
      </c>
      <c r="C40" s="9" t="inlineStr">
        <is>
          <t>Manifest versioning and staleness refusal</t>
        </is>
      </c>
      <c r="D40" s="9" t="inlineStr">
        <is>
          <t>Reconciliation job computing intended minus actual</t>
        </is>
      </c>
    </row>
    <row r="41">
      <c r="A41" s="8" t="inlineStr">
        <is>
          <t>M-07</t>
        </is>
      </c>
      <c r="B41" s="8" t="inlineStr">
        <is>
          <t>M-05</t>
        </is>
      </c>
      <c r="C41" s="9" t="inlineStr">
        <is>
          <t>Class-C test: held provision, zero results, defect raised</t>
        </is>
      </c>
      <c r="D41" s="9" t="inlineStr">
        <is>
          <t>HELD_NOT_FOUND escalation and defect reporting</t>
        </is>
      </c>
    </row>
    <row r="42">
      <c r="A42" s="8" t="inlineStr">
        <is>
          <t>M-07</t>
        </is>
      </c>
      <c r="B42" s="8" t="inlineStr">
        <is>
          <t>F-05</t>
        </is>
      </c>
      <c r="C42" s="9" t="inlineStr">
        <is>
          <t>Class-C test: held provision, zero results, defect raised</t>
        </is>
      </c>
      <c r="D42" s="9" t="inlineStr">
        <is>
          <t>Class-C corpus test runner</t>
        </is>
      </c>
    </row>
    <row r="43">
      <c r="A43" s="8" t="inlineStr">
        <is>
          <t>I-01</t>
        </is>
      </c>
      <c r="B43" s="8" t="inlineStr">
        <is>
          <t>K-02</t>
        </is>
      </c>
      <c r="C43" s="9" t="inlineStr">
        <is>
          <t>Bare Act ingestion at section granularity</t>
        </is>
      </c>
      <c r="D43" s="9" t="inlineStr">
        <is>
          <t>Validity windows on every provision</t>
        </is>
      </c>
    </row>
    <row r="44">
      <c r="A44" s="8" t="inlineStr">
        <is>
          <t>I-02</t>
        </is>
      </c>
      <c r="B44" s="8" t="inlineStr">
        <is>
          <t>K-01</t>
        </is>
      </c>
      <c r="C44" s="9" t="inlineStr">
        <is>
          <t>Judgment ingestion with paragraph classification</t>
        </is>
      </c>
      <c r="D44" s="9" t="inlineStr">
        <is>
          <t>Legal graph entity schema</t>
        </is>
      </c>
    </row>
    <row r="45">
      <c r="A45" s="8" t="inlineStr">
        <is>
          <t>I-03</t>
        </is>
      </c>
      <c r="B45" s="8" t="inlineStr">
        <is>
          <t>I-02</t>
        </is>
      </c>
      <c r="C45" s="9" t="inlineStr">
        <is>
          <t>Ingest Telangana High Court, 2019 onward</t>
        </is>
      </c>
      <c r="D45" s="9" t="inlineStr">
        <is>
          <t>Judgment ingestion with paragraph classification</t>
        </is>
      </c>
    </row>
    <row r="46">
      <c r="A46" s="8" t="inlineStr">
        <is>
          <t>I-04</t>
        </is>
      </c>
      <c r="B46" s="8" t="inlineStr">
        <is>
          <t>I-02</t>
        </is>
      </c>
      <c r="C46" s="9" t="inlineStr">
        <is>
          <t>Classification pass over unclassified paragraphs</t>
        </is>
      </c>
      <c r="D46" s="9" t="inlineStr">
        <is>
          <t>Judgment ingestion with paragraph classification</t>
        </is>
      </c>
    </row>
    <row r="47">
      <c r="A47" s="8" t="inlineStr">
        <is>
          <t>I-05</t>
        </is>
      </c>
      <c r="B47" s="8" t="inlineStr">
        <is>
          <t>K-02</t>
        </is>
      </c>
      <c r="C47" s="9" t="inlineStr">
        <is>
          <t>Era metadata: commencement and repeal dates on ingest</t>
        </is>
      </c>
      <c r="D47" s="9" t="inlineStr">
        <is>
          <t>Validity windows on every provision</t>
        </is>
      </c>
    </row>
    <row r="48">
      <c r="A48" s="8" t="inlineStr">
        <is>
          <t>I-06</t>
        </is>
      </c>
      <c r="B48" s="8" t="inlineStr">
        <is>
          <t>I-01</t>
        </is>
      </c>
      <c r="C48" s="9" t="inlineStr">
        <is>
          <t>Idempotent ingest with deduplication</t>
        </is>
      </c>
      <c r="D48" s="9" t="inlineStr">
        <is>
          <t>Bare Act ingestion at section granularity</t>
        </is>
      </c>
    </row>
    <row r="49">
      <c r="A49" s="8" t="inlineStr">
        <is>
          <t>I-07</t>
        </is>
      </c>
      <c r="B49" s="8" t="inlineStr">
        <is>
          <t>I-06</t>
        </is>
      </c>
      <c r="C49" s="9" t="inlineStr">
        <is>
          <t>Artefact identity stamping on every derived store</t>
        </is>
      </c>
      <c r="D49" s="9" t="inlineStr">
        <is>
          <t>Idempotent ingest with deduplication</t>
        </is>
      </c>
    </row>
    <row r="50">
      <c r="A50" s="8" t="inlineStr">
        <is>
          <t>I-08</t>
        </is>
      </c>
      <c r="B50" s="8" t="inlineStr">
        <is>
          <t>I-07</t>
        </is>
      </c>
      <c r="C50" s="9" t="inlineStr">
        <is>
          <t>Stale-artefact refusal</t>
        </is>
      </c>
      <c r="D50" s="9" t="inlineStr">
        <is>
          <t>Artefact identity stamping on every derived store</t>
        </is>
      </c>
    </row>
    <row r="51">
      <c r="A51" s="8" t="inlineStr">
        <is>
          <t>X-01</t>
        </is>
      </c>
      <c r="B51" s="8" t="inlineStr">
        <is>
          <t>I-01</t>
        </is>
      </c>
      <c r="C51" s="9" t="inlineStr">
        <is>
          <t>Lexical index build</t>
        </is>
      </c>
      <c r="D51" s="9" t="inlineStr">
        <is>
          <t>Bare Act ingestion at section granularity</t>
        </is>
      </c>
    </row>
    <row r="52">
      <c r="A52" s="8" t="inlineStr">
        <is>
          <t>X-02</t>
        </is>
      </c>
      <c r="B52" s="8" t="inlineStr">
        <is>
          <t>I-01</t>
        </is>
      </c>
      <c r="C52" s="9" t="inlineStr">
        <is>
          <t>Dense index build</t>
        </is>
      </c>
      <c r="D52" s="9" t="inlineStr">
        <is>
          <t>Bare Act ingestion at section granularity</t>
        </is>
      </c>
    </row>
    <row r="53">
      <c r="A53" s="8" t="inlineStr">
        <is>
          <t>X-03</t>
        </is>
      </c>
      <c r="B53" s="8" t="inlineStr">
        <is>
          <t>I-01</t>
        </is>
      </c>
      <c r="C53" s="9" t="inlineStr">
        <is>
          <t>Section-level summaries</t>
        </is>
      </c>
      <c r="D53" s="9" t="inlineStr">
        <is>
          <t>Bare Act ingestion at section granularity</t>
        </is>
      </c>
    </row>
    <row r="54">
      <c r="A54" s="8" t="inlineStr">
        <is>
          <t>X-04</t>
        </is>
      </c>
      <c r="B54" s="8" t="inlineStr">
        <is>
          <t>I-02</t>
        </is>
      </c>
      <c r="C54" s="9" t="inlineStr">
        <is>
          <t>Holding summaries: what a judgment decided, on what facts</t>
        </is>
      </c>
      <c r="D54" s="9" t="inlineStr">
        <is>
          <t>Judgment ingestion with paragraph classification</t>
        </is>
      </c>
    </row>
    <row r="55">
      <c r="A55" s="8" t="inlineStr">
        <is>
          <t>X-05</t>
        </is>
      </c>
      <c r="B55" s="8" t="inlineStr">
        <is>
          <t>X-03</t>
        </is>
      </c>
      <c r="C55" s="9" t="inlineStr">
        <is>
          <t>Summary provenance and staleness refusal</t>
        </is>
      </c>
      <c r="D55" s="9" t="inlineStr">
        <is>
          <t>Section-level summaries</t>
        </is>
      </c>
    </row>
    <row r="56">
      <c r="A56" s="8" t="inlineStr">
        <is>
          <t>X-05</t>
        </is>
      </c>
      <c r="B56" s="8" t="inlineStr">
        <is>
          <t>I-08</t>
        </is>
      </c>
      <c r="C56" s="9" t="inlineStr">
        <is>
          <t>Summary provenance and staleness refusal</t>
        </is>
      </c>
      <c r="D56" s="9" t="inlineStr">
        <is>
          <t>Stale-artefact refusal</t>
        </is>
      </c>
    </row>
    <row r="57">
      <c r="A57" s="8" t="inlineStr">
        <is>
          <t>X-06</t>
        </is>
      </c>
      <c r="B57" s="8" t="inlineStr">
        <is>
          <t>V-01</t>
        </is>
      </c>
      <c r="C57" s="9" t="inlineStr">
        <is>
          <t>Guard: no citation may resolve to a summary</t>
        </is>
      </c>
      <c r="D57" s="9" t="inlineStr">
        <is>
          <t>Finding contract type</t>
        </is>
      </c>
    </row>
    <row r="58">
      <c r="A58" s="8" t="inlineStr">
        <is>
          <t>C-01</t>
        </is>
      </c>
      <c r="B58" s="8" t="inlineStr">
        <is>
          <t>I-02</t>
        </is>
      </c>
      <c r="C58" s="9" t="inlineStr">
        <is>
          <t>Citation candidate extraction from structure, with measured recall</t>
        </is>
      </c>
      <c r="D58" s="9" t="inlineStr">
        <is>
          <t>Judgment ingestion with paragraph classification</t>
        </is>
      </c>
    </row>
    <row r="59">
      <c r="A59" s="8" t="inlineStr">
        <is>
          <t>C-02</t>
        </is>
      </c>
      <c r="B59" s="8" t="inlineStr">
        <is>
          <t>C-01</t>
        </is>
      </c>
      <c r="C59" s="9" t="inlineStr">
        <is>
          <t>Treatment reading pass: relation, scope, span, confidence</t>
        </is>
      </c>
      <c r="D59" s="9" t="inlineStr">
        <is>
          <t>Citation candidate extraction from structure, with measured recall</t>
        </is>
      </c>
    </row>
    <row r="60">
      <c r="A60" s="8" t="inlineStr">
        <is>
          <t>C-03</t>
        </is>
      </c>
      <c r="B60" s="8" t="inlineStr">
        <is>
          <t>C-02</t>
        </is>
      </c>
      <c r="C60" s="9" t="inlineStr">
        <is>
          <t>Treatment as a scoped edge on (citing, cited, proposition)</t>
        </is>
      </c>
      <c r="D60" s="9" t="inlineStr">
        <is>
          <t>Treatment reading pass: relation, scope, span, confidence</t>
        </is>
      </c>
    </row>
    <row r="61">
      <c r="A61" s="8" t="inlineStr">
        <is>
          <t>C-04</t>
        </is>
      </c>
      <c r="B61" s="8" t="inlineStr">
        <is>
          <t>C-01</t>
        </is>
      </c>
      <c r="C61" s="9" t="inlineStr">
        <is>
          <t>Sampled gold set and hand-vetting workflow</t>
        </is>
      </c>
      <c r="D61" s="9" t="inlineStr">
        <is>
          <t>Citation candidate extraction from structure, with measured recall</t>
        </is>
      </c>
    </row>
    <row r="62">
      <c r="A62" s="8" t="inlineStr">
        <is>
          <t>C-05</t>
        </is>
      </c>
      <c r="B62" s="8" t="inlineStr">
        <is>
          <t>C-04</t>
        </is>
      </c>
      <c r="C62" s="9" t="inlineStr">
        <is>
          <t>Citator precision and recall measurement, displayed with the flag</t>
        </is>
      </c>
      <c r="D62" s="9" t="inlineStr">
        <is>
          <t>Sampled gold set and hand-vetting workflow</t>
        </is>
      </c>
    </row>
    <row r="63">
      <c r="A63" s="8" t="inlineStr">
        <is>
          <t>C-06</t>
        </is>
      </c>
      <c r="B63" s="8" t="inlineStr">
        <is>
          <t>C-03</t>
        </is>
      </c>
      <c r="C63" s="9" t="inlineStr">
        <is>
          <t>Authority line assembly: leading, followers, qualifiers, current position</t>
        </is>
      </c>
      <c r="D63" s="9" t="inlineStr">
        <is>
          <t>Treatment as a scoped edge on (citing, cited, proposition)</t>
        </is>
      </c>
    </row>
    <row r="64">
      <c r="A64" s="8" t="inlineStr">
        <is>
          <t>C-06</t>
        </is>
      </c>
      <c r="B64" s="8" t="inlineStr">
        <is>
          <t>K-06</t>
        </is>
      </c>
      <c r="C64" s="9" t="inlineStr">
        <is>
          <t>Authority line assembly: leading, followers, qualifiers, current position</t>
        </is>
      </c>
      <c r="D64" s="9" t="inlineStr">
        <is>
          <t>judgment-interprets-section edges</t>
        </is>
      </c>
    </row>
    <row r="65">
      <c r="A65" s="8" t="inlineStr">
        <is>
          <t>C-07</t>
        </is>
      </c>
      <c r="B65" s="8" t="inlineStr">
        <is>
          <t>C-03</t>
        </is>
      </c>
      <c r="C65" s="9" t="inlineStr">
        <is>
          <t>Answer-time treatment check on cited authorities</t>
        </is>
      </c>
      <c r="D65" s="9" t="inlineStr">
        <is>
          <t>Treatment as a scoped edge on (citing, cited, proposition)</t>
        </is>
      </c>
    </row>
    <row r="66">
      <c r="A66" s="8" t="inlineStr">
        <is>
          <t>C-08</t>
        </is>
      </c>
      <c r="B66" s="8" t="inlineStr">
        <is>
          <t>C-06</t>
        </is>
      </c>
      <c r="C66" s="9" t="inlineStr">
        <is>
          <t>Guard: citation count never determines use</t>
        </is>
      </c>
      <c r="D66" s="9" t="inlineStr">
        <is>
          <t>Authority line assembly: leading, followers, qualifiers, current position</t>
        </is>
      </c>
    </row>
    <row r="67">
      <c r="A67" s="8" t="inlineStr">
        <is>
          <t>C-09</t>
        </is>
      </c>
      <c r="B67" s="8" t="inlineStr">
        <is>
          <t>C-06</t>
        </is>
      </c>
      <c r="C67" s="9" t="inlineStr">
        <is>
          <t>Guard: absence of citation never demotes</t>
        </is>
      </c>
      <c r="D67" s="9" t="inlineStr">
        <is>
          <t>Authority line assembly: leading, followers, qualifiers, current position</t>
        </is>
      </c>
    </row>
    <row r="68">
      <c r="A68" s="8" t="inlineStr">
        <is>
          <t>R-01</t>
        </is>
      </c>
      <c r="B68" s="8" t="inlineStr">
        <is>
          <t>D-01</t>
        </is>
      </c>
      <c r="C68" s="9" t="inlineStr">
        <is>
          <t>EvidenceNeed contract carrying the matter's structured state</t>
        </is>
      </c>
      <c r="D68" s="9" t="inlineStr">
        <is>
          <t>Core entity definitions from the information view</t>
        </is>
      </c>
    </row>
    <row r="69">
      <c r="A69" s="8" t="inlineStr">
        <is>
          <t>R-02</t>
        </is>
      </c>
      <c r="B69" s="8" t="inlineStr">
        <is>
          <t>K-08</t>
        </is>
      </c>
      <c r="C69" s="9" t="inlineStr">
        <is>
          <t>Limitation Article resolution from cause of action</t>
        </is>
      </c>
      <c r="D69" s="9" t="inlineStr">
        <is>
          <t>Curate cause-of-action to Limitation Article map for launch areas</t>
        </is>
      </c>
    </row>
    <row r="70">
      <c r="A70" s="8" t="inlineStr">
        <is>
          <t>R-02</t>
        </is>
      </c>
      <c r="B70" s="8" t="inlineStr">
        <is>
          <t>R-01</t>
        </is>
      </c>
      <c r="C70" s="9" t="inlineStr">
        <is>
          <t>Limitation Article resolution from cause of action</t>
        </is>
      </c>
      <c r="D70" s="9" t="inlineStr">
        <is>
          <t>EvidenceNeed contract carrying the matter's structured state</t>
        </is>
      </c>
    </row>
    <row r="71">
      <c r="A71" s="8" t="inlineStr">
        <is>
          <t>R-03</t>
        </is>
      </c>
      <c r="B71" s="8" t="inlineStr">
        <is>
          <t>K-09</t>
        </is>
      </c>
      <c r="C71" s="9" t="inlineStr">
        <is>
          <t>Forum resolution</t>
        </is>
      </c>
      <c r="D71" s="9" t="inlineStr">
        <is>
          <t>Curate cause-of-action to forum map</t>
        </is>
      </c>
    </row>
    <row r="72">
      <c r="A72" s="8" t="inlineStr">
        <is>
          <t>R-03</t>
        </is>
      </c>
      <c r="B72" s="8" t="inlineStr">
        <is>
          <t>R-01</t>
        </is>
      </c>
      <c r="C72" s="9" t="inlineStr">
        <is>
          <t>Forum resolution</t>
        </is>
      </c>
      <c r="D72" s="9" t="inlineStr">
        <is>
          <t>EvidenceNeed contract carrying the matter's structured state</t>
        </is>
      </c>
    </row>
    <row r="73">
      <c r="A73" s="8" t="inlineStr">
        <is>
          <t>R-04</t>
        </is>
      </c>
      <c r="B73" s="8" t="inlineStr">
        <is>
          <t>K-03</t>
        </is>
      </c>
      <c r="C73" s="9" t="inlineStr">
        <is>
          <t>Era-correct provision resolution by date of conduct</t>
        </is>
      </c>
      <c r="D73" s="9" t="inlineStr">
        <is>
          <t>amends / repeals / substitutes edges</t>
        </is>
      </c>
    </row>
    <row r="74">
      <c r="A74" s="8" t="inlineStr">
        <is>
          <t>R-04</t>
        </is>
      </c>
      <c r="B74" s="8" t="inlineStr">
        <is>
          <t>I-05</t>
        </is>
      </c>
      <c r="C74" s="9" t="inlineStr">
        <is>
          <t>Era-correct provision resolution by date of conduct</t>
        </is>
      </c>
      <c r="D74" s="9" t="inlineStr">
        <is>
          <t>Era metadata: commencement and repeal dates on ingest</t>
        </is>
      </c>
    </row>
    <row r="75">
      <c r="A75" s="8" t="inlineStr">
        <is>
          <t>R-05</t>
        </is>
      </c>
      <c r="B75" s="8" t="inlineStr">
        <is>
          <t>K-01</t>
        </is>
      </c>
      <c r="C75" s="9" t="inlineStr">
        <is>
          <t>Elements-to-prove resolution from a provision</t>
        </is>
      </c>
      <c r="D75" s="9" t="inlineStr">
        <is>
          <t>Legal graph entity schema</t>
        </is>
      </c>
    </row>
    <row r="76">
      <c r="A76" s="8" t="inlineStr">
        <is>
          <t>R-06</t>
        </is>
      </c>
      <c r="B76" s="8" t="inlineStr">
        <is>
          <t>R-02</t>
        </is>
      </c>
      <c r="C76" s="9" t="inlineStr">
        <is>
          <t>Resolution confidence and clean fallback into search</t>
        </is>
      </c>
      <c r="D76" s="9" t="inlineStr">
        <is>
          <t>Limitation Article resolution from cause of action</t>
        </is>
      </c>
    </row>
    <row r="77">
      <c r="A77" s="8" t="inlineStr">
        <is>
          <t>R-07</t>
        </is>
      </c>
      <c r="B77" s="8" t="inlineStr">
        <is>
          <t>R-02</t>
        </is>
      </c>
      <c r="C77" s="9" t="inlineStr">
        <is>
          <t>Invariant: no similarity score appears in a resolved derivation</t>
        </is>
      </c>
      <c r="D77" s="9" t="inlineStr">
        <is>
          <t>Limitation Article resolution from cause of action</t>
        </is>
      </c>
    </row>
    <row r="78">
      <c r="A78" s="8" t="inlineStr">
        <is>
          <t>R-07</t>
        </is>
      </c>
      <c r="B78" s="8" t="inlineStr">
        <is>
          <t>F-03</t>
        </is>
      </c>
      <c r="C78" s="9" t="inlineStr">
        <is>
          <t>Invariant: no similarity score appears in a resolved derivation</t>
        </is>
      </c>
      <c r="D78" s="9" t="inlineStr">
        <is>
          <t>Class-A test runner: no corpus, no LLM, whole suite under 10s</t>
        </is>
      </c>
    </row>
    <row r="79">
      <c r="A79" s="8" t="inlineStr">
        <is>
          <t>S-01</t>
        </is>
      </c>
      <c r="B79" s="8" t="inlineStr">
        <is>
          <t>X-01</t>
        </is>
      </c>
      <c r="C79" s="9" t="inlineStr">
        <is>
          <t>Hybrid lexical and dense search inside a legally-derived scope</t>
        </is>
      </c>
      <c r="D79" s="9" t="inlineStr">
        <is>
          <t>Lexical index build</t>
        </is>
      </c>
    </row>
    <row r="80">
      <c r="A80" s="8" t="inlineStr">
        <is>
          <t>S-01</t>
        </is>
      </c>
      <c r="B80" s="8" t="inlineStr">
        <is>
          <t>X-02</t>
        </is>
      </c>
      <c r="C80" s="9" t="inlineStr">
        <is>
          <t>Hybrid lexical and dense search inside a legally-derived scope</t>
        </is>
      </c>
      <c r="D80" s="9" t="inlineStr">
        <is>
          <t>Dense index build</t>
        </is>
      </c>
    </row>
    <row r="81">
      <c r="A81" s="8" t="inlineStr">
        <is>
          <t>S-01</t>
        </is>
      </c>
      <c r="B81" s="8" t="inlineStr">
        <is>
          <t>R-02</t>
        </is>
      </c>
      <c r="C81" s="9" t="inlineStr">
        <is>
          <t>Hybrid lexical and dense search inside a legally-derived scope</t>
        </is>
      </c>
      <c r="D81" s="9" t="inlineStr">
        <is>
          <t>Limitation Article resolution from cause of action</t>
        </is>
      </c>
    </row>
    <row r="82">
      <c r="A82" s="8" t="inlineStr">
        <is>
          <t>S-02</t>
        </is>
      </c>
      <c r="B82" s="8" t="inlineStr">
        <is>
          <t>S-01</t>
        </is>
      </c>
      <c r="C82" s="9" t="inlineStr">
        <is>
          <t>Remove hard similarity gates; similarity may only reorder</t>
        </is>
      </c>
      <c r="D82" s="9" t="inlineStr">
        <is>
          <t>Hybrid lexical and dense search inside a legally-derived scope</t>
        </is>
      </c>
    </row>
    <row r="83">
      <c r="A83" s="8" t="inlineStr">
        <is>
          <t>S-03</t>
        </is>
      </c>
      <c r="B83" s="8" t="inlineStr">
        <is>
          <t>S-02</t>
        </is>
      </c>
      <c r="C83" s="9" t="inlineStr">
        <is>
          <t>Measured outlier rejection with its gap recorded</t>
        </is>
      </c>
      <c r="D83" s="9" t="inlineStr">
        <is>
          <t>Remove hard similarity gates; similarity may only reorder</t>
        </is>
      </c>
    </row>
    <row r="84">
      <c r="A84" s="8" t="inlineStr">
        <is>
          <t>S-04</t>
        </is>
      </c>
      <c r="B84" s="8" t="inlineStr">
        <is>
          <t>S-02</t>
        </is>
      </c>
      <c r="C84" s="9" t="inlineStr">
        <is>
          <t>Per-stage exclusion recording for diagnosis on demand</t>
        </is>
      </c>
      <c r="D84" s="9" t="inlineStr">
        <is>
          <t>Remove hard similarity gates; similarity may only reorder</t>
        </is>
      </c>
    </row>
    <row r="85">
      <c r="A85" s="8" t="inlineStr">
        <is>
          <t>S-05</t>
        </is>
      </c>
      <c r="B85" s="8" t="inlineStr">
        <is>
          <t>R-01</t>
        </is>
      </c>
      <c r="C85" s="9" t="inlineStr">
        <is>
          <t>Bounded evidence rounds per turn</t>
        </is>
      </c>
      <c r="D85" s="9" t="inlineStr">
        <is>
          <t>EvidenceNeed contract carrying the matter's structured state</t>
        </is>
      </c>
    </row>
    <row r="86">
      <c r="A86" s="8" t="inlineStr">
        <is>
          <t>S-06</t>
        </is>
      </c>
      <c r="B86" s="8" t="inlineStr">
        <is>
          <t>C-04</t>
        </is>
      </c>
      <c r="C86" s="9" t="inlineStr">
        <is>
          <t>Retrieval acceptance set: sampled matter-provision pairs, recall@k</t>
        </is>
      </c>
      <c r="D86" s="9" t="inlineStr">
        <is>
          <t>Sampled gold set and hand-vetting workflow</t>
        </is>
      </c>
    </row>
    <row r="87">
      <c r="A87" s="8" t="inlineStr">
        <is>
          <t>S-06</t>
        </is>
      </c>
      <c r="B87" s="8" t="inlineStr">
        <is>
          <t>M-03</t>
        </is>
      </c>
      <c r="C87" s="9" t="inlineStr">
        <is>
          <t>Retrieval acceptance set: sampled matter-provision pairs, recall@k</t>
        </is>
      </c>
      <c r="D87" s="9" t="inlineStr">
        <is>
          <t>Reconciliation job computing intended minus actual</t>
        </is>
      </c>
    </row>
    <row r="88">
      <c r="A88" s="8" t="inlineStr">
        <is>
          <t>V-01</t>
        </is>
      </c>
      <c r="B88" s="8" t="inlineStr">
        <is>
          <t>D-01</t>
        </is>
      </c>
      <c r="C88" s="9" t="inlineStr">
        <is>
          <t>Finding contract type</t>
        </is>
      </c>
      <c r="D88" s="9" t="inlineStr">
        <is>
          <t>Core entity definitions from the information view</t>
        </is>
      </c>
    </row>
    <row r="89">
      <c r="A89" s="8" t="inlineStr">
        <is>
          <t>V-02</t>
        </is>
      </c>
      <c r="B89" s="8" t="inlineStr">
        <is>
          <t>V-01</t>
        </is>
      </c>
      <c r="C89" s="9" t="inlineStr">
        <is>
          <t>In-force check at the relevant date</t>
        </is>
      </c>
      <c r="D89" s="9" t="inlineStr">
        <is>
          <t>Finding contract type</t>
        </is>
      </c>
    </row>
    <row r="90">
      <c r="A90" s="8" t="inlineStr">
        <is>
          <t>V-02</t>
        </is>
      </c>
      <c r="B90" s="8" t="inlineStr">
        <is>
          <t>K-02</t>
        </is>
      </c>
      <c r="C90" s="9" t="inlineStr">
        <is>
          <t>In-force check at the relevant date</t>
        </is>
      </c>
      <c r="D90" s="9" t="inlineStr">
        <is>
          <t>Validity windows on every provision</t>
        </is>
      </c>
    </row>
    <row r="91">
      <c r="A91" s="8" t="inlineStr">
        <is>
          <t>V-03</t>
        </is>
      </c>
      <c r="B91" s="8" t="inlineStr">
        <is>
          <t>V-01</t>
        </is>
      </c>
      <c r="C91" s="9" t="inlineStr">
        <is>
          <t>Paragraph-kind gate on attribution</t>
        </is>
      </c>
      <c r="D91" s="9" t="inlineStr">
        <is>
          <t>Finding contract type</t>
        </is>
      </c>
    </row>
    <row r="92">
      <c r="A92" s="8" t="inlineStr">
        <is>
          <t>V-03</t>
        </is>
      </c>
      <c r="B92" s="8" t="inlineStr">
        <is>
          <t>I-02</t>
        </is>
      </c>
      <c r="C92" s="9" t="inlineStr">
        <is>
          <t>Paragraph-kind gate on attribution</t>
        </is>
      </c>
      <c r="D92" s="9" t="inlineStr">
        <is>
          <t>Judgment ingestion with paragraph classification</t>
        </is>
      </c>
    </row>
    <row r="93">
      <c r="A93" s="8" t="inlineStr">
        <is>
          <t>V-04</t>
        </is>
      </c>
      <c r="B93" s="8" t="inlineStr">
        <is>
          <t>V-01</t>
        </is>
      </c>
      <c r="C93" s="9" t="inlineStr">
        <is>
          <t>Binding status computed for this matter's forum</t>
        </is>
      </c>
      <c r="D93" s="9" t="inlineStr">
        <is>
          <t>Finding contract type</t>
        </is>
      </c>
    </row>
    <row r="94">
      <c r="A94" s="8" t="inlineStr">
        <is>
          <t>V-04</t>
        </is>
      </c>
      <c r="B94" s="8" t="inlineStr">
        <is>
          <t>K-01</t>
        </is>
      </c>
      <c r="C94" s="9" t="inlineStr">
        <is>
          <t>Binding status computed for this matter's forum</t>
        </is>
      </c>
      <c r="D94" s="9" t="inlineStr">
        <is>
          <t>Legal graph entity schema</t>
        </is>
      </c>
    </row>
    <row r="95">
      <c r="A95" s="8" t="inlineStr">
        <is>
          <t>V-05</t>
        </is>
      </c>
      <c r="B95" s="8" t="inlineStr">
        <is>
          <t>V-01</t>
        </is>
      </c>
      <c r="C95" s="9" t="inlineStr">
        <is>
          <t>Treatment attachment with scope</t>
        </is>
      </c>
      <c r="D95" s="9" t="inlineStr">
        <is>
          <t>Finding contract type</t>
        </is>
      </c>
    </row>
    <row r="96">
      <c r="A96" s="8" t="inlineStr">
        <is>
          <t>V-05</t>
        </is>
      </c>
      <c r="B96" s="8" t="inlineStr">
        <is>
          <t>C-03</t>
        </is>
      </c>
      <c r="C96" s="9" t="inlineStr">
        <is>
          <t>Treatment attachment with scope</t>
        </is>
      </c>
      <c r="D96" s="9" t="inlineStr">
        <is>
          <t>Treatment as a scoped edge on (citing, cited, proposition)</t>
        </is>
      </c>
    </row>
    <row r="97">
      <c r="A97" s="8" t="inlineStr">
        <is>
          <t>V-06</t>
        </is>
      </c>
      <c r="B97" s="8" t="inlineStr">
        <is>
          <t>V-01</t>
        </is>
      </c>
      <c r="C97" s="9" t="inlineStr">
        <is>
          <t>Entailment check: does the span support the proposition</t>
        </is>
      </c>
      <c r="D97" s="9" t="inlineStr">
        <is>
          <t>Finding contract type</t>
        </is>
      </c>
    </row>
    <row r="98">
      <c r="A98" s="8" t="inlineStr">
        <is>
          <t>V-07</t>
        </is>
      </c>
      <c r="B98" s="8" t="inlineStr">
        <is>
          <t>V-06</t>
        </is>
      </c>
      <c r="C98" s="9" t="inlineStr">
        <is>
          <t>Grounding gate wired to output blocking</t>
        </is>
      </c>
      <c r="D98" s="9" t="inlineStr">
        <is>
          <t>Entailment check: does the span support the proposition</t>
        </is>
      </c>
    </row>
    <row r="99">
      <c r="A99" s="8" t="inlineStr">
        <is>
          <t>V-08</t>
        </is>
      </c>
      <c r="B99" s="8" t="inlineStr">
        <is>
          <t>V-01</t>
        </is>
      </c>
      <c r="C99" s="9" t="inlineStr">
        <is>
          <t>Class-B assertions at Finding construction</t>
        </is>
      </c>
      <c r="D99" s="9" t="inlineStr">
        <is>
          <t>Finding contract type</t>
        </is>
      </c>
    </row>
    <row r="100">
      <c r="A100" s="8" t="inlineStr">
        <is>
          <t>V-08</t>
        </is>
      </c>
      <c r="B100" s="8" t="inlineStr">
        <is>
          <t>F-04</t>
        </is>
      </c>
      <c r="C100" s="9" t="inlineStr">
        <is>
          <t>Class-B assertions at Finding construction</t>
        </is>
      </c>
      <c r="D100" s="9" t="inlineStr">
        <is>
          <t>Class-B runtime assertion framework writing to TurnMetrics.violations</t>
        </is>
      </c>
    </row>
    <row r="101">
      <c r="A101" s="8" t="inlineStr">
        <is>
          <t>T-01</t>
        </is>
      </c>
      <c r="B101" s="8" t="inlineStr">
        <is>
          <t>D-01</t>
        </is>
      </c>
      <c r="C101" s="9" t="inlineStr">
        <is>
          <t>Thread entity with a stable id never derived from the label</t>
        </is>
      </c>
      <c r="D101" s="9" t="inlineStr">
        <is>
          <t>Core entity definitions from the information view</t>
        </is>
      </c>
    </row>
    <row r="102">
      <c r="A102" s="8" t="inlineStr">
        <is>
          <t>T-02</t>
        </is>
      </c>
      <c r="B102" s="8" t="inlineStr">
        <is>
          <t>T-01</t>
        </is>
      </c>
      <c r="C102" s="9" t="inlineStr">
        <is>
          <t>Aliases and decisive identifiers</t>
        </is>
      </c>
      <c r="D102" s="9" t="inlineStr">
        <is>
          <t>Thread entity with a stable id never derived from the label</t>
        </is>
      </c>
    </row>
    <row r="103">
      <c r="A103" s="8" t="inlineStr">
        <is>
          <t>T-03</t>
        </is>
      </c>
      <c r="B103" s="8" t="inlineStr">
        <is>
          <t>T-02</t>
        </is>
      </c>
      <c r="C103" s="9" t="inlineStr">
        <is>
          <t>Identity resolution on cause-title facts</t>
        </is>
      </c>
      <c r="D103" s="9" t="inlineStr">
        <is>
          <t>Aliases and decisive identifiers</t>
        </is>
      </c>
    </row>
    <row r="104">
      <c r="A104" s="8" t="inlineStr">
        <is>
          <t>T-04</t>
        </is>
      </c>
      <c r="B104" s="8" t="inlineStr">
        <is>
          <t>T-03</t>
        </is>
      </c>
      <c r="C104" s="9" t="inlineStr">
        <is>
          <t>Merge proposal and confirmation; never auto-merge on similarity</t>
        </is>
      </c>
      <c r="D104" s="9" t="inlineStr">
        <is>
          <t>Identity resolution on cause-title facts</t>
        </is>
      </c>
    </row>
    <row r="105">
      <c r="A105" s="8" t="inlineStr">
        <is>
          <t>T-05</t>
        </is>
      </c>
      <c r="B105" s="8" t="inlineStr">
        <is>
          <t>T-03</t>
        </is>
      </c>
      <c r="C105" s="9" t="inlineStr">
        <is>
          <t>Invariant: two matters between the same parties do not merge</t>
        </is>
      </c>
      <c r="D105" s="9" t="inlineStr">
        <is>
          <t>Identity resolution on cause-title facts</t>
        </is>
      </c>
    </row>
    <row r="106">
      <c r="A106" s="8" t="inlineStr">
        <is>
          <t>T-05</t>
        </is>
      </c>
      <c r="B106" s="8" t="inlineStr">
        <is>
          <t>F-03</t>
        </is>
      </c>
      <c r="C106" s="9" t="inlineStr">
        <is>
          <t>Invariant: two matters between the same parties do not merge</t>
        </is>
      </c>
      <c r="D106" s="9" t="inlineStr">
        <is>
          <t>Class-A test runner: no corpus, no LLM, whole suite under 10s</t>
        </is>
      </c>
    </row>
    <row r="107">
      <c r="A107" s="8" t="inlineStr">
        <is>
          <t>T-06</t>
        </is>
      </c>
      <c r="B107" s="8" t="inlineStr">
        <is>
          <t>T-01</t>
        </is>
      </c>
      <c r="C107" s="9" t="inlineStr">
        <is>
          <t>Deferred threads stay visible with their reason</t>
        </is>
      </c>
      <c r="D107" s="9" t="inlineStr">
        <is>
          <t>Thread entity with a stable id never derived from the label</t>
        </is>
      </c>
    </row>
    <row r="108">
      <c r="A108" s="8" t="inlineStr">
        <is>
          <t>FA-01</t>
        </is>
      </c>
      <c r="B108" s="8" t="inlineStr">
        <is>
          <t>D-05</t>
        </is>
      </c>
      <c r="C108" s="9" t="inlineStr">
        <is>
          <t>Fact entity with provenance and certainty</t>
        </is>
      </c>
      <c r="D108" s="9" t="inlineStr">
        <is>
          <t>Provenance type, non-optional on Fact</t>
        </is>
      </c>
    </row>
    <row r="109">
      <c r="A109" s="8" t="inlineStr">
        <is>
          <t>FA-02</t>
        </is>
      </c>
      <c r="B109" s="8" t="inlineStr">
        <is>
          <t>FA-01</t>
        </is>
      </c>
      <c r="C109" s="9" t="inlineStr">
        <is>
          <t>Confirmation gate: by confidence, and always for dates, amounts, names, roles</t>
        </is>
      </c>
      <c r="D109" s="9" t="inlineStr">
        <is>
          <t>Fact entity with provenance and certainty</t>
        </is>
      </c>
    </row>
    <row r="110">
      <c r="A110" s="8" t="inlineStr">
        <is>
          <t>FA-03</t>
        </is>
      </c>
      <c r="B110" s="8" t="inlineStr">
        <is>
          <t>FA-01</t>
        </is>
      </c>
      <c r="C110" s="9" t="inlineStr">
        <is>
          <t>Conflict surfacing between document and advocate account</t>
        </is>
      </c>
      <c r="D110" s="9" t="inlineStr">
        <is>
          <t>Fact entity with provenance and certainty</t>
        </is>
      </c>
    </row>
    <row r="111">
      <c r="A111" s="8" t="inlineStr">
        <is>
          <t>FA-04</t>
        </is>
      </c>
      <c r="B111" s="8" t="inlineStr">
        <is>
          <t>D-03</t>
        </is>
      </c>
      <c r="C111" s="9" t="inlineStr">
        <is>
          <t>Fact-correction cascade with reported changes</t>
        </is>
      </c>
      <c r="D111" s="9" t="inlineStr">
        <is>
          <t>Derivation graph: invalidation and topological recompute</t>
        </is>
      </c>
    </row>
    <row r="112">
      <c r="A112" s="8" t="inlineStr">
        <is>
          <t>FA-04</t>
        </is>
      </c>
      <c r="B112" s="8" t="inlineStr">
        <is>
          <t>FA-01</t>
        </is>
      </c>
      <c r="C112" s="9" t="inlineStr">
        <is>
          <t>Fact-correction cascade with reported changes</t>
        </is>
      </c>
      <c r="D112" s="9" t="inlineStr">
        <is>
          <t>Fact entity with provenance and certainty</t>
        </is>
      </c>
    </row>
    <row r="113">
      <c r="A113" s="8" t="inlineStr">
        <is>
          <t>FA-05</t>
        </is>
      </c>
      <c r="B113" s="8" t="inlineStr">
        <is>
          <t>FA-04</t>
        </is>
      </c>
      <c r="C113" s="9" t="inlineStr">
        <is>
          <t>Class-A invariants for the correction cascade</t>
        </is>
      </c>
      <c r="D113" s="9" t="inlineStr">
        <is>
          <t>Fact-correction cascade with reported changes</t>
        </is>
      </c>
    </row>
    <row r="114">
      <c r="A114" s="8" t="inlineStr">
        <is>
          <t>FA-05</t>
        </is>
      </c>
      <c r="B114" s="8" t="inlineStr">
        <is>
          <t>F-03</t>
        </is>
      </c>
      <c r="C114" s="9" t="inlineStr">
        <is>
          <t>Class-A invariants for the correction cascade</t>
        </is>
      </c>
      <c r="D114" s="9" t="inlineStr">
        <is>
          <t>Class-A test runner: no corpus, no LLM, whole suite under 10s</t>
        </is>
      </c>
    </row>
    <row r="115">
      <c r="A115" s="8" t="inlineStr">
        <is>
          <t>DI-01</t>
        </is>
      </c>
      <c r="B115" s="8" t="inlineStr">
        <is>
          <t>F-01</t>
        </is>
      </c>
      <c r="C115" s="9" t="inlineStr">
        <is>
          <t>Upload: PDF, Word, images, scans</t>
        </is>
      </c>
      <c r="D115" s="9" t="inlineStr">
        <is>
          <t>Split the repo into core / ports / adapters / knowledge / edge / obs</t>
        </is>
      </c>
    </row>
    <row r="116">
      <c r="A116" s="8" t="inlineStr">
        <is>
          <t>DI-02</t>
        </is>
      </c>
      <c r="B116" s="8" t="inlineStr">
        <is>
          <t>DI-01</t>
        </is>
      </c>
      <c r="C116" s="9" t="inlineStr">
        <is>
          <t>Extraction with per-field confidence</t>
        </is>
      </c>
      <c r="D116" s="9" t="inlineStr">
        <is>
          <t>Upload: PDF, Word, images, scans</t>
        </is>
      </c>
    </row>
    <row r="117">
      <c r="A117" s="8" t="inlineStr">
        <is>
          <t>DI-03</t>
        </is>
      </c>
      <c r="B117" s="8" t="inlineStr">
        <is>
          <t>DI-02</t>
        </is>
      </c>
      <c r="C117" s="9" t="inlineStr">
        <is>
          <t>OCR path for scans and photographs</t>
        </is>
      </c>
      <c r="D117" s="9" t="inlineStr">
        <is>
          <t>Extraction with per-field confidence</t>
        </is>
      </c>
    </row>
    <row r="118">
      <c r="A118" s="8" t="inlineStr">
        <is>
          <t>DI-04</t>
        </is>
      </c>
      <c r="B118" s="8" t="inlineStr">
        <is>
          <t>DI-02</t>
        </is>
      </c>
      <c r="C118" s="9" t="inlineStr">
        <is>
          <t>Extraction review surface for confirmation</t>
        </is>
      </c>
      <c r="D118" s="9" t="inlineStr">
        <is>
          <t>Extraction with per-field confidence</t>
        </is>
      </c>
    </row>
    <row r="119">
      <c r="A119" s="8" t="inlineStr">
        <is>
          <t>DI-04</t>
        </is>
      </c>
      <c r="B119" s="8" t="inlineStr">
        <is>
          <t>FA-02</t>
        </is>
      </c>
      <c r="C119" s="9" t="inlineStr">
        <is>
          <t>Extraction review surface for confirmation</t>
        </is>
      </c>
      <c r="D119" s="9" t="inlineStr">
        <is>
          <t>Confirmation gate: by confidence, and always for dates, amounts, names, roles</t>
        </is>
      </c>
    </row>
    <row r="120">
      <c r="A120" s="8" t="inlineStr">
        <is>
          <t>DI-05</t>
        </is>
      </c>
      <c r="B120" s="8" t="inlineStr">
        <is>
          <t>DI-01</t>
        </is>
      </c>
      <c r="C120" s="9" t="inlineStr">
        <is>
          <t>Document-to-thread binding, shown and correctable</t>
        </is>
      </c>
      <c r="D120" s="9" t="inlineStr">
        <is>
          <t>Upload: PDF, Word, images, scans</t>
        </is>
      </c>
    </row>
    <row r="121">
      <c r="A121" s="8" t="inlineStr">
        <is>
          <t>DI-05</t>
        </is>
      </c>
      <c r="B121" s="8" t="inlineStr">
        <is>
          <t>T-03</t>
        </is>
      </c>
      <c r="C121" s="9" t="inlineStr">
        <is>
          <t>Document-to-thread binding, shown and correctable</t>
        </is>
      </c>
      <c r="D121" s="9" t="inlineStr">
        <is>
          <t>Identity resolution on cause-title facts</t>
        </is>
      </c>
    </row>
    <row r="122">
      <c r="A122" s="8" t="inlineStr">
        <is>
          <t>DI-06</t>
        </is>
      </c>
      <c r="B122" s="8" t="inlineStr">
        <is>
          <t>DI-02</t>
        </is>
      </c>
      <c r="C122" s="9" t="inlineStr">
        <is>
          <t>Guard: no question asked whose answer is in a supplied document</t>
        </is>
      </c>
      <c r="D122" s="9" t="inlineStr">
        <is>
          <t>Extraction with per-field confidence</t>
        </is>
      </c>
    </row>
    <row r="123">
      <c r="A123" s="8" t="inlineStr">
        <is>
          <t>DI-06</t>
        </is>
      </c>
      <c r="B123" s="8" t="inlineStr">
        <is>
          <t>GQ-03</t>
        </is>
      </c>
      <c r="C123" s="9" t="inlineStr">
        <is>
          <t>Guard: no question asked whose answer is in a supplied document</t>
        </is>
      </c>
      <c r="D123" s="9" t="inlineStr">
        <is>
          <t>Questions generated only from blocking gaps</t>
        </is>
      </c>
    </row>
    <row r="124">
      <c r="A124" s="8" t="inlineStr">
        <is>
          <t>PO-01</t>
        </is>
      </c>
      <c r="B124" s="8" t="inlineStr">
        <is>
          <t>D-01</t>
        </is>
      </c>
      <c r="C124" s="9" t="inlineStr">
        <is>
          <t>Posture entity with side derived from role</t>
        </is>
      </c>
      <c r="D124" s="9" t="inlineStr">
        <is>
          <t>Core entity definitions from the information view</t>
        </is>
      </c>
    </row>
    <row r="125">
      <c r="A125" s="8" t="inlineStr">
        <is>
          <t>PO-02</t>
        </is>
      </c>
      <c r="B125" s="8" t="inlineStr">
        <is>
          <t>PO-01</t>
        </is>
      </c>
      <c r="C125" s="9" t="inlineStr">
        <is>
          <t>Per-thread posture extraction</t>
        </is>
      </c>
      <c r="D125" s="9" t="inlineStr">
        <is>
          <t>Posture entity with side derived from role</t>
        </is>
      </c>
    </row>
    <row r="126">
      <c r="A126" s="8" t="inlineStr">
        <is>
          <t>PO-02</t>
        </is>
      </c>
      <c r="B126" s="8" t="inlineStr">
        <is>
          <t>T-01</t>
        </is>
      </c>
      <c r="C126" s="9" t="inlineStr">
        <is>
          <t>Per-thread posture extraction</t>
        </is>
      </c>
      <c r="D126" s="9" t="inlineStr">
        <is>
          <t>Thread entity with a stable id never derived from the label</t>
        </is>
      </c>
    </row>
    <row r="127">
      <c r="A127" s="8" t="inlineStr">
        <is>
          <t>PO-03</t>
        </is>
      </c>
      <c r="B127" s="8" t="inlineStr">
        <is>
          <t>PO-02</t>
        </is>
      </c>
      <c r="C127" s="9" t="inlineStr">
        <is>
          <t>Monotonic, evidence-gated merge with conflicts surfaced</t>
        </is>
      </c>
      <c r="D127" s="9" t="inlineStr">
        <is>
          <t>Per-thread posture extraction</t>
        </is>
      </c>
    </row>
    <row r="128">
      <c r="A128" s="8" t="inlineStr">
        <is>
          <t>PO-04</t>
        </is>
      </c>
      <c r="B128" s="8" t="inlineStr">
        <is>
          <t>PO-01</t>
        </is>
      </c>
      <c r="C128" s="9" t="inlineStr">
        <is>
          <t>Unknown posture blocks the directive step for its thread</t>
        </is>
      </c>
      <c r="D128" s="9" t="inlineStr">
        <is>
          <t>Posture entity with side derived from role</t>
        </is>
      </c>
    </row>
    <row r="129">
      <c r="A129" s="8" t="inlineStr">
        <is>
          <t>PO-04</t>
        </is>
      </c>
      <c r="B129" s="8" t="inlineStr">
        <is>
          <t>GQ-01</t>
        </is>
      </c>
      <c r="C129" s="9" t="inlineStr">
        <is>
          <t>Unknown posture blocks the directive step for its thread</t>
        </is>
      </c>
      <c r="D129" s="9" t="inlineStr">
        <is>
          <t>Gates computation per thread</t>
        </is>
      </c>
    </row>
    <row r="130">
      <c r="A130" s="8" t="inlineStr">
        <is>
          <t>PO-05</t>
        </is>
      </c>
      <c r="B130" s="8" t="inlineStr">
        <is>
          <t>PO-03</t>
        </is>
      </c>
      <c r="C130" s="9" t="inlineStr">
        <is>
          <t>Class-A posture invariant suite</t>
        </is>
      </c>
      <c r="D130" s="9" t="inlineStr">
        <is>
          <t>Monotonic, evidence-gated merge with conflicts surfaced</t>
        </is>
      </c>
    </row>
    <row r="131">
      <c r="A131" s="8" t="inlineStr">
        <is>
          <t>PO-05</t>
        </is>
      </c>
      <c r="B131" s="8" t="inlineStr">
        <is>
          <t>F-03</t>
        </is>
      </c>
      <c r="C131" s="9" t="inlineStr">
        <is>
          <t>Class-A posture invariant suite</t>
        </is>
      </c>
      <c r="D131" s="9" t="inlineStr">
        <is>
          <t>Class-A test runner: no corpus, no LLM, whole suite under 10s</t>
        </is>
      </c>
    </row>
    <row r="132">
      <c r="A132" s="8" t="inlineStr">
        <is>
          <t>LM-01</t>
        </is>
      </c>
      <c r="B132" s="8" t="inlineStr">
        <is>
          <t>FA-01</t>
        </is>
      </c>
      <c r="C132" s="9" t="inlineStr">
        <is>
          <t>Chronology per thread with certainty and provenance</t>
        </is>
      </c>
      <c r="D132" s="9" t="inlineStr">
        <is>
          <t>Fact entity with provenance and certainty</t>
        </is>
      </c>
    </row>
    <row r="133">
      <c r="A133" s="8" t="inlineStr">
        <is>
          <t>LM-02</t>
        </is>
      </c>
      <c r="B133" s="8" t="inlineStr">
        <is>
          <t>LM-01</t>
        </is>
      </c>
      <c r="C133" s="9" t="inlineStr">
        <is>
          <t>Undated recorded undated; conflicting dates surfaced</t>
        </is>
      </c>
      <c r="D133" s="9" t="inlineStr">
        <is>
          <t>Chronology per thread with certainty and provenance</t>
        </is>
      </c>
    </row>
    <row r="134">
      <c r="A134" s="8" t="inlineStr">
        <is>
          <t>LM-03</t>
        </is>
      </c>
      <c r="B134" s="8" t="inlineStr">
        <is>
          <t>LM-01</t>
        </is>
      </c>
      <c r="C134" s="9" t="inlineStr">
        <is>
          <t>LimitationComputation with its coverage field</t>
        </is>
      </c>
      <c r="D134" s="9" t="inlineStr">
        <is>
          <t>Chronology per thread with certainty and provenance</t>
        </is>
      </c>
    </row>
    <row r="135">
      <c r="A135" s="8" t="inlineStr">
        <is>
          <t>LM-03</t>
        </is>
      </c>
      <c r="B135" s="8" t="inlineStr">
        <is>
          <t>R-02</t>
        </is>
      </c>
      <c r="C135" s="9" t="inlineStr">
        <is>
          <t>LimitationComputation with its coverage field</t>
        </is>
      </c>
      <c r="D135" s="9" t="inlineStr">
        <is>
          <t>Limitation Article resolution from cause of action</t>
        </is>
      </c>
    </row>
    <row r="136">
      <c r="A136" s="8" t="inlineStr">
        <is>
          <t>LM-04</t>
        </is>
      </c>
      <c r="B136" s="8" t="inlineStr">
        <is>
          <t>LM-03</t>
        </is>
      </c>
      <c r="C136" s="9" t="inlineStr">
        <is>
          <t>Invariant: coverage is set-equal to the thread's chronology</t>
        </is>
      </c>
      <c r="D136" s="9" t="inlineStr">
        <is>
          <t>LimitationComputation with its coverage field</t>
        </is>
      </c>
    </row>
    <row r="137">
      <c r="A137" s="8" t="inlineStr">
        <is>
          <t>LM-04</t>
        </is>
      </c>
      <c r="B137" s="8" t="inlineStr">
        <is>
          <t>F-03</t>
        </is>
      </c>
      <c r="C137" s="9" t="inlineStr">
        <is>
          <t>Invariant: coverage is set-equal to the thread's chronology</t>
        </is>
      </c>
      <c r="D137" s="9" t="inlineStr">
        <is>
          <t>Class-A test runner: no corpus, no LLM, whole suite under 10s</t>
        </is>
      </c>
    </row>
    <row r="138">
      <c r="A138" s="8" t="inlineStr">
        <is>
          <t>LM-05</t>
        </is>
      </c>
      <c r="B138" s="8" t="inlineStr">
        <is>
          <t>LM-03</t>
        </is>
      </c>
      <c r="C138" s="9" t="inlineStr">
        <is>
          <t>Factors applied or rejected, each from a retrieved provision</t>
        </is>
      </c>
      <c r="D138" s="9" t="inlineStr">
        <is>
          <t>LimitationComputation with its coverage field</t>
        </is>
      </c>
    </row>
    <row r="139">
      <c r="A139" s="8" t="inlineStr">
        <is>
          <t>LM-05</t>
        </is>
      </c>
      <c r="B139" s="8" t="inlineStr">
        <is>
          <t>R-04</t>
        </is>
      </c>
      <c r="C139" s="9" t="inlineStr">
        <is>
          <t>Factors applied or rejected, each from a retrieved provision</t>
        </is>
      </c>
      <c r="D139" s="9" t="inlineStr">
        <is>
          <t>Era-correct provision resolution by date of conduct</t>
        </is>
      </c>
    </row>
    <row r="140">
      <c r="A140" s="8" t="inlineStr">
        <is>
          <t>LM-06</t>
        </is>
      </c>
      <c r="B140" s="8" t="inlineStr">
        <is>
          <t>LM-03</t>
        </is>
      </c>
      <c r="C140" s="9" t="inlineStr">
        <is>
          <t>Opponent-side limitation computation</t>
        </is>
      </c>
      <c r="D140" s="9" t="inlineStr">
        <is>
          <t>LimitationComputation with its coverage field</t>
        </is>
      </c>
    </row>
    <row r="141">
      <c r="A141" s="8" t="inlineStr">
        <is>
          <t>LM-06</t>
        </is>
      </c>
      <c r="B141" s="8" t="inlineStr">
        <is>
          <t>PO-01</t>
        </is>
      </c>
      <c r="C141" s="9" t="inlineStr">
        <is>
          <t>Opponent-side limitation computation</t>
        </is>
      </c>
      <c r="D141" s="9" t="inlineStr">
        <is>
          <t>Posture entity with side derived from role</t>
        </is>
      </c>
    </row>
    <row r="142">
      <c r="A142" s="8" t="inlineStr">
        <is>
          <t>LM-07</t>
        </is>
      </c>
      <c r="B142" s="8" t="inlineStr">
        <is>
          <t>LM-03</t>
        </is>
      </c>
      <c r="C142" s="9" t="inlineStr">
        <is>
          <t>A limitation bar resolves into an action</t>
        </is>
      </c>
      <c r="D142" s="9" t="inlineStr">
        <is>
          <t>LimitationComputation with its coverage field</t>
        </is>
      </c>
    </row>
    <row r="143">
      <c r="A143" s="8" t="inlineStr">
        <is>
          <t>LM-08</t>
        </is>
      </c>
      <c r="B143" s="8" t="inlineStr">
        <is>
          <t>LM-03</t>
        </is>
      </c>
      <c r="C143" s="9" t="inlineStr">
        <is>
          <t>Deadline register with recomputed status</t>
        </is>
      </c>
      <c r="D143" s="9" t="inlineStr">
        <is>
          <t>LimitationComputation with its coverage field</t>
        </is>
      </c>
    </row>
    <row r="144">
      <c r="A144" s="8" t="inlineStr">
        <is>
          <t>LM-09</t>
        </is>
      </c>
      <c r="B144" s="8" t="inlineStr">
        <is>
          <t>LM-08</t>
        </is>
      </c>
      <c r="C144" s="9" t="inlineStr">
        <is>
          <t>Every recommended action carries a by-when</t>
        </is>
      </c>
      <c r="D144" s="9" t="inlineStr">
        <is>
          <t>Deadline register with recomputed status</t>
        </is>
      </c>
    </row>
    <row r="145">
      <c r="A145" s="8" t="inlineStr">
        <is>
          <t>LM-09</t>
        </is>
      </c>
      <c r="B145" s="8" t="inlineStr">
        <is>
          <t>AN-01</t>
        </is>
      </c>
      <c r="C145" s="9" t="inlineStr">
        <is>
          <t>Every recommended action carries a by-when</t>
        </is>
      </c>
      <c r="D145" s="9" t="inlineStr">
        <is>
          <t>Answer and Element types</t>
        </is>
      </c>
    </row>
    <row r="146">
      <c r="A146" s="8" t="inlineStr">
        <is>
          <t>IS-01</t>
        </is>
      </c>
      <c r="B146" s="8" t="inlineStr">
        <is>
          <t>D-01</t>
        </is>
      </c>
      <c r="C146" s="9" t="inlineStr">
        <is>
          <t>Issue entity with facets</t>
        </is>
      </c>
      <c r="D146" s="9" t="inlineStr">
        <is>
          <t>Core entity definitions from the information view</t>
        </is>
      </c>
    </row>
    <row r="147">
      <c r="A147" s="8" t="inlineStr">
        <is>
          <t>IS-02</t>
        </is>
      </c>
      <c r="B147" s="8" t="inlineStr">
        <is>
          <t>IS-01</t>
        </is>
      </c>
      <c r="C147" s="9" t="inlineStr">
        <is>
          <t>effect derived from posture, with effect_basis recorded</t>
        </is>
      </c>
      <c r="D147" s="9" t="inlineStr">
        <is>
          <t>Issue entity with facets</t>
        </is>
      </c>
    </row>
    <row r="148">
      <c r="A148" s="8" t="inlineStr">
        <is>
          <t>IS-02</t>
        </is>
      </c>
      <c r="B148" s="8" t="inlineStr">
        <is>
          <t>PO-01</t>
        </is>
      </c>
      <c r="C148" s="9" t="inlineStr">
        <is>
          <t>effect derived from posture, with effect_basis recorded</t>
        </is>
      </c>
      <c r="D148" s="9" t="inlineStr">
        <is>
          <t>Posture entity with side derived from role</t>
        </is>
      </c>
    </row>
    <row r="149">
      <c r="A149" s="8" t="inlineStr">
        <is>
          <t>IS-03</t>
        </is>
      </c>
      <c r="B149" s="8" t="inlineStr">
        <is>
          <t>IS-01</t>
        </is>
      </c>
      <c r="C149" s="9" t="inlineStr">
        <is>
          <t>Disposition with required reasons</t>
        </is>
      </c>
      <c r="D149" s="9" t="inlineStr">
        <is>
          <t>Issue entity with facets</t>
        </is>
      </c>
    </row>
    <row r="150">
      <c r="A150" s="8" t="inlineStr">
        <is>
          <t>IS-04</t>
        </is>
      </c>
      <c r="B150" s="8" t="inlineStr">
        <is>
          <t>IS-03</t>
        </is>
      </c>
      <c r="C150" s="9" t="inlineStr">
        <is>
          <t>No delete path; accounting invariant</t>
        </is>
      </c>
      <c r="D150" s="9" t="inlineStr">
        <is>
          <t>Disposition with required reasons</t>
        </is>
      </c>
    </row>
    <row r="151">
      <c r="A151" s="8" t="inlineStr">
        <is>
          <t>IS-04</t>
        </is>
      </c>
      <c r="B151" s="8" t="inlineStr">
        <is>
          <t>F-03</t>
        </is>
      </c>
      <c r="C151" s="9" t="inlineStr">
        <is>
          <t>No delete path; accounting invariant</t>
        </is>
      </c>
      <c r="D151" s="9" t="inlineStr">
        <is>
          <t>Class-A test runner: no corpus, no LLM, whole suite under 10s</t>
        </is>
      </c>
    </row>
    <row r="152">
      <c r="A152" s="8" t="inlineStr">
        <is>
          <t>IS-05</t>
        </is>
      </c>
      <c r="B152" s="8" t="inlineStr">
        <is>
          <t>IS-01</t>
        </is>
      </c>
      <c r="C152" s="9" t="inlineStr">
        <is>
          <t>Closed-vocabulary validation at every point of entry</t>
        </is>
      </c>
      <c r="D152" s="9" t="inlineStr">
        <is>
          <t>Issue entity with facets</t>
        </is>
      </c>
    </row>
    <row r="153">
      <c r="A153" s="8" t="inlineStr">
        <is>
          <t>IS-06</t>
        </is>
      </c>
      <c r="B153" s="8" t="inlineStr">
        <is>
          <t>IS-01</t>
        </is>
      </c>
      <c r="C153" s="9" t="inlineStr">
        <is>
          <t>Threshold items receive merits-grade provisions and authority</t>
        </is>
      </c>
      <c r="D153" s="9" t="inlineStr">
        <is>
          <t>Issue entity with facets</t>
        </is>
      </c>
    </row>
    <row r="154">
      <c r="A154" s="8" t="inlineStr">
        <is>
          <t>IS-06</t>
        </is>
      </c>
      <c r="B154" s="8" t="inlineStr">
        <is>
          <t>V-01</t>
        </is>
      </c>
      <c r="C154" s="9" t="inlineStr">
        <is>
          <t>Threshold items receive merits-grade provisions and authority</t>
        </is>
      </c>
      <c r="D154" s="9" t="inlineStr">
        <is>
          <t>Finding contract type</t>
        </is>
      </c>
    </row>
    <row r="155">
      <c r="A155" s="8" t="inlineStr">
        <is>
          <t>PF-01</t>
        </is>
      </c>
      <c r="B155" s="8" t="inlineStr">
        <is>
          <t>R-05</t>
        </is>
      </c>
      <c r="C155" s="9" t="inlineStr">
        <is>
          <t>ProofPosition per element</t>
        </is>
      </c>
      <c r="D155" s="9" t="inlineStr">
        <is>
          <t>Elements-to-prove resolution from a provision</t>
        </is>
      </c>
    </row>
    <row r="156">
      <c r="A156" s="8" t="inlineStr">
        <is>
          <t>PF-02</t>
        </is>
      </c>
      <c r="B156" s="8" t="inlineStr">
        <is>
          <t>PF-01</t>
        </is>
      </c>
      <c r="C156" s="9" t="inlineStr">
        <is>
          <t>Burden and shifts derived from retrieved presumptions</t>
        </is>
      </c>
      <c r="D156" s="9" t="inlineStr">
        <is>
          <t>ProofPosition per element</t>
        </is>
      </c>
    </row>
    <row r="157">
      <c r="A157" s="8" t="inlineStr">
        <is>
          <t>PF-02</t>
        </is>
      </c>
      <c r="B157" s="8" t="inlineStr">
        <is>
          <t>V-01</t>
        </is>
      </c>
      <c r="C157" s="9" t="inlineStr">
        <is>
          <t>Burden and shifts derived from retrieved presumptions</t>
        </is>
      </c>
      <c r="D157" s="9" t="inlineStr">
        <is>
          <t>Finding contract type</t>
        </is>
      </c>
    </row>
    <row r="158">
      <c r="A158" s="8" t="inlineStr">
        <is>
          <t>PF-03</t>
        </is>
      </c>
      <c r="B158" s="8" t="inlineStr">
        <is>
          <t>PF-01</t>
        </is>
      </c>
      <c r="C158" s="9" t="inlineStr">
        <is>
          <t>Gap list: held, obtainable, absent</t>
        </is>
      </c>
      <c r="D158" s="9" t="inlineStr">
        <is>
          <t>ProofPosition per element</t>
        </is>
      </c>
    </row>
    <row r="159">
      <c r="A159" s="8" t="inlineStr">
        <is>
          <t>PF-04</t>
        </is>
      </c>
      <c r="B159" s="8" t="inlineStr">
        <is>
          <t>PF-01</t>
        </is>
      </c>
      <c r="C159" s="9" t="inlineStr">
        <is>
          <t>Admissibility modelled separately from existence</t>
        </is>
      </c>
      <c r="D159" s="9" t="inlineStr">
        <is>
          <t>ProofPosition per element</t>
        </is>
      </c>
    </row>
    <row r="160">
      <c r="A160" s="8" t="inlineStr">
        <is>
          <t>PF-05</t>
        </is>
      </c>
      <c r="B160" s="8" t="inlineStr">
        <is>
          <t>PF-03</t>
        </is>
      </c>
      <c r="C160" s="9" t="inlineStr">
        <is>
          <t>A proof gap resolves into an action</t>
        </is>
      </c>
      <c r="D160" s="9" t="inlineStr">
        <is>
          <t>Gap list: held, obtainable, absent</t>
        </is>
      </c>
    </row>
    <row r="161">
      <c r="A161" s="8" t="inlineStr">
        <is>
          <t>PF-06</t>
        </is>
      </c>
      <c r="B161" s="8" t="inlineStr">
        <is>
          <t>PF-01</t>
        </is>
      </c>
      <c r="C161" s="9" t="inlineStr">
        <is>
          <t>Register guard: findings about the record, never about honesty</t>
        </is>
      </c>
      <c r="D161" s="9" t="inlineStr">
        <is>
          <t>ProofPosition per element</t>
        </is>
      </c>
    </row>
    <row r="162">
      <c r="A162" s="8" t="inlineStr">
        <is>
          <t>PF-07</t>
        </is>
      </c>
      <c r="B162" s="8" t="inlineStr">
        <is>
          <t>PF-03</t>
        </is>
      </c>
      <c r="C162" s="9" t="inlineStr">
        <is>
          <t>Open-question phrasing for missing material</t>
        </is>
      </c>
      <c r="D162" s="9" t="inlineStr">
        <is>
          <t>Gap list: held, obtainable, absent</t>
        </is>
      </c>
    </row>
    <row r="163">
      <c r="A163" s="8" t="inlineStr">
        <is>
          <t>PF-08</t>
        </is>
      </c>
      <c r="B163" s="8" t="inlineStr">
        <is>
          <t>PF-06</t>
        </is>
      </c>
      <c r="C163" s="9" t="inlineStr">
        <is>
          <t>Symmetry measurement: client-adverse versus opponent-adverse language</t>
        </is>
      </c>
      <c r="D163" s="9" t="inlineStr">
        <is>
          <t>Register guard: findings about the record, never about honesty</t>
        </is>
      </c>
    </row>
    <row r="164">
      <c r="A164" s="8" t="inlineStr">
        <is>
          <t>PF-08</t>
        </is>
      </c>
      <c r="B164" s="8" t="inlineStr">
        <is>
          <t>F-06</t>
        </is>
      </c>
      <c r="C164" s="9" t="inlineStr">
        <is>
          <t>Symmetry measurement: client-adverse versus opponent-adverse language</t>
        </is>
      </c>
      <c r="D164" s="9" t="inlineStr">
        <is>
          <t>Class-D rubric harness using a judge model distinct from the answering model</t>
        </is>
      </c>
    </row>
    <row r="165">
      <c r="A165" s="8" t="inlineStr">
        <is>
          <t>TH-01</t>
        </is>
      </c>
      <c r="B165" s="8" t="inlineStr">
        <is>
          <t>D-01</t>
        </is>
      </c>
      <c r="C165" s="9" t="inlineStr">
        <is>
          <t>Theory entity</t>
        </is>
      </c>
      <c r="D165" s="9" t="inlineStr">
        <is>
          <t>Core entity definitions from the information view</t>
        </is>
      </c>
    </row>
    <row r="166">
      <c r="A166" s="8" t="inlineStr">
        <is>
          <t>TH-02</t>
        </is>
      </c>
      <c r="B166" s="8" t="inlineStr">
        <is>
          <t>TH-01</t>
        </is>
      </c>
      <c r="C166" s="9" t="inlineStr">
        <is>
          <t>One-sentence theory per thread</t>
        </is>
      </c>
      <c r="D166" s="9" t="inlineStr">
        <is>
          <t>Theory entity</t>
        </is>
      </c>
    </row>
    <row r="167">
      <c r="A167" s="8" t="inlineStr">
        <is>
          <t>TH-02</t>
        </is>
      </c>
      <c r="B167" s="8" t="inlineStr">
        <is>
          <t>PO-01</t>
        </is>
      </c>
      <c r="C167" s="9" t="inlineStr">
        <is>
          <t>One-sentence theory per thread</t>
        </is>
      </c>
      <c r="D167" s="9" t="inlineStr">
        <is>
          <t>Posture entity with side derived from role</t>
        </is>
      </c>
    </row>
    <row r="168">
      <c r="A168" s="8" t="inlineStr">
        <is>
          <t>TH-03</t>
        </is>
      </c>
      <c r="B168" s="8" t="inlineStr">
        <is>
          <t>TH-02</t>
        </is>
      </c>
      <c r="C168" s="9" t="inlineStr">
        <is>
          <t>Affirmative-theory check for defending threads</t>
        </is>
      </c>
      <c r="D168" s="9" t="inlineStr">
        <is>
          <t>One-sentence theory per thread</t>
        </is>
      </c>
    </row>
    <row r="169">
      <c r="A169" s="8" t="inlineStr">
        <is>
          <t>TH-04</t>
        </is>
      </c>
      <c r="B169" s="8" t="inlineStr">
        <is>
          <t>TH-01</t>
        </is>
      </c>
      <c r="C169" s="9" t="inlineStr">
        <is>
          <t>adverse_facts coverage against the thread's adverse facts</t>
        </is>
      </c>
      <c r="D169" s="9" t="inlineStr">
        <is>
          <t>Theory entity</t>
        </is>
      </c>
    </row>
    <row r="170">
      <c r="A170" s="8" t="inlineStr">
        <is>
          <t>TH-04</t>
        </is>
      </c>
      <c r="B170" s="8" t="inlineStr">
        <is>
          <t>LM-01</t>
        </is>
      </c>
      <c r="C170" s="9" t="inlineStr">
        <is>
          <t>adverse_facts coverage against the thread's adverse facts</t>
        </is>
      </c>
      <c r="D170" s="9" t="inlineStr">
        <is>
          <t>Chronology per thread with certainty and provenance</t>
        </is>
      </c>
    </row>
    <row r="171">
      <c r="A171" s="8" t="inlineStr">
        <is>
          <t>TH-05</t>
        </is>
      </c>
      <c r="B171" s="8" t="inlineStr">
        <is>
          <t>TH-02</t>
        </is>
      </c>
      <c r="C171" s="9" t="inlineStr">
        <is>
          <t>Theory as the selection criterion</t>
        </is>
      </c>
      <c r="D171" s="9" t="inlineStr">
        <is>
          <t>One-sentence theory per thread</t>
        </is>
      </c>
    </row>
    <row r="172">
      <c r="A172" s="8" t="inlineStr">
        <is>
          <t>TH-05</t>
        </is>
      </c>
      <c r="B172" s="8" t="inlineStr">
        <is>
          <t>SE-01</t>
        </is>
      </c>
      <c r="C172" s="9" t="inlineStr">
        <is>
          <t>Theory as the selection criterion</t>
        </is>
      </c>
      <c r="D172" s="9" t="inlineStr">
        <is>
          <t>Selection using the theory as criterion</t>
        </is>
      </c>
    </row>
    <row r="173">
      <c r="A173" s="8" t="inlineStr">
        <is>
          <t>TH-06</t>
        </is>
      </c>
      <c r="B173" s="8" t="inlineStr">
        <is>
          <t>TH-05</t>
        </is>
      </c>
      <c r="C173" s="9" t="inlineStr">
        <is>
          <t>Inconsistent-theory detection</t>
        </is>
      </c>
      <c r="D173" s="9" t="inlineStr">
        <is>
          <t>Theory as the selection criterion</t>
        </is>
      </c>
    </row>
    <row r="174">
      <c r="A174" s="8" t="inlineStr">
        <is>
          <t>TH-07</t>
        </is>
      </c>
      <c r="B174" s="8" t="inlineStr">
        <is>
          <t>TH-02</t>
        </is>
      </c>
      <c r="C174" s="9" t="inlineStr">
        <is>
          <t>Opponent theory, stated at its strongest</t>
        </is>
      </c>
      <c r="D174" s="9" t="inlineStr">
        <is>
          <t>One-sentence theory per thread</t>
        </is>
      </c>
    </row>
    <row r="175">
      <c r="A175" s="8" t="inlineStr">
        <is>
          <t>TH-08</t>
        </is>
      </c>
      <c r="B175" s="8" t="inlineStr">
        <is>
          <t>TH-01</t>
        </is>
      </c>
      <c r="C175" s="9" t="inlineStr">
        <is>
          <t>Visible theory revision</t>
        </is>
      </c>
      <c r="D175" s="9" t="inlineStr">
        <is>
          <t>Theory entity</t>
        </is>
      </c>
    </row>
    <row r="176">
      <c r="A176" s="8" t="inlineStr">
        <is>
          <t>TH-08</t>
        </is>
      </c>
      <c r="B176" s="8" t="inlineStr">
        <is>
          <t>D-04</t>
        </is>
      </c>
      <c r="C176" s="9" t="inlineStr">
        <is>
          <t>Visible theory revision</t>
        </is>
      </c>
      <c r="D176" s="9" t="inlineStr">
        <is>
          <t>Prior-value retention, only where a conclusion changed</t>
        </is>
      </c>
    </row>
    <row r="177">
      <c r="A177" s="8" t="inlineStr">
        <is>
          <t>AD-01</t>
        </is>
      </c>
      <c r="B177" s="8" t="inlineStr">
        <is>
          <t>TH-07</t>
        </is>
      </c>
      <c r="C177" s="9" t="inlineStr">
        <is>
          <t>Cross-file adversarial pass</t>
        </is>
      </c>
      <c r="D177" s="9" t="inlineStr">
        <is>
          <t>Opponent theory, stated at its strongest</t>
        </is>
      </c>
    </row>
    <row r="178">
      <c r="A178" s="8" t="inlineStr">
        <is>
          <t>AD-02</t>
        </is>
      </c>
      <c r="B178" s="8" t="inlineStr">
        <is>
          <t>AD-01</t>
        </is>
      </c>
      <c r="C178" s="9" t="inlineStr">
        <is>
          <t>Cross-thread exposure detection</t>
        </is>
      </c>
      <c r="D178" s="9" t="inlineStr">
        <is>
          <t>Cross-file adversarial pass</t>
        </is>
      </c>
    </row>
    <row r="179">
      <c r="A179" s="8" t="inlineStr">
        <is>
          <t>AD-03</t>
        </is>
      </c>
      <c r="B179" s="8" t="inlineStr">
        <is>
          <t>AD-01</t>
        </is>
      </c>
      <c r="C179" s="9" t="inlineStr">
        <is>
          <t>Opposing case stated at its strongest</t>
        </is>
      </c>
      <c r="D179" s="9" t="inlineStr">
        <is>
          <t>Cross-file adversarial pass</t>
        </is>
      </c>
    </row>
    <row r="180">
      <c r="A180" s="8" t="inlineStr">
        <is>
          <t>AD-03</t>
        </is>
      </c>
      <c r="B180" s="8" t="inlineStr">
        <is>
          <t>F-06</t>
        </is>
      </c>
      <c r="C180" s="9" t="inlineStr">
        <is>
          <t>Opposing case stated at its strongest</t>
        </is>
      </c>
      <c r="D180" s="9" t="inlineStr">
        <is>
          <t>Class-D rubric harness using a judge model distinct from the answering model</t>
        </is>
      </c>
    </row>
    <row r="181">
      <c r="A181" s="8" t="inlineStr">
        <is>
          <t>AD-04</t>
        </is>
      </c>
      <c r="B181" s="8" t="inlineStr">
        <is>
          <t>AD-01</t>
        </is>
      </c>
      <c r="C181" s="9" t="inlineStr">
        <is>
          <t>Every recommendation states its counter and our response</t>
        </is>
      </c>
      <c r="D181" s="9" t="inlineStr">
        <is>
          <t>Cross-file adversarial pass</t>
        </is>
      </c>
    </row>
    <row r="182">
      <c r="A182" s="8" t="inlineStr">
        <is>
          <t>SV-01</t>
        </is>
      </c>
      <c r="B182" s="8" t="inlineStr">
        <is>
          <t>LM-07</t>
        </is>
      </c>
      <c r="C182" s="9" t="inlineStr">
        <is>
          <t>Coordinate variation across party, cause, relief, forum, timing, procedure, burden</t>
        </is>
      </c>
      <c r="D182" s="9" t="inlineStr">
        <is>
          <t>A limitation bar resolves into an action</t>
        </is>
      </c>
    </row>
    <row r="183">
      <c r="A183" s="8" t="inlineStr">
        <is>
          <t>SV-01</t>
        </is>
      </c>
      <c r="B183" s="8" t="inlineStr">
        <is>
          <t>PF-05</t>
        </is>
      </c>
      <c r="C183" s="9" t="inlineStr">
        <is>
          <t>Coordinate variation across party, cause, relief, forum, timing, procedure, burden</t>
        </is>
      </c>
      <c r="D183" s="9" t="inlineStr">
        <is>
          <t>A proof gap resolves into an action</t>
        </is>
      </c>
    </row>
    <row r="184">
      <c r="A184" s="8" t="inlineStr">
        <is>
          <t>SV-02</t>
        </is>
      </c>
      <c r="B184" s="8" t="inlineStr">
        <is>
          <t>SV-01</t>
        </is>
      </c>
      <c r="C184" s="9" t="inlineStr">
        <is>
          <t>Distinguish we lose from this framing loses</t>
        </is>
      </c>
      <c r="D184" s="9" t="inlineStr">
        <is>
          <t>Coordinate variation across party, cause, relief, forum, timing, procedure, burden</t>
        </is>
      </c>
    </row>
    <row r="185">
      <c r="A185" s="8" t="inlineStr">
        <is>
          <t>SV-03</t>
        </is>
      </c>
      <c r="B185" s="8" t="inlineStr">
        <is>
          <t>PO-01</t>
        </is>
      </c>
      <c r="C185" s="9" t="inlineStr">
        <is>
          <t>Containment as the objective on defending threads</t>
        </is>
      </c>
      <c r="D185" s="9" t="inlineStr">
        <is>
          <t>Posture entity with side derived from role</t>
        </is>
      </c>
    </row>
    <row r="186">
      <c r="A186" s="8" t="inlineStr">
        <is>
          <t>SV-03</t>
        </is>
      </c>
      <c r="B186" s="8" t="inlineStr">
        <is>
          <t>TH-02</t>
        </is>
      </c>
      <c r="C186" s="9" t="inlineStr">
        <is>
          <t>Containment as the objective on defending threads</t>
        </is>
      </c>
      <c r="D186" s="9" t="inlineStr">
        <is>
          <t>One-sentence theory per thread</t>
        </is>
      </c>
    </row>
    <row r="187">
      <c r="A187" s="8" t="inlineStr">
        <is>
          <t>SV-04</t>
        </is>
      </c>
      <c r="B187" s="8" t="inlineStr">
        <is>
          <t>SV-01</t>
        </is>
      </c>
      <c r="C187" s="9" t="inlineStr">
        <is>
          <t>Route guard: specific, strength stated, grounded</t>
        </is>
      </c>
      <c r="D187" s="9" t="inlineStr">
        <is>
          <t>Coordinate variation across party, cause, relief, forum, timing, procedure, burden</t>
        </is>
      </c>
    </row>
    <row r="188">
      <c r="A188" s="8" t="inlineStr">
        <is>
          <t>SV-04</t>
        </is>
      </c>
      <c r="B188" s="8" t="inlineStr">
        <is>
          <t>V-01</t>
        </is>
      </c>
      <c r="C188" s="9" t="inlineStr">
        <is>
          <t>Route guard: specific, strength stated, grounded</t>
        </is>
      </c>
      <c r="D188" s="9" t="inlineStr">
        <is>
          <t>Finding contract type</t>
        </is>
      </c>
    </row>
    <row r="189">
      <c r="A189" s="8" t="inlineStr">
        <is>
          <t>SV-05</t>
        </is>
      </c>
      <c r="B189" s="8" t="inlineStr">
        <is>
          <t>SV-02</t>
        </is>
      </c>
      <c r="C189" s="9" t="inlineStr">
        <is>
          <t>Advise-against-proceeding as a full answer</t>
        </is>
      </c>
      <c r="D189" s="9" t="inlineStr">
        <is>
          <t>Distinguish we lose from this framing loses</t>
        </is>
      </c>
    </row>
    <row r="190">
      <c r="A190" s="8" t="inlineStr">
        <is>
          <t>SV-06</t>
        </is>
      </c>
      <c r="B190" s="8" t="inlineStr">
        <is>
          <t>SV-01</t>
        </is>
      </c>
      <c r="C190" s="9" t="inlineStr">
        <is>
          <t>Anticipate how the opponent cures a coordinate failure</t>
        </is>
      </c>
      <c r="D190" s="9" t="inlineStr">
        <is>
          <t>Coordinate variation across party, cause, relief, forum, timing, procedure, burden</t>
        </is>
      </c>
    </row>
    <row r="191">
      <c r="A191" s="8" t="inlineStr">
        <is>
          <t>SV-06</t>
        </is>
      </c>
      <c r="B191" s="8" t="inlineStr">
        <is>
          <t>AD-01</t>
        </is>
      </c>
      <c r="C191" s="9" t="inlineStr">
        <is>
          <t>Anticipate how the opponent cures a coordinate failure</t>
        </is>
      </c>
      <c r="D191" s="9" t="inlineStr">
        <is>
          <t>Cross-file adversarial pass</t>
        </is>
      </c>
    </row>
    <row r="192">
      <c r="A192" s="8" t="inlineStr">
        <is>
          <t>SE-01</t>
        </is>
      </c>
      <c r="B192" s="8" t="inlineStr">
        <is>
          <t>TH-05</t>
        </is>
      </c>
      <c r="C192" s="9" t="inlineStr">
        <is>
          <t>Selection using the theory as criterion</t>
        </is>
      </c>
      <c r="D192" s="9" t="inlineStr">
        <is>
          <t>Theory as the selection criterion</t>
        </is>
      </c>
    </row>
    <row r="193">
      <c r="A193" s="8" t="inlineStr">
        <is>
          <t>SE-01</t>
        </is>
      </c>
      <c r="B193" s="8" t="inlineStr">
        <is>
          <t>IS-03</t>
        </is>
      </c>
      <c r="C193" s="9" t="inlineStr">
        <is>
          <t>Selection using the theory as criterion</t>
        </is>
      </c>
      <c r="D193" s="9" t="inlineStr">
        <is>
          <t>Disposition with required reasons</t>
        </is>
      </c>
    </row>
    <row r="194">
      <c r="A194" s="8" t="inlineStr">
        <is>
          <t>SE-02</t>
        </is>
      </c>
      <c r="B194" s="8" t="inlineStr">
        <is>
          <t>SE-01</t>
        </is>
      </c>
      <c r="C194" s="9" t="inlineStr">
        <is>
          <t>Considered-not-pursued line assembly</t>
        </is>
      </c>
      <c r="D194" s="9" t="inlineStr">
        <is>
          <t>Selection using the theory as criterion</t>
        </is>
      </c>
    </row>
    <row r="195">
      <c r="A195" s="8" t="inlineStr">
        <is>
          <t>SE-02</t>
        </is>
      </c>
      <c r="B195" s="8" t="inlineStr">
        <is>
          <t>AN-01</t>
        </is>
      </c>
      <c r="C195" s="9" t="inlineStr">
        <is>
          <t>Considered-not-pursued line assembly</t>
        </is>
      </c>
      <c r="D195" s="9" t="inlineStr">
        <is>
          <t>Answer and Element types</t>
        </is>
      </c>
    </row>
    <row r="196">
      <c r="A196" s="8" t="inlineStr">
        <is>
          <t>SE-03</t>
        </is>
      </c>
      <c r="B196" s="8" t="inlineStr">
        <is>
          <t>SE-01</t>
        </is>
      </c>
      <c r="C196" s="9" t="inlineStr">
        <is>
          <t>Both-direction selection measurement</t>
        </is>
      </c>
      <c r="D196" s="9" t="inlineStr">
        <is>
          <t>Selection using the theory as criterion</t>
        </is>
      </c>
    </row>
    <row r="197">
      <c r="A197" s="8" t="inlineStr">
        <is>
          <t>SE-03</t>
        </is>
      </c>
      <c r="B197" s="8" t="inlineStr">
        <is>
          <t>C-04</t>
        </is>
      </c>
      <c r="C197" s="9" t="inlineStr">
        <is>
          <t>Both-direction selection measurement</t>
        </is>
      </c>
      <c r="D197" s="9" t="inlineStr">
        <is>
          <t>Sampled gold set and hand-vetting workflow</t>
        </is>
      </c>
    </row>
    <row r="198">
      <c r="A198" s="8" t="inlineStr">
        <is>
          <t>GQ-01</t>
        </is>
      </c>
      <c r="B198" s="8" t="inlineStr">
        <is>
          <t>PO-01</t>
        </is>
      </c>
      <c r="C198" s="9" t="inlineStr">
        <is>
          <t>Gates computation per thread</t>
        </is>
      </c>
      <c r="D198" s="9" t="inlineStr">
        <is>
          <t>Posture entity with side derived from role</t>
        </is>
      </c>
    </row>
    <row r="199">
      <c r="A199" s="8" t="inlineStr">
        <is>
          <t>GQ-01</t>
        </is>
      </c>
      <c r="B199" s="8" t="inlineStr">
        <is>
          <t>LM-03</t>
        </is>
      </c>
      <c r="C199" s="9" t="inlineStr">
        <is>
          <t>Gates computation per thread</t>
        </is>
      </c>
      <c r="D199" s="9" t="inlineStr">
        <is>
          <t>LimitationComputation with its coverage field</t>
        </is>
      </c>
    </row>
    <row r="200">
      <c r="A200" s="8" t="inlineStr">
        <is>
          <t>GQ-02</t>
        </is>
      </c>
      <c r="B200" s="8" t="inlineStr">
        <is>
          <t>GQ-01</t>
        </is>
      </c>
      <c r="C200" s="9" t="inlineStr">
        <is>
          <t>Gap enumeration and ranking across the file</t>
        </is>
      </c>
      <c r="D200" s="9" t="inlineStr">
        <is>
          <t>Gates computation per thread</t>
        </is>
      </c>
    </row>
    <row r="201">
      <c r="A201" s="8" t="inlineStr">
        <is>
          <t>GQ-03</t>
        </is>
      </c>
      <c r="B201" s="8" t="inlineStr">
        <is>
          <t>GQ-02</t>
        </is>
      </c>
      <c r="C201" s="9" t="inlineStr">
        <is>
          <t>Questions generated only from blocking gaps</t>
        </is>
      </c>
      <c r="D201" s="9" t="inlineStr">
        <is>
          <t>Gap enumeration and ranking across the file</t>
        </is>
      </c>
    </row>
    <row r="202">
      <c r="A202" s="8" t="inlineStr">
        <is>
          <t>GQ-04</t>
        </is>
      </c>
      <c r="B202" s="8" t="inlineStr">
        <is>
          <t>GQ-02</t>
        </is>
      </c>
      <c r="C202" s="9" t="inlineStr">
        <is>
          <t>Advocate navigation overrides the queue</t>
        </is>
      </c>
      <c r="D202" s="9" t="inlineStr">
        <is>
          <t>Gap enumeration and ranking across the file</t>
        </is>
      </c>
    </row>
    <row r="203">
      <c r="A203" s="8" t="inlineStr">
        <is>
          <t>GQ-05</t>
        </is>
      </c>
      <c r="B203" s="8" t="inlineStr">
        <is>
          <t>GQ-03</t>
        </is>
      </c>
      <c r="C203" s="9" t="inlineStr">
        <is>
          <t>Batched asks, one thread at a time</t>
        </is>
      </c>
      <c r="D203" s="9" t="inlineStr">
        <is>
          <t>Questions generated only from blocking gaps</t>
        </is>
      </c>
    </row>
    <row r="204">
      <c r="A204" s="8" t="inlineStr">
        <is>
          <t>GQ-06</t>
        </is>
      </c>
      <c r="B204" s="8" t="inlineStr">
        <is>
          <t>GQ-05</t>
        </is>
      </c>
      <c r="C204" s="9" t="inlineStr">
        <is>
          <t>Answer-quality gate with a capped re-ask, then accept and record</t>
        </is>
      </c>
      <c r="D204" s="9" t="inlineStr">
        <is>
          <t>Batched asks, one thread at a time</t>
        </is>
      </c>
    </row>
    <row r="205">
      <c r="A205" s="8" t="inlineStr">
        <is>
          <t>GQ-07</t>
        </is>
      </c>
      <c r="B205" s="8" t="inlineStr">
        <is>
          <t>PF-03</t>
        </is>
      </c>
      <c r="C205" s="9" t="inlineStr">
        <is>
          <t>Still-missing close on every consultation</t>
        </is>
      </c>
      <c r="D205" s="9" t="inlineStr">
        <is>
          <t>Gap list: held, obtainable, absent</t>
        </is>
      </c>
    </row>
    <row r="206">
      <c r="A206" s="8" t="inlineStr">
        <is>
          <t>GQ-08</t>
        </is>
      </c>
      <c r="B206" s="8" t="inlineStr">
        <is>
          <t>DI-01</t>
        </is>
      </c>
      <c r="C206" s="9" t="inlineStr">
        <is>
          <t>Mode inference, stated in one line</t>
        </is>
      </c>
      <c r="D206" s="9" t="inlineStr">
        <is>
          <t>Upload: PDF, Word, images, scans</t>
        </is>
      </c>
    </row>
    <row r="207">
      <c r="A207" s="8" t="inlineStr">
        <is>
          <t>GQ-09</t>
        </is>
      </c>
      <c r="B207" s="8" t="inlineStr">
        <is>
          <t>LM-08</t>
        </is>
      </c>
      <c r="C207" s="9" t="inlineStr">
        <is>
          <t>Resumption re-orientation, deadlines first</t>
        </is>
      </c>
      <c r="D207" s="9" t="inlineStr">
        <is>
          <t>Deadline register with recomputed status</t>
        </is>
      </c>
    </row>
    <row r="208">
      <c r="A208" s="8" t="inlineStr">
        <is>
          <t>GQ-10</t>
        </is>
      </c>
      <c r="B208" s="8" t="inlineStr">
        <is>
          <t>D-02</t>
        </is>
      </c>
      <c r="C208" s="9" t="inlineStr">
        <is>
          <t>Reservation record and fact-triggered reactivation</t>
        </is>
      </c>
      <c r="D208" s="9" t="inlineStr">
        <is>
          <t>Derived mixin: depends_on, computed_at, prior, basis</t>
        </is>
      </c>
    </row>
    <row r="209">
      <c r="A209" s="8" t="inlineStr">
        <is>
          <t>AN-01</t>
        </is>
      </c>
      <c r="B209" s="8" t="inlineStr">
        <is>
          <t>D-01</t>
        </is>
      </c>
      <c r="C209" s="9" t="inlineStr">
        <is>
          <t>Answer and Element types</t>
        </is>
      </c>
      <c r="D209" s="9" t="inlineStr">
        <is>
          <t>Core entity definitions from the information view</t>
        </is>
      </c>
    </row>
    <row r="210">
      <c r="A210" s="8" t="inlineStr">
        <is>
          <t>AN-02</t>
        </is>
      </c>
      <c r="B210" s="8" t="inlineStr">
        <is>
          <t>AN-01</t>
        </is>
      </c>
      <c r="C210" s="9" t="inlineStr">
        <is>
          <t>Assembly with ordering rules</t>
        </is>
      </c>
      <c r="D210" s="9" t="inlineStr">
        <is>
          <t>Answer and Element types</t>
        </is>
      </c>
    </row>
    <row r="211">
      <c r="A211" s="8" t="inlineStr">
        <is>
          <t>AN-02</t>
        </is>
      </c>
      <c r="B211" s="8" t="inlineStr">
        <is>
          <t>GQ-02</t>
        </is>
      </c>
      <c r="C211" s="9" t="inlineStr">
        <is>
          <t>Assembly with ordering rules</t>
        </is>
      </c>
      <c r="D211" s="9" t="inlineStr">
        <is>
          <t>Gap enumeration and ranking across the file</t>
        </is>
      </c>
    </row>
    <row r="212">
      <c r="A212" s="8" t="inlineStr">
        <is>
          <t>AN-03</t>
        </is>
      </c>
      <c r="B212" s="8" t="inlineStr">
        <is>
          <t>AN-01</t>
        </is>
      </c>
      <c r="C212" s="9" t="inlineStr">
        <is>
          <t>Collapsibility guard for D0A-class signals</t>
        </is>
      </c>
      <c r="D212" s="9" t="inlineStr">
        <is>
          <t>Answer and Element types</t>
        </is>
      </c>
    </row>
    <row r="213">
      <c r="A213" s="8" t="inlineStr">
        <is>
          <t>AN-04</t>
        </is>
      </c>
      <c r="B213" s="8" t="inlineStr">
        <is>
          <t>AN-02</t>
        </is>
      </c>
      <c r="C213" s="9" t="inlineStr">
        <is>
          <t>Shape scales with the stated mode</t>
        </is>
      </c>
      <c r="D213" s="9" t="inlineStr">
        <is>
          <t>Assembly with ordering rules</t>
        </is>
      </c>
    </row>
    <row r="214">
      <c r="A214" s="8" t="inlineStr">
        <is>
          <t>AN-04</t>
        </is>
      </c>
      <c r="B214" s="8" t="inlineStr">
        <is>
          <t>GQ-08</t>
        </is>
      </c>
      <c r="C214" s="9" t="inlineStr">
        <is>
          <t>Shape scales with the stated mode</t>
        </is>
      </c>
      <c r="D214" s="9" t="inlineStr">
        <is>
          <t>Mode inference, stated in one line</t>
        </is>
      </c>
    </row>
    <row r="215">
      <c r="A215" s="8" t="inlineStr">
        <is>
          <t>AN-05</t>
        </is>
      </c>
      <c r="B215" s="8" t="inlineStr">
        <is>
          <t>D-06</t>
        </is>
      </c>
      <c r="C215" s="9" t="inlineStr">
        <is>
          <t>A turn that changes nothing produces a line</t>
        </is>
      </c>
      <c r="D215" s="9" t="inlineStr">
        <is>
          <t>Material-fact classification gating the cascade</t>
        </is>
      </c>
    </row>
    <row r="216">
      <c r="A216" s="8" t="inlineStr">
        <is>
          <t>AN-06</t>
        </is>
      </c>
      <c r="B216" s="8" t="inlineStr">
        <is>
          <t>AN-05</t>
        </is>
      </c>
      <c r="C216" s="9" t="inlineStr">
        <is>
          <t>Length regression metric: scales with threads, not turns</t>
        </is>
      </c>
      <c r="D216" s="9" t="inlineStr">
        <is>
          <t>A turn that changes nothing produces a line</t>
        </is>
      </c>
    </row>
    <row r="217">
      <c r="A217" s="8" t="inlineStr">
        <is>
          <t>AN-06</t>
        </is>
      </c>
      <c r="B217" s="8" t="inlineStr">
        <is>
          <t>F-08</t>
        </is>
      </c>
      <c r="C217" s="9" t="inlineStr">
        <is>
          <t>Length regression metric: scales with threads, not turns</t>
        </is>
      </c>
      <c r="D217" s="9" t="inlineStr">
        <is>
          <t>Turn metrics: latency, call count, tokens, model mix, per-stage timings</t>
        </is>
      </c>
    </row>
    <row r="218">
      <c r="A218" s="8" t="inlineStr">
        <is>
          <t>AN-07</t>
        </is>
      </c>
      <c r="B218" s="8" t="inlineStr">
        <is>
          <t>T-01</t>
        </is>
      </c>
      <c r="C218" s="9" t="inlineStr">
        <is>
          <t>Board projection with fixed arity per thread</t>
        </is>
      </c>
      <c r="D218" s="9" t="inlineStr">
        <is>
          <t>Thread entity with a stable id never derived from the label</t>
        </is>
      </c>
    </row>
    <row r="219">
      <c r="A219" s="8" t="inlineStr">
        <is>
          <t>AN-07</t>
        </is>
      </c>
      <c r="B219" s="8" t="inlineStr">
        <is>
          <t>LM-08</t>
        </is>
      </c>
      <c r="C219" s="9" t="inlineStr">
        <is>
          <t>Board projection with fixed arity per thread</t>
        </is>
      </c>
      <c r="D219" s="9" t="inlineStr">
        <is>
          <t>Deadline register with recomputed status</t>
        </is>
      </c>
    </row>
    <row r="220">
      <c r="A220" s="8" t="inlineStr">
        <is>
          <t>AN-08</t>
        </is>
      </c>
      <c r="B220" s="8" t="inlineStr">
        <is>
          <t>TH-01</t>
        </is>
      </c>
      <c r="C220" s="9" t="inlineStr">
        <is>
          <t>Case summary construction</t>
        </is>
      </c>
      <c r="D220" s="9" t="inlineStr">
        <is>
          <t>Theory entity</t>
        </is>
      </c>
    </row>
    <row r="221">
      <c r="A221" s="8" t="inlineStr">
        <is>
          <t>AN-08</t>
        </is>
      </c>
      <c r="B221" s="8" t="inlineStr">
        <is>
          <t>PF-01</t>
        </is>
      </c>
      <c r="C221" s="9" t="inlineStr">
        <is>
          <t>Case summary construction</t>
        </is>
      </c>
      <c r="D221" s="9" t="inlineStr">
        <is>
          <t>ProofPosition per element</t>
        </is>
      </c>
    </row>
    <row r="222">
      <c r="A222" s="8" t="inlineStr">
        <is>
          <t>AN-09</t>
        </is>
      </c>
      <c r="B222" s="8" t="inlineStr">
        <is>
          <t>AN-07</t>
        </is>
      </c>
      <c r="C222" s="9" t="inlineStr">
        <is>
          <t>Summary as single source; board and answer derive</t>
        </is>
      </c>
      <c r="D222" s="9" t="inlineStr">
        <is>
          <t>Board projection with fixed arity per thread</t>
        </is>
      </c>
    </row>
    <row r="223">
      <c r="A223" s="8" t="inlineStr">
        <is>
          <t>AN-09</t>
        </is>
      </c>
      <c r="B223" s="8" t="inlineStr">
        <is>
          <t>AN-08</t>
        </is>
      </c>
      <c r="C223" s="9" t="inlineStr">
        <is>
          <t>Summary as single source; board and answer derive</t>
        </is>
      </c>
      <c r="D223" s="9" t="inlineStr">
        <is>
          <t>Case summary construction</t>
        </is>
      </c>
    </row>
    <row r="224">
      <c r="A224" s="8" t="inlineStr">
        <is>
          <t>AN-10</t>
        </is>
      </c>
      <c r="B224" s="8" t="inlineStr">
        <is>
          <t>AN-08</t>
        </is>
      </c>
      <c r="C224" s="9" t="inlineStr">
        <is>
          <t>Summary reads as a case note, not a debug dump</t>
        </is>
      </c>
      <c r="D224" s="9" t="inlineStr">
        <is>
          <t>Case summary construction</t>
        </is>
      </c>
    </row>
    <row r="225">
      <c r="A225" s="8" t="inlineStr">
        <is>
          <t>AN-11</t>
        </is>
      </c>
      <c r="B225" s="8" t="inlineStr">
        <is>
          <t>V-01</t>
        </is>
      </c>
      <c r="C225" s="9" t="inlineStr">
        <is>
          <t>Inference labelling distinct from citation</t>
        </is>
      </c>
      <c r="D225" s="9" t="inlineStr">
        <is>
          <t>Finding contract type</t>
        </is>
      </c>
    </row>
    <row r="226">
      <c r="A226" s="8" t="inlineStr">
        <is>
          <t>AN-11</t>
        </is>
      </c>
      <c r="B226" s="8" t="inlineStr">
        <is>
          <t>AN-01</t>
        </is>
      </c>
      <c r="C226" s="9" t="inlineStr">
        <is>
          <t>Inference labelling distinct from citation</t>
        </is>
      </c>
      <c r="D226" s="9" t="inlineStr">
        <is>
          <t>Answer and Element types</t>
        </is>
      </c>
    </row>
    <row r="227">
      <c r="A227" s="8" t="inlineStr">
        <is>
          <t>DF-01</t>
        </is>
      </c>
      <c r="B227" s="8" t="inlineStr">
        <is>
          <t>AN-08</t>
        </is>
      </c>
      <c r="C227" s="9" t="inlineStr">
        <is>
          <t>DrafterBrief contract</t>
        </is>
      </c>
      <c r="D227" s="9" t="inlineStr">
        <is>
          <t>Case summary construction</t>
        </is>
      </c>
    </row>
    <row r="228">
      <c r="A228" s="8" t="inlineStr">
        <is>
          <t>DF-02</t>
        </is>
      </c>
      <c r="B228" s="8" t="inlineStr">
        <is>
          <t>DF-01</t>
        </is>
      </c>
      <c r="C228" s="9" t="inlineStr">
        <is>
          <t>Brief assembly from analysis</t>
        </is>
      </c>
      <c r="D228" s="9" t="inlineStr">
        <is>
          <t>DrafterBrief contract</t>
        </is>
      </c>
    </row>
    <row r="229">
      <c r="A229" s="8" t="inlineStr">
        <is>
          <t>DF-02</t>
        </is>
      </c>
      <c r="B229" s="8" t="inlineStr">
        <is>
          <t>TH-01</t>
        </is>
      </c>
      <c r="C229" s="9" t="inlineStr">
        <is>
          <t>Brief assembly from analysis</t>
        </is>
      </c>
      <c r="D229" s="9" t="inlineStr">
        <is>
          <t>Theory entity</t>
        </is>
      </c>
    </row>
    <row r="230">
      <c r="A230" s="8" t="inlineStr">
        <is>
          <t>DF-02</t>
        </is>
      </c>
      <c r="B230" s="8" t="inlineStr">
        <is>
          <t>PF-01</t>
        </is>
      </c>
      <c r="C230" s="9" t="inlineStr">
        <is>
          <t>Brief assembly from analysis</t>
        </is>
      </c>
      <c r="D230" s="9" t="inlineStr">
        <is>
          <t>ProofPosition per element</t>
        </is>
      </c>
    </row>
    <row r="231">
      <c r="A231" s="8" t="inlineStr">
        <is>
          <t>DF-03</t>
        </is>
      </c>
      <c r="B231" s="8" t="inlineStr">
        <is>
          <t>DF-01</t>
        </is>
      </c>
      <c r="C231" s="9" t="inlineStr">
        <is>
          <t>Drafting agent as a separate process that cannot retrieve</t>
        </is>
      </c>
      <c r="D231" s="9" t="inlineStr">
        <is>
          <t>DrafterBrief contract</t>
        </is>
      </c>
    </row>
    <row r="232">
      <c r="A232" s="8" t="inlineStr">
        <is>
          <t>DF-04</t>
        </is>
      </c>
      <c r="B232" s="8" t="inlineStr">
        <is>
          <t>DF-02</t>
        </is>
      </c>
      <c r="C232" s="9" t="inlineStr">
        <is>
          <t>Averment traceability to brief facts</t>
        </is>
      </c>
      <c r="D232" s="9" t="inlineStr">
        <is>
          <t>Brief assembly from analysis</t>
        </is>
      </c>
    </row>
    <row r="233">
      <c r="A233" s="8" t="inlineStr">
        <is>
          <t>DF-05</t>
        </is>
      </c>
      <c r="B233" s="8" t="inlineStr">
        <is>
          <t>DF-01</t>
        </is>
      </c>
      <c r="C233" s="9" t="inlineStr">
        <is>
          <t>Not-to-plead list travels with the brief</t>
        </is>
      </c>
      <c r="D233" s="9" t="inlineStr">
        <is>
          <t>DrafterBrief contract</t>
        </is>
      </c>
    </row>
    <row r="234">
      <c r="A234" s="8" t="inlineStr">
        <is>
          <t>DF-05</t>
        </is>
      </c>
      <c r="B234" s="8" t="inlineStr">
        <is>
          <t>SE-01</t>
        </is>
      </c>
      <c r="C234" s="9" t="inlineStr">
        <is>
          <t>Not-to-plead list travels with the brief</t>
        </is>
      </c>
      <c r="D234" s="9" t="inlineStr">
        <is>
          <t>Selection using the theory as criterion</t>
        </is>
      </c>
    </row>
    <row r="235">
      <c r="A235" s="8" t="inlineStr">
        <is>
          <t>DF-06</t>
        </is>
      </c>
      <c r="B235" s="8" t="inlineStr">
        <is>
          <t>DF-04</t>
        </is>
      </c>
      <c r="C235" s="9" t="inlineStr">
        <is>
          <t>Draft verified against its brief before it is shown</t>
        </is>
      </c>
      <c r="D235" s="9" t="inlineStr">
        <is>
          <t>Averment traceability to brief facts</t>
        </is>
      </c>
    </row>
    <row r="236">
      <c r="A236" s="8" t="inlineStr">
        <is>
          <t>DF-07</t>
        </is>
      </c>
      <c r="B236" s="8" t="inlineStr">
        <is>
          <t>DF-02</t>
        </is>
      </c>
      <c r="C236" s="9" t="inlineStr">
        <is>
          <t>Gaps marked as blanks, never filled</t>
        </is>
      </c>
      <c r="D236" s="9" t="inlineStr">
        <is>
          <t>Brief assembly from analysis</t>
        </is>
      </c>
    </row>
    <row r="237">
      <c r="A237" s="8" t="inlineStr">
        <is>
          <t>DF-08</t>
        </is>
      </c>
      <c r="B237" s="8" t="inlineStr">
        <is>
          <t>DF-02</t>
        </is>
      </c>
      <c r="C237" s="9" t="inlineStr">
        <is>
          <t>Drafter does not re-decide ranked reliefs or selected arguments</t>
        </is>
      </c>
      <c r="D237" s="9" t="inlineStr">
        <is>
          <t>Brief assembly from analysis</t>
        </is>
      </c>
    </row>
    <row r="238">
      <c r="A238" s="8" t="inlineStr">
        <is>
          <t>EN-01</t>
        </is>
      </c>
      <c r="B238" s="8" t="inlineStr">
        <is>
          <t>F-01</t>
        </is>
      </c>
      <c r="C238" s="9" t="inlineStr">
        <is>
          <t>Accounts and advocate identity</t>
        </is>
      </c>
      <c r="D238" s="9" t="inlineStr">
        <is>
          <t>Split the repo into core / ports / adapters / knowledge / edge / obs</t>
        </is>
      </c>
    </row>
    <row r="239">
      <c r="A239" s="8" t="inlineStr">
        <is>
          <t>EN-02</t>
        </is>
      </c>
      <c r="B239" s="8" t="inlineStr">
        <is>
          <t>EN-01</t>
        </is>
      </c>
      <c r="C239" s="9" t="inlineStr">
        <is>
          <t>Matter isolation and access control</t>
        </is>
      </c>
      <c r="D239" s="9" t="inlineStr">
        <is>
          <t>Accounts and advocate identity</t>
        </is>
      </c>
    </row>
    <row r="240">
      <c r="A240" s="8" t="inlineStr">
        <is>
          <t>EN-03</t>
        </is>
      </c>
      <c r="B240" s="8" t="inlineStr">
        <is>
          <t>EN-02</t>
        </is>
      </c>
      <c r="C240" s="9" t="inlineStr">
        <is>
          <t>Chambers grouping and controlled sharing</t>
        </is>
      </c>
      <c r="D240" s="9" t="inlineStr">
        <is>
          <t>Matter isolation and access control</t>
        </is>
      </c>
    </row>
    <row r="241">
      <c r="A241" s="8" t="inlineStr">
        <is>
          <t>EN-04</t>
        </is>
      </c>
      <c r="B241" s="8" t="inlineStr">
        <is>
          <t>EN-02</t>
        </is>
      </c>
      <c r="C241" s="9" t="inlineStr">
        <is>
          <t>Access audit</t>
        </is>
      </c>
      <c r="D241" s="9" t="inlineStr">
        <is>
          <t>Matter isolation and access control</t>
        </is>
      </c>
    </row>
    <row r="242">
      <c r="A242" s="8" t="inlineStr">
        <is>
          <t>EN-05</t>
        </is>
      </c>
      <c r="B242" s="8" t="inlineStr">
        <is>
          <t>EN-01</t>
        </is>
      </c>
      <c r="C242" s="9" t="inlineStr">
        <is>
          <t>Encryption at rest and in transit</t>
        </is>
      </c>
      <c r="D242" s="9" t="inlineStr">
        <is>
          <t>Accounts and advocate identity</t>
        </is>
      </c>
    </row>
    <row r="243">
      <c r="A243" s="8" t="inlineStr">
        <is>
          <t>EN-06</t>
        </is>
      </c>
      <c r="B243" s="8" t="inlineStr">
        <is>
          <t>EN-05</t>
        </is>
      </c>
      <c r="C243" s="9" t="inlineStr">
        <is>
          <t>Retention and deletion of client data</t>
        </is>
      </c>
      <c r="D243" s="9" t="inlineStr">
        <is>
          <t>Encryption at rest and in transit</t>
        </is>
      </c>
    </row>
    <row r="244">
      <c r="A244" s="8" t="inlineStr">
        <is>
          <t>EN-07</t>
        </is>
      </c>
      <c r="B244" s="8" t="inlineStr">
        <is>
          <t>EN-05</t>
        </is>
      </c>
      <c r="C244" s="9" t="inlineStr">
        <is>
          <t>Data residency for Indian legal data</t>
        </is>
      </c>
      <c r="D244" s="9" t="inlineStr">
        <is>
          <t>Encryption at rest and in transit</t>
        </is>
      </c>
    </row>
    <row r="245">
      <c r="A245" s="8" t="inlineStr">
        <is>
          <t>EN-08</t>
        </is>
      </c>
      <c r="B245" s="8" t="inlineStr">
        <is>
          <t>EN-06</t>
        </is>
      </c>
      <c r="C245" s="9" t="inlineStr">
        <is>
          <t>DPDP Act posture review</t>
        </is>
      </c>
      <c r="D245" s="9" t="inlineStr">
        <is>
          <t>Retention and deletion of client data</t>
        </is>
      </c>
    </row>
    <row r="246">
      <c r="A246" s="8" t="inlineStr">
        <is>
          <t>EN-09</t>
        </is>
      </c>
      <c r="B246" s="8" t="inlineStr">
        <is>
          <t>EN-02</t>
        </is>
      </c>
      <c r="C246" s="9" t="inlineStr">
        <is>
          <t>Per-matter document storage isolation</t>
        </is>
      </c>
      <c r="D246" s="9" t="inlineStr">
        <is>
          <t>Matter isolation and access control</t>
        </is>
      </c>
    </row>
    <row r="247">
      <c r="A247" s="8" t="inlineStr">
        <is>
          <t>EN-09</t>
        </is>
      </c>
      <c r="B247" s="8" t="inlineStr">
        <is>
          <t>DI-01</t>
        </is>
      </c>
      <c r="C247" s="9" t="inlineStr">
        <is>
          <t>Per-matter document storage isolation</t>
        </is>
      </c>
      <c r="D247" s="9" t="inlineStr">
        <is>
          <t>Upload: PDF, Word, images, scans</t>
        </is>
      </c>
    </row>
    <row r="248">
      <c r="A248" s="8" t="inlineStr">
        <is>
          <t>EN-10</t>
        </is>
      </c>
      <c r="B248" s="8" t="inlineStr">
        <is>
          <t>F-08</t>
        </is>
      </c>
      <c r="C248" s="9" t="inlineStr">
        <is>
          <t>PII handling in logs, metrics and diagnostics</t>
        </is>
      </c>
      <c r="D248" s="9" t="inlineStr">
        <is>
          <t>Turn metrics: latency, call count, tokens, model mix, per-stage timings</t>
        </is>
      </c>
    </row>
    <row r="249">
      <c r="A249" s="8" t="inlineStr">
        <is>
          <t>EN-11</t>
        </is>
      </c>
      <c r="B249" s="8" t="inlineStr">
        <is>
          <t>AN-11</t>
        </is>
      </c>
      <c r="C249" s="9" t="inlineStr">
        <is>
          <t>Provenance audit trail per statement</t>
        </is>
      </c>
      <c r="D249" s="9" t="inlineStr">
        <is>
          <t>Inference labelling distinct from citation</t>
        </is>
      </c>
    </row>
    <row r="250">
      <c r="A250" s="8" t="inlineStr">
        <is>
          <t>EN-11</t>
        </is>
      </c>
      <c r="B250" s="8" t="inlineStr">
        <is>
          <t>V-01</t>
        </is>
      </c>
      <c r="C250" s="9" t="inlineStr">
        <is>
          <t>Provenance audit trail per statement</t>
        </is>
      </c>
      <c r="D250" s="9" t="inlineStr">
        <is>
          <t>Finding contract type</t>
        </is>
      </c>
    </row>
    <row r="251">
      <c r="A251" s="8" t="inlineStr">
        <is>
          <t>EN-12</t>
        </is>
      </c>
      <c r="B251" s="8" t="inlineStr">
        <is>
          <t>EN-11</t>
        </is>
      </c>
      <c r="C251" s="9" t="inlineStr">
        <is>
          <t>Matter export with advice, citations and provenance</t>
        </is>
      </c>
      <c r="D251" s="9" t="inlineStr">
        <is>
          <t>Provenance audit trail per statement</t>
        </is>
      </c>
    </row>
    <row r="252">
      <c r="A252" s="8" t="inlineStr">
        <is>
          <t>EN-13</t>
        </is>
      </c>
      <c r="B252" s="8" t="inlineStr">
        <is>
          <t>EN-11</t>
        </is>
      </c>
      <c r="C252" s="9" t="inlineStr">
        <is>
          <t>Immutable turn history</t>
        </is>
      </c>
      <c r="D252" s="9" t="inlineStr">
        <is>
          <t>Provenance audit trail per statement</t>
        </is>
      </c>
    </row>
    <row r="253">
      <c r="A253" s="8" t="inlineStr">
        <is>
          <t>EN-14</t>
        </is>
      </c>
      <c r="B253" s="8" t="inlineStr">
        <is>
          <t>F-08</t>
        </is>
      </c>
      <c r="C253" s="9" t="inlineStr">
        <is>
          <t>SLOs and an error budget</t>
        </is>
      </c>
      <c r="D253" s="9" t="inlineStr">
        <is>
          <t>Turn metrics: latency, call count, tokens, model mix, per-stage timings</t>
        </is>
      </c>
    </row>
    <row r="254">
      <c r="A254" s="8" t="inlineStr">
        <is>
          <t>EN-15</t>
        </is>
      </c>
      <c r="B254" s="8" t="inlineStr">
        <is>
          <t>V-07</t>
        </is>
      </c>
      <c r="C254" s="9" t="inlineStr">
        <is>
          <t>Degradation modes: an adapter failure fails the need, not the turn</t>
        </is>
      </c>
      <c r="D254" s="9" t="inlineStr">
        <is>
          <t>Grounding gate wired to output blocking</t>
        </is>
      </c>
    </row>
    <row r="255">
      <c r="A255" s="8" t="inlineStr">
        <is>
          <t>EN-16</t>
        </is>
      </c>
      <c r="B255" s="8" t="inlineStr">
        <is>
          <t>F-08</t>
        </is>
      </c>
      <c r="C255" s="9" t="inlineStr">
        <is>
          <t>Observability, dashboards and alerting</t>
        </is>
      </c>
      <c r="D255" s="9" t="inlineStr">
        <is>
          <t>Turn metrics: latency, call count, tokens, model mix, per-stage timings</t>
        </is>
      </c>
    </row>
    <row r="256">
      <c r="A256" s="8" t="inlineStr">
        <is>
          <t>EN-17</t>
        </is>
      </c>
      <c r="B256" s="8" t="inlineStr">
        <is>
          <t>EN-05</t>
        </is>
      </c>
      <c r="C256" s="9" t="inlineStr">
        <is>
          <t>Backup and restore for matter store and corpus</t>
        </is>
      </c>
      <c r="D256" s="9" t="inlineStr">
        <is>
          <t>Encryption at rest and in transit</t>
        </is>
      </c>
    </row>
    <row r="257">
      <c r="A257" s="8" t="inlineStr">
        <is>
          <t>EN-18</t>
        </is>
      </c>
      <c r="B257" s="8" t="inlineStr">
        <is>
          <t>EN-14</t>
        </is>
      </c>
      <c r="C257" s="9" t="inlineStr">
        <is>
          <t>Load and capacity testing</t>
        </is>
      </c>
      <c r="D257" s="9" t="inlineStr">
        <is>
          <t>SLOs and an error budget</t>
        </is>
      </c>
    </row>
    <row r="258">
      <c r="A258" s="8" t="inlineStr">
        <is>
          <t>EN-19</t>
        </is>
      </c>
      <c r="B258" s="8" t="inlineStr">
        <is>
          <t>F-08</t>
        </is>
      </c>
      <c r="C258" s="9" t="inlineStr">
        <is>
          <t>Per-turn and per-matter cost attribution</t>
        </is>
      </c>
      <c r="D258" s="9" t="inlineStr">
        <is>
          <t>Turn metrics: latency, call count, tokens, model mix, per-stage timings</t>
        </is>
      </c>
    </row>
    <row r="259">
      <c r="A259" s="8" t="inlineStr">
        <is>
          <t>EN-20</t>
        </is>
      </c>
      <c r="B259" s="8" t="inlineStr">
        <is>
          <t>EN-19</t>
        </is>
      </c>
      <c r="C259" s="9" t="inlineStr">
        <is>
          <t>Budget guards and quota</t>
        </is>
      </c>
      <c r="D259" s="9" t="inlineStr">
        <is>
          <t>Per-turn and per-matter cost attribution</t>
        </is>
      </c>
    </row>
    <row r="260">
      <c r="A260" s="8" t="inlineStr">
        <is>
          <t>EN-21</t>
        </is>
      </c>
      <c r="B260" s="8" t="inlineStr">
        <is>
          <t>EN-19</t>
        </is>
      </c>
      <c r="C260" s="9" t="inlineStr">
        <is>
          <t>Cost regression gate in CI</t>
        </is>
      </c>
      <c r="D260" s="9" t="inlineStr">
        <is>
          <t>Per-turn and per-matter cost attribution</t>
        </is>
      </c>
    </row>
    <row r="261">
      <c r="A261" s="8" t="inlineStr">
        <is>
          <t>EN-21</t>
        </is>
      </c>
      <c r="B261" s="8" t="inlineStr">
        <is>
          <t>F-07</t>
        </is>
      </c>
      <c r="C261" s="9" t="inlineStr">
        <is>
          <t>Cost regression gate in CI</t>
        </is>
      </c>
      <c r="D261" s="9" t="inlineStr">
        <is>
          <t>Baseline record, seeded with the measurements already taken</t>
        </is>
      </c>
    </row>
    <row r="262">
      <c r="A262" s="8" t="inlineStr">
        <is>
          <t>EN-22</t>
        </is>
      </c>
      <c r="B262" s="8" t="inlineStr">
        <is>
          <t>I-07</t>
        </is>
      </c>
      <c r="C262" s="9" t="inlineStr">
        <is>
          <t>Staging environment with a corpus snapshot</t>
        </is>
      </c>
      <c r="D262" s="9" t="inlineStr">
        <is>
          <t>Artefact identity stamping on every derived store</t>
        </is>
      </c>
    </row>
    <row r="263">
      <c r="A263" s="8" t="inlineStr">
        <is>
          <t>EN-23</t>
        </is>
      </c>
      <c r="B263" s="8" t="inlineStr">
        <is>
          <t>EN-22</t>
        </is>
      </c>
      <c r="C263" s="9" t="inlineStr">
        <is>
          <t>Canary release and rollback</t>
        </is>
      </c>
      <c r="D263" s="9" t="inlineStr">
        <is>
          <t>Staging environment with a corpus snapshot</t>
        </is>
      </c>
    </row>
    <row r="264">
      <c r="A264" s="8" t="inlineStr">
        <is>
          <t>EN-24</t>
        </is>
      </c>
      <c r="B264" s="8" t="inlineStr">
        <is>
          <t>F-06</t>
        </is>
      </c>
      <c r="C264" s="9" t="inlineStr">
        <is>
          <t>Golden and e2e runs behind an explicit approval gate</t>
        </is>
      </c>
      <c r="D264" s="9" t="inlineStr">
        <is>
          <t>Class-D rubric harness using a judge model distinct from the answering model</t>
        </is>
      </c>
    </row>
    <row r="265">
      <c r="A265" s="8" t="inlineStr">
        <is>
          <t>EN-25</t>
        </is>
      </c>
      <c r="B265" s="8" t="inlineStr">
        <is>
          <t>F-09</t>
        </is>
      </c>
      <c r="C265" s="9" t="inlineStr">
        <is>
          <t>Release checklist tied to E7 statuses</t>
        </is>
      </c>
      <c r="D265" s="9" t="inlineStr">
        <is>
          <t>Status tracking: decided / built / tested / verified live</t>
        </is>
      </c>
    </row>
    <row r="266">
      <c r="A266" s="8" t="inlineStr">
        <is>
          <t>EN-27</t>
        </is>
      </c>
      <c r="B266" s="8" t="inlineStr">
        <is>
          <t>AN-07</t>
        </is>
      </c>
      <c r="C266" s="9" t="inlineStr">
        <is>
          <t>Onboarding and in-product guidance</t>
        </is>
      </c>
      <c r="D266" s="9" t="inlineStr">
        <is>
          <t>Board projection with fixed arity per thread</t>
        </is>
      </c>
    </row>
    <row r="267">
      <c r="A267" s="8" t="inlineStr">
        <is>
          <t>EN-28</t>
        </is>
      </c>
      <c r="B267" s="8" t="inlineStr">
        <is>
          <t>EN-16</t>
        </is>
      </c>
      <c r="C267" s="9" t="inlineStr">
        <is>
          <t>Support runbooks</t>
        </is>
      </c>
      <c r="D267" s="9" t="inlineStr">
        <is>
          <t>Observability, dashboards and alerting</t>
        </is>
      </c>
    </row>
    <row r="268">
      <c r="A268" s="8" t="inlineStr">
        <is>
          <t>EN-29</t>
        </is>
      </c>
      <c r="B268" s="8" t="inlineStr">
        <is>
          <t>EN-19</t>
        </is>
      </c>
      <c r="C268" s="9" t="inlineStr">
        <is>
          <t>Pricing and packaging decision</t>
        </is>
      </c>
      <c r="D268" s="9" t="inlineStr">
        <is>
          <t>Per-turn and per-matter cost attribution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cols>
    <col width="6" customWidth="1" min="1" max="1"/>
    <col width="11" customWidth="1" min="2" max="2"/>
    <col width="92" customWidth="1" min="3" max="3"/>
    <col width="10" customWidth="1" min="4" max="4"/>
    <col width="34" customWidth="1" min="5" max="5"/>
    <col width="11" customWidth="1" min="6" max="6"/>
  </cols>
  <sheetData>
    <row r="1">
      <c r="A1" s="5" t="inlineStr">
        <is>
          <t>#</t>
        </is>
      </c>
      <c r="B1" s="5" t="inlineStr">
        <is>
          <t>Date</t>
        </is>
      </c>
      <c r="C1" s="5" t="inlineStr">
        <is>
          <t>PRD decision</t>
        </is>
      </c>
      <c r="D1" s="5" t="inlineStr">
        <is>
          <t>Section</t>
        </is>
      </c>
      <c r="E1" s="5" t="inlineStr">
        <is>
          <t>Discharged by</t>
        </is>
      </c>
      <c r="F1" s="5" t="inlineStr">
        <is>
          <t>Status</t>
        </is>
      </c>
    </row>
    <row r="2">
      <c r="A2" s="10" t="n">
        <v>1</v>
      </c>
      <c r="B2" s="8" t="inlineStr">
        <is>
          <t>2026-08-26</t>
        </is>
      </c>
      <c r="C2" s="9" t="inlineStr">
        <is>
          <t>Advocate-only product; no direct-to-client mode</t>
        </is>
      </c>
      <c r="D2" s="8" t="inlineStr">
        <is>
          <t>D1</t>
        </is>
      </c>
      <c r="E2" s="9" t="inlineStr">
        <is>
          <t>TH-02,AD-04,EN-26</t>
        </is>
      </c>
      <c r="F2" s="8" t="inlineStr">
        <is>
          <t>built</t>
        </is>
      </c>
    </row>
    <row r="3">
      <c r="A3" s="10" t="n">
        <v>2</v>
      </c>
      <c r="B3" s="8" t="inlineStr">
        <is>
          <t>2026-08-26</t>
        </is>
      </c>
      <c r="C3" s="9" t="inlineStr">
        <is>
          <t>Corpus stays Telangana + Union of India; gaps disclosed, not filled from memory</t>
        </is>
      </c>
      <c r="D3" s="8" t="inlineStr">
        <is>
          <t>D3A</t>
        </is>
      </c>
      <c r="E3" s="9" t="inlineStr">
        <is>
          <t>I-03,M-02</t>
        </is>
      </c>
      <c r="F3" s="8" t="inlineStr">
        <is>
          <t>decided</t>
        </is>
      </c>
    </row>
    <row r="4">
      <c r="A4" s="10" t="n">
        <v>3</v>
      </c>
      <c r="B4" s="8" t="inlineStr">
        <is>
          <t>2026-08-26</t>
        </is>
      </c>
      <c r="C4" s="9" t="inlineStr">
        <is>
          <t>Launch areas: land &amp; revenue, matrimonial, bail</t>
        </is>
      </c>
      <c r="D4" s="8" t="inlineStr">
        <is>
          <t>D4</t>
        </is>
      </c>
      <c r="E4" s="9" t="inlineStr">
        <is>
          <t>M-02</t>
        </is>
      </c>
      <c r="F4" s="8" t="inlineStr">
        <is>
          <t>tested</t>
        </is>
      </c>
    </row>
    <row r="5">
      <c r="A5" s="10" t="n">
        <v>4</v>
      </c>
      <c r="B5" s="8" t="inlineStr">
        <is>
          <t>2026-08-26</t>
        </is>
      </c>
      <c r="C5" s="9" t="inlineStr">
        <is>
          <t>Order of work adopted (Part I §1); posture is step 1</t>
        </is>
      </c>
      <c r="D5" s="8" t="inlineStr">
        <is>
          <t>D7</t>
        </is>
      </c>
      <c r="E5" s="9" t="inlineStr">
        <is>
          <t>GQ-01</t>
        </is>
      </c>
      <c r="F5" s="8" t="inlineStr">
        <is>
          <t>tested</t>
        </is>
      </c>
    </row>
    <row r="6">
      <c r="A6" s="10" t="n">
        <v>5</v>
      </c>
      <c r="B6" s="8" t="inlineStr">
        <is>
          <t>2026-08-26</t>
        </is>
      </c>
      <c r="C6" s="9" t="inlineStr">
        <is>
          <t>Posture is per matter, not per client; unknown blocks directive advice</t>
        </is>
      </c>
      <c r="D6" s="8" t="inlineStr">
        <is>
          <t>D8</t>
        </is>
      </c>
      <c r="E6" s="9" t="inlineStr">
        <is>
          <t>PO-01,PO-02,PO-03,PO-04,PO-05</t>
        </is>
      </c>
      <c r="F6" s="8" t="inlineStr">
        <is>
          <t>tested</t>
        </is>
      </c>
    </row>
    <row r="7">
      <c r="A7" s="10" t="n">
        <v>6</v>
      </c>
      <c r="B7" s="8" t="inlineStr">
        <is>
          <t>2026-08-26</t>
        </is>
      </c>
      <c r="C7" s="9" t="inlineStr">
        <is>
          <t>Posture shown as a cause-title table, second element on the matter board</t>
        </is>
      </c>
      <c r="D7" s="8" t="inlineStr">
        <is>
          <t>D8</t>
        </is>
      </c>
      <c r="E7" s="9" t="inlineStr">
        <is>
          <t>PO-01,PO-02,PO-03,PO-04,PO-05</t>
        </is>
      </c>
      <c r="F7" s="8" t="inlineStr">
        <is>
          <t>tested</t>
        </is>
      </c>
    </row>
    <row r="8">
      <c r="A8" s="10" t="n">
        <v>7</v>
      </c>
      <c r="B8" s="8" t="inlineStr">
        <is>
          <t>2026-08-26</t>
        </is>
      </c>
      <c r="C8" s="9" t="inlineStr">
        <is>
          <t>Left pane default a third of the window, draggable to 40%</t>
        </is>
      </c>
      <c r="D8" s="8" t="inlineStr">
        <is>
          <t>D13A</t>
        </is>
      </c>
      <c r="E8" s="9" t="inlineStr">
        <is>
          <t>AN-01,AN-02,AN-03,AN-04,AN-05,AN-06,AN-07</t>
        </is>
      </c>
      <c r="F8" s="8" t="inlineStr">
        <is>
          <t>tested</t>
        </is>
      </c>
    </row>
    <row r="9">
      <c r="A9" s="10" t="n">
        <v>8</v>
      </c>
      <c r="B9" s="8" t="inlineStr">
        <is>
          <t>2026-08-26</t>
        </is>
      </c>
      <c r="C9" s="9" t="inlineStr">
        <is>
          <t>Enrichment monotonic and evidence-gated; a stated posture is never silently flipped</t>
        </is>
      </c>
      <c r="D9" s="8" t="inlineStr">
        <is>
          <t>D8</t>
        </is>
      </c>
      <c r="E9" s="9" t="inlineStr">
        <is>
          <t>PO-01,PO-02,PO-03,PO-04,PO-05</t>
        </is>
      </c>
      <c r="F9" s="8" t="inlineStr">
        <is>
          <t>tested</t>
        </is>
      </c>
    </row>
    <row r="10">
      <c r="A10" s="10" t="n">
        <v>9</v>
      </c>
      <c r="B10" s="8" t="inlineStr">
        <is>
          <t>2026-08-26</t>
        </is>
      </c>
      <c r="C10" s="9" t="inlineStr">
        <is>
          <t>No further code changes until a section here is finalised</t>
        </is>
      </c>
      <c r="D10" s="8" t="inlineStr">
        <is>
          <t>PROCESS</t>
        </is>
      </c>
      <c r="E10" s="20" t="inlineStr">
        <is>
          <t>n/a - working agreement, not a build item</t>
        </is>
      </c>
      <c r="F10" s="8" t="inlineStr">
        <is>
          <t>n/a</t>
        </is>
      </c>
    </row>
    <row r="11">
      <c r="A11" s="10" t="n">
        <v>10</v>
      </c>
      <c r="B11" s="8" t="inlineStr">
        <is>
          <t>2026-08-26</t>
        </is>
      </c>
      <c r="C11" s="9" t="inlineStr">
        <is>
          <t>NM is senior counsel, not a junior — critical thinker and problem solver; disagrees with the brief, reframes, volunteers, commits to a recommendation, argues the other side, names exposure</t>
        </is>
      </c>
      <c r="D11" s="8" t="inlineStr">
        <is>
          <t>D1</t>
        </is>
      </c>
      <c r="E11" s="9" t="inlineStr">
        <is>
          <t>TH-02,AD-04,EN-26</t>
        </is>
      </c>
      <c r="F11" s="8" t="inlineStr">
        <is>
          <t>built</t>
        </is>
      </c>
    </row>
    <row r="12">
      <c r="A12" s="10" t="n">
        <v>11</v>
      </c>
      <c r="B12" s="8" t="inlineStr">
        <is>
          <t>2026-08-26</t>
        </is>
      </c>
      <c r="C12" s="9" t="inlineStr">
        <is>
          <t>Expertise is in reasoning and judgement, never in recalling law from memory; the corpus-grounding discipline is unchanged</t>
        </is>
      </c>
      <c r="D12" s="8" t="inlineStr">
        <is>
          <t>D5</t>
        </is>
      </c>
      <c r="E12" s="9" t="inlineStr">
        <is>
          <t>V-06,V-07,AN-11,M-04</t>
        </is>
      </c>
      <c r="F12" s="8" t="inlineStr">
        <is>
          <t>tested</t>
        </is>
      </c>
    </row>
    <row r="13">
      <c r="A13" s="10" t="n">
        <v>12</v>
      </c>
      <c r="B13" s="8" t="inlineStr">
        <is>
          <t>2026-08-26</t>
        </is>
      </c>
      <c r="C13" s="9" t="inlineStr">
        <is>
          <t>Decisiveness is a requirement — a survey of options is not advice</t>
        </is>
      </c>
      <c r="D13" s="8" t="inlineStr">
        <is>
          <t>D2</t>
        </is>
      </c>
      <c r="E13" s="9" t="inlineStr">
        <is>
          <t>AN-02</t>
        </is>
      </c>
      <c r="F13" s="8" t="inlineStr">
        <is>
          <t>tested</t>
        </is>
      </c>
    </row>
    <row r="14">
      <c r="A14" s="10" t="n">
        <v>13</v>
      </c>
      <c r="B14" s="8" t="inlineStr">
        <is>
          <t>2026-08-26</t>
        </is>
      </c>
      <c r="C14" s="9" t="inlineStr">
        <is>
          <t>Product copy calling NM a "junior" must be changed</t>
        </is>
      </c>
      <c r="D14" s="8" t="inlineStr">
        <is>
          <t>D1</t>
        </is>
      </c>
      <c r="E14" s="9" t="inlineStr">
        <is>
          <t>TH-02,AD-04,EN-26</t>
        </is>
      </c>
      <c r="F14" s="8" t="inlineStr">
        <is>
          <t>built</t>
        </is>
      </c>
    </row>
    <row r="15">
      <c r="A15" s="10" t="n">
        <v>14</v>
      </c>
      <c r="B15" s="8" t="inlineStr">
        <is>
          <t>2026-08-26</t>
        </is>
      </c>
      <c r="C15" s="9" t="inlineStr">
        <is>
          <t>Authority is asymmetric: facts come from the brief and are never disputed; NM's value is positioning, building, arguing and anticipating opposing counsel</t>
        </is>
      </c>
      <c r="D15" s="8" t="inlineStr">
        <is>
          <t>D0A</t>
        </is>
      </c>
      <c r="E15" s="9" t="inlineStr">
        <is>
          <t>F-04,AN-03</t>
        </is>
      </c>
      <c r="F15" s="8" t="inlineStr">
        <is>
          <t>tested</t>
        </is>
      </c>
    </row>
    <row r="16">
      <c r="A16" s="10" t="n">
        <v>15</v>
      </c>
      <c r="B16" s="8" t="inlineStr">
        <is>
          <t>2026-08-26</t>
        </is>
      </c>
      <c r="C16" s="9" t="inlineStr">
        <is>
          <t>Exhaustive in spotting, selective in recommending (D2A); dropped points must be visible as "considered, not pursued" so selection is auditable</t>
        </is>
      </c>
      <c r="D16" s="8" t="inlineStr">
        <is>
          <t>D2A</t>
        </is>
      </c>
      <c r="E16" s="9" t="inlineStr">
        <is>
          <t>SE-01,SE-02,SE-03</t>
        </is>
      </c>
      <c r="F16" s="8" t="inlineStr">
        <is>
          <t>built</t>
        </is>
      </c>
    </row>
    <row r="17">
      <c r="A17" s="10" t="n">
        <v>16</v>
      </c>
      <c r="B17" s="8" t="inlineStr">
        <is>
          <t>2026-08-26</t>
        </is>
      </c>
      <c r="C17" s="9" t="inlineStr">
        <is>
          <t>Grounding split: propositions cited, inferences labelled — "everything grounded" without this forbids the reasoning NM exists to do</t>
        </is>
      </c>
      <c r="D17" s="8" t="inlineStr">
        <is>
          <t>D5</t>
        </is>
      </c>
      <c r="E17" s="9" t="inlineStr">
        <is>
          <t>V-06,V-07,AN-11,M-04</t>
        </is>
      </c>
      <c r="F17" s="8" t="inlineStr">
        <is>
          <t>tested</t>
        </is>
      </c>
    </row>
    <row r="18">
      <c r="A18" s="10" t="n">
        <v>17</v>
      </c>
      <c r="B18" s="8" t="inlineStr">
        <is>
          <t>2026-08-26</t>
        </is>
      </c>
      <c r="C18" s="9" t="inlineStr">
        <is>
          <t>Refusal is correct only where material is genuinely absent; a refusal on in-corpus material is a defect</t>
        </is>
      </c>
      <c r="D18" s="8" t="inlineStr">
        <is>
          <t>D5</t>
        </is>
      </c>
      <c r="E18" s="9" t="inlineStr">
        <is>
          <t>V-06,V-07,AN-11,M-04</t>
        </is>
      </c>
      <c r="F18" s="8" t="inlineStr">
        <is>
          <t>tested</t>
        </is>
      </c>
    </row>
    <row r="19">
      <c r="A19" s="10" t="n">
        <v>18</v>
      </c>
      <c r="B19" s="8" t="inlineStr">
        <is>
          <t>2026-08-26</t>
        </is>
      </c>
      <c r="C19" s="9" t="inlineStr">
        <is>
          <t>A corpus manifest is a prerequisite — NM cannot currently distinguish "not held" from "held and not retrieved"; both look like zero hits</t>
        </is>
      </c>
      <c r="D19" s="8" t="inlineStr">
        <is>
          <t>D5A</t>
        </is>
      </c>
      <c r="E19" s="9" t="inlineStr">
        <is>
          <t>M-01,M-02,M-03,M-04,M-06</t>
        </is>
      </c>
      <c r="F19" s="8" t="inlineStr">
        <is>
          <t>tested</t>
        </is>
      </c>
    </row>
    <row r="20">
      <c r="A20" s="10" t="n">
        <v>19</v>
      </c>
      <c r="B20" s="8" t="inlineStr">
        <is>
          <t>2026-08-26</t>
        </is>
      </c>
      <c r="C20" s="9" t="inlineStr">
        <is>
          <t>Retrieval is the substrate and is local/mechanical work; choosing WHICH provision governs is legal judgement, not lookup</t>
        </is>
      </c>
      <c r="D20" s="8" t="inlineStr">
        <is>
          <t>D9</t>
        </is>
      </c>
      <c r="E20" s="9" t="inlineStr">
        <is>
          <t>R-02,S-01</t>
        </is>
      </c>
      <c r="F20" s="8" t="inlineStr">
        <is>
          <t>tested</t>
        </is>
      </c>
    </row>
    <row r="21">
      <c r="A21" s="10" t="n">
        <v>20</v>
      </c>
      <c r="B21" s="8" t="inlineStr">
        <is>
          <t>2026-08-26</t>
        </is>
      </c>
      <c r="C21" s="9" t="inlineStr">
        <is>
          <t>NM's primary job is reading between the lines, strengthening the case, and pre-empting the opponent; retrieval cross-validates what the advocate asserted</t>
        </is>
      </c>
      <c r="D21" s="8" t="inlineStr">
        <is>
          <t>D9</t>
        </is>
      </c>
      <c r="E21" s="9" t="inlineStr">
        <is>
          <t>R-02,S-01</t>
        </is>
      </c>
      <c r="F21" s="8" t="inlineStr">
        <is>
          <t>tested</t>
        </is>
      </c>
    </row>
    <row r="22">
      <c r="A22" s="10" t="n">
        <v>21</v>
      </c>
      <c r="B22" s="8" t="inlineStr">
        <is>
          <t>2026-08-26</t>
        </is>
      </c>
      <c r="C22" s="9" t="inlineStr">
        <is>
          <t>Document intake is primary — PDF/Word/image/scan upload; analyse first, then ask only for what is missing</t>
        </is>
      </c>
      <c r="D22" s="8" t="inlineStr">
        <is>
          <t>D10</t>
        </is>
      </c>
      <c r="E22" s="9" t="inlineStr">
        <is>
          <t>DI-01,DI-02,DI-04,FA-02,FA-03,GQ-08</t>
        </is>
      </c>
      <c r="F22" s="8" t="inlineStr">
        <is>
          <t>tested</t>
        </is>
      </c>
    </row>
    <row r="23">
      <c r="A23" s="10" t="n">
        <v>22</v>
      </c>
      <c r="B23" s="8" t="inlineStr">
        <is>
          <t>2026-08-26</t>
        </is>
      </c>
      <c r="C23" s="9" t="inlineStr">
        <is>
          <t>Short questions with no documents must still be answered proportionately</t>
        </is>
      </c>
      <c r="D23" s="8" t="inlineStr">
        <is>
          <t>D10</t>
        </is>
      </c>
      <c r="E23" s="9" t="inlineStr">
        <is>
          <t>DI-01,DI-02,DI-04,FA-02,FA-03,GQ-08</t>
        </is>
      </c>
      <c r="F23" s="8" t="inlineStr">
        <is>
          <t>tested</t>
        </is>
      </c>
    </row>
    <row r="24">
      <c r="A24" s="10" t="n">
        <v>23</v>
      </c>
      <c r="B24" s="8" t="inlineStr">
        <is>
          <t>2026-08-26</t>
        </is>
      </c>
      <c r="C24" s="9" t="inlineStr">
        <is>
          <t>Mode (full brief vs quick question) is inferred and stated in one line so it can be corrected</t>
        </is>
      </c>
      <c r="D24" s="8" t="inlineStr">
        <is>
          <t>D10</t>
        </is>
      </c>
      <c r="E24" s="9" t="inlineStr">
        <is>
          <t>DI-01,DI-02,DI-04,FA-02,FA-03,GQ-08</t>
        </is>
      </c>
      <c r="F24" s="8" t="inlineStr">
        <is>
          <t>tested</t>
        </is>
      </c>
    </row>
    <row r="25">
      <c r="A25" s="10" t="n">
        <v>24</v>
      </c>
      <c r="B25" s="8" t="inlineStr">
        <is>
          <t>2026-08-26</t>
        </is>
      </c>
      <c r="C25" s="9" t="inlineStr">
        <is>
          <t>Document and advocate summary are two sources of truth; conflicts are surfaced, never silently resolved</t>
        </is>
      </c>
      <c r="D25" s="8" t="inlineStr">
        <is>
          <t>D10</t>
        </is>
      </c>
      <c r="E25" s="9" t="inlineStr">
        <is>
          <t>DI-01,DI-02,DI-04,FA-02,FA-03,GQ-08</t>
        </is>
      </c>
      <c r="F25" s="8" t="inlineStr">
        <is>
          <t>tested</t>
        </is>
      </c>
    </row>
    <row r="26">
      <c r="A26" s="10" t="n">
        <v>25</v>
      </c>
      <c r="B26" s="8" t="inlineStr">
        <is>
          <t>2026-08-26</t>
        </is>
      </c>
      <c r="C26" s="9" t="inlineStr">
        <is>
          <t>Extracted content is confirmed before use; gate on extraction confidence, not file type, and always confirm dates, amounts, names, roles</t>
        </is>
      </c>
      <c r="D26" s="8" t="inlineStr">
        <is>
          <t>D10</t>
        </is>
      </c>
      <c r="E26" s="9" t="inlineStr">
        <is>
          <t>DI-01,DI-02,DI-04,FA-02,FA-03,GQ-08</t>
        </is>
      </c>
      <c r="F26" s="8" t="inlineStr">
        <is>
          <t>tested</t>
        </is>
      </c>
    </row>
    <row r="27">
      <c r="A27" s="10" t="n">
        <v>26</v>
      </c>
      <c r="B27" s="8" t="inlineStr">
        <is>
          <t>2026-08-26</t>
        </is>
      </c>
      <c r="C27" s="9" t="inlineStr">
        <is>
          <t>On client-decision questions: alternatives + brief analysis + NM's own recommendation, then the client decides</t>
        </is>
      </c>
      <c r="D27" s="8" t="inlineStr">
        <is>
          <t>D11</t>
        </is>
      </c>
      <c r="E27" s="9" t="inlineStr">
        <is>
          <t>AN-02,SV-05</t>
        </is>
      </c>
      <c r="F27" s="8" t="inlineStr">
        <is>
          <t>built</t>
        </is>
      </c>
    </row>
    <row r="28">
      <c r="A28" s="10" t="n">
        <v>27</v>
      </c>
      <c r="B28" s="8" t="inlineStr">
        <is>
          <t>2026-08-26</t>
        </is>
      </c>
      <c r="C28" s="9" t="inlineStr">
        <is>
          <t>Drafting is a separate agent fed by NM's analysis — a safety boundary, since drafting errors get filed</t>
        </is>
      </c>
      <c r="D28" s="8" t="inlineStr">
        <is>
          <t>D12</t>
        </is>
      </c>
      <c r="E28" s="9" t="inlineStr">
        <is>
          <t>DF-01,DF-02,DF-03,DF-04,DF-05,DF-06,DF-07,DF-08</t>
        </is>
      </c>
      <c r="F28" s="8" t="inlineStr">
        <is>
          <t>built</t>
        </is>
      </c>
    </row>
    <row r="29">
      <c r="A29" s="10" t="n">
        <v>28</v>
      </c>
      <c r="B29" s="8" t="inlineStr">
        <is>
          <t>2026-08-26</t>
        </is>
      </c>
      <c r="C29" s="9" t="inlineStr">
        <is>
          <t>Disagreement ships with the fix in the same breath; disagree once, then drop it</t>
        </is>
      </c>
      <c r="D29" s="8" t="inlineStr">
        <is>
          <t>D13</t>
        </is>
      </c>
      <c r="E29" s="9" t="inlineStr">
        <is>
          <t>AD-04,GQ-10</t>
        </is>
      </c>
      <c r="F29" s="8" t="inlineStr">
        <is>
          <t>tested</t>
        </is>
      </c>
    </row>
    <row r="30">
      <c r="A30" s="10" t="n">
        <v>29</v>
      </c>
      <c r="B30" s="8" t="inlineStr">
        <is>
          <t>2026-08-26</t>
        </is>
      </c>
      <c r="C30" s="9" t="inlineStr">
        <is>
          <t>CORNERSTONE (D0): analyse toward the win, not toward a verdict. Every issue resolves into an action or is expressly closed; no adverse finding without the move that answers it</t>
        </is>
      </c>
      <c r="D30" s="8" t="inlineStr">
        <is>
          <t>D0</t>
        </is>
      </c>
      <c r="E30" s="9" t="inlineStr">
        <is>
          <t>SV-01,LM-07,PF-05</t>
        </is>
      </c>
      <c r="F30" s="8" t="inlineStr">
        <is>
          <t>tested</t>
        </is>
      </c>
    </row>
    <row r="31">
      <c r="A31" s="10" t="n">
        <v>30</v>
      </c>
      <c r="B31" s="8" t="inlineStr">
        <is>
          <t>2026-08-26</t>
        </is>
      </c>
      <c r="C31" s="9" t="inlineStr">
        <is>
          <t>Nothing enters the PRD without a testable rule — if the test cannot be stated, the behaviour is not understood well enough to require it</t>
        </is>
      </c>
      <c r="D31" s="8" t="inlineStr">
        <is>
          <t>D15</t>
        </is>
      </c>
      <c r="E31" s="9" t="inlineStr">
        <is>
          <t>F-02,F-03,C-04,S-06</t>
        </is>
      </c>
      <c r="F31" s="8" t="inlineStr">
        <is>
          <t>tested</t>
        </is>
      </c>
    </row>
    <row r="32">
      <c r="A32" s="10" t="n">
        <v>31</v>
      </c>
      <c r="B32" s="8" t="inlineStr">
        <is>
          <t>2026-08-26</t>
        </is>
      </c>
      <c r="C32" s="9" t="inlineStr">
        <is>
          <t>A weak case is the start of the work, not a conclusion; salvage is core, not a footnote</t>
        </is>
      </c>
      <c r="D32" s="8" t="inlineStr">
        <is>
          <t>D0</t>
        </is>
      </c>
      <c r="E32" s="9" t="inlineStr">
        <is>
          <t>SV-01,LM-07,PF-05</t>
        </is>
      </c>
      <c r="F32" s="8" t="inlineStr">
        <is>
          <t>tested</t>
        </is>
      </c>
    </row>
    <row r="33">
      <c r="A33" s="10" t="n">
        <v>32</v>
      </c>
      <c r="B33" s="8" t="inlineStr">
        <is>
          <t>2026-08-26</t>
        </is>
      </c>
      <c r="C33" s="9" t="inlineStr">
        <is>
          <t>Precedent taken up first among the analysis sections, because it already produces wrong output</t>
        </is>
      </c>
      <c r="D33" s="8" t="inlineStr">
        <is>
          <t>D14</t>
        </is>
      </c>
      <c r="E33" s="9" t="inlineStr">
        <is>
          <t>V-03,V-04,V-05,C-01,C-02,C-03,C-04,C-05,C-07,C-08,C-09</t>
        </is>
      </c>
      <c r="F33" s="8" t="inlineStr">
        <is>
          <t>built</t>
        </is>
      </c>
    </row>
    <row r="34">
      <c r="A34" s="10" t="n">
        <v>33</v>
      </c>
      <c r="B34" s="8" t="inlineStr">
        <is>
          <t>2026-08-26</t>
        </is>
      </c>
      <c r="C34" s="9" t="inlineStr">
        <is>
          <t>Authority is stated, not implied — every citation labelled binding or persuasive relative to THIS matter's forum</t>
        </is>
      </c>
      <c r="D34" s="8" t="inlineStr">
        <is>
          <t>D14</t>
        </is>
      </c>
      <c r="E34" s="9" t="inlineStr">
        <is>
          <t>V-03,V-04,V-05,C-01,C-02,C-03,C-04,C-05,C-07,C-08,C-09</t>
        </is>
      </c>
      <c r="F34" s="8" t="inlineStr">
        <is>
          <t>built</t>
        </is>
      </c>
    </row>
    <row r="35">
      <c r="A35" s="10" t="n">
        <v>34</v>
      </c>
      <c r="B35" s="8" t="inlineStr">
        <is>
          <t>2026-08-26</t>
        </is>
      </c>
      <c r="C35" s="9" t="inlineStr">
        <is>
          <t>Binding computed from court + year + forum: SC binds all; the state's HC binds within it; AP HC binds Telangana only up to the 2019 bifurcation; other HCs persuasive only</t>
        </is>
      </c>
      <c r="D35" s="8" t="inlineStr">
        <is>
          <t>D3A</t>
        </is>
      </c>
      <c r="E35" s="9" t="inlineStr">
        <is>
          <t>I-03,M-02</t>
        </is>
      </c>
      <c r="F35" s="8" t="inlineStr">
        <is>
          <t>decided</t>
        </is>
      </c>
    </row>
    <row r="36">
      <c r="A36" s="10" t="n">
        <v>35</v>
      </c>
      <c r="B36" s="8" t="inlineStr">
        <is>
          <t>2026-08-26</t>
        </is>
      </c>
      <c r="C36" s="9" t="inlineStr">
        <is>
          <t>Ranking and authority are separate questions — an on-point HC case may still outrank a tangential SC one; that does not make it binding</t>
        </is>
      </c>
      <c r="D36" s="8" t="inlineStr">
        <is>
          <t>D14</t>
        </is>
      </c>
      <c r="E36" s="9" t="inlineStr">
        <is>
          <t>V-03,V-04,V-05,C-01,C-02,C-03,C-04,C-05,C-07,C-08,C-09</t>
        </is>
      </c>
      <c r="F36" s="8" t="inlineStr">
        <is>
          <t>built</t>
        </is>
      </c>
    </row>
    <row r="37">
      <c r="A37" s="10" t="n">
        <v>36</v>
      </c>
      <c r="B37" s="8" t="inlineStr">
        <is>
          <t>2026-08-26</t>
        </is>
      </c>
      <c r="C37" s="9" t="inlineStr">
        <is>
          <t>Propositions may be attributed only to paragraphs classified ratio/reasoning/order — never counsel's recorded submissions</t>
        </is>
      </c>
      <c r="D37" s="8" t="inlineStr">
        <is>
          <t>D14</t>
        </is>
      </c>
      <c r="E37" s="9" t="inlineStr">
        <is>
          <t>V-03,V-04,V-05,C-01,C-02,C-03,C-04,C-05,C-07,C-08,C-09</t>
        </is>
      </c>
      <c r="F37" s="8" t="inlineStr">
        <is>
          <t>built</t>
        </is>
      </c>
    </row>
    <row r="38">
      <c r="A38" s="10" t="n">
        <v>37</v>
      </c>
      <c r="B38" s="8" t="inlineStr">
        <is>
          <t>2026-08-26</t>
        </is>
      </c>
      <c r="C38" s="9" t="inlineStr">
        <is>
          <t>Adverse treatment must be surfaced as "flagged for review", never as a verdict; the gate opens because the harms are asymmetric</t>
        </is>
      </c>
      <c r="D38" s="8" t="inlineStr">
        <is>
          <t>D0A</t>
        </is>
      </c>
      <c r="E38" s="9" t="inlineStr">
        <is>
          <t>F-04,AN-03</t>
        </is>
      </c>
      <c r="F38" s="8" t="inlineStr">
        <is>
          <t>tested</t>
        </is>
      </c>
    </row>
    <row r="39">
      <c r="A39" s="10" t="n">
        <v>38</v>
      </c>
      <c r="B39" s="8" t="inlineStr">
        <is>
          <t>2026-08-26</t>
        </is>
      </c>
      <c r="C39" s="9" t="inlineStr">
        <is>
          <t>Citator precision must be measured first — set aside/followed produce false positives; the display must state its own reliability</t>
        </is>
      </c>
      <c r="D39" s="8" t="inlineStr">
        <is>
          <t>D14</t>
        </is>
      </c>
      <c r="E39" s="9" t="inlineStr">
        <is>
          <t>V-03,V-04,V-05,C-01,C-02,C-03,C-04,C-05,C-07,C-08,C-09</t>
        </is>
      </c>
      <c r="F39" s="8" t="inlineStr">
        <is>
          <t>built</t>
        </is>
      </c>
    </row>
    <row r="40">
      <c r="A40" s="10" t="n">
        <v>39</v>
      </c>
      <c r="B40" s="8" t="inlineStr">
        <is>
          <t>2026-08-26</t>
        </is>
      </c>
      <c r="C40" s="9" t="inlineStr">
        <is>
          <t>Divergent authority on an issue is reported as divergent, with the resolution stated</t>
        </is>
      </c>
      <c r="D40" s="8" t="inlineStr">
        <is>
          <t>D14</t>
        </is>
      </c>
      <c r="E40" s="9" t="inlineStr">
        <is>
          <t>V-03,V-04,V-05,C-01,C-02,C-03,C-04,C-05,C-07,C-08,C-09</t>
        </is>
      </c>
      <c r="F40" s="8" t="inlineStr">
        <is>
          <t>built</t>
        </is>
      </c>
    </row>
    <row r="41">
      <c r="A41" s="10" t="n">
        <v>40</v>
      </c>
      <c r="B41" s="8" t="inlineStr">
        <is>
          <t>2026-08-26</t>
        </is>
      </c>
      <c r="C41" s="9" t="inlineStr">
        <is>
          <t>MEASURED: the corpus holds ZERO Telangana High Court judgments (29,511 SC + 4,280 AP HC 1954-2018). The binding court for the state since 2019 is entirely absent — a corpus gap outranking every ranking defect</t>
        </is>
      </c>
      <c r="D41" s="8" t="inlineStr">
        <is>
          <t>D3A</t>
        </is>
      </c>
      <c r="E41" s="9" t="inlineStr">
        <is>
          <t>I-03,M-02</t>
        </is>
      </c>
      <c r="F41" s="8" t="inlineStr">
        <is>
          <t>decided</t>
        </is>
      </c>
    </row>
    <row r="42">
      <c r="A42" s="10" t="n">
        <v>41</v>
      </c>
      <c r="B42" s="8" t="inlineStr">
        <is>
          <t>2026-08-26</t>
        </is>
      </c>
      <c r="C42" s="9" t="inlineStr">
        <is>
          <t>All 4,280 AP judgments held are pre-bifurcation, so C2 is satisfied by accident today; the rule must land BEFORE any post-2019 HC material is ingested</t>
        </is>
      </c>
      <c r="D42" s="8" t="inlineStr">
        <is>
          <t>D3A</t>
        </is>
      </c>
      <c r="E42" s="9" t="inlineStr">
        <is>
          <t>I-03,M-02</t>
        </is>
      </c>
      <c r="F42" s="8" t="inlineStr">
        <is>
          <t>decided</t>
        </is>
      </c>
    </row>
    <row r="43">
      <c r="A43" s="10" t="n">
        <v>42</v>
      </c>
      <c r="B43" s="8" t="inlineStr">
        <is>
          <t>2026-08-26</t>
        </is>
      </c>
      <c r="C43" s="9" t="inlineStr">
        <is>
          <t>MEASURED: only 44.4% of case paragraphs are safely attributable (reasoning/ratio/order); 14.8% are counsel's arguments, 26.7% unclassified</t>
        </is>
      </c>
      <c r="D43" s="8" t="inlineStr">
        <is>
          <t>D14</t>
        </is>
      </c>
      <c r="E43" s="9" t="inlineStr">
        <is>
          <t>V-03,V-04,V-05,C-01,C-02,C-03,C-04,C-05,C-07,C-08,C-09</t>
        </is>
      </c>
      <c r="F43" s="8" t="inlineStr">
        <is>
          <t>built</t>
        </is>
      </c>
    </row>
    <row r="44">
      <c r="A44" s="10" t="n">
        <v>43</v>
      </c>
      <c r="B44" s="8" t="inlineStr">
        <is>
          <t>2026-08-26</t>
        </is>
      </c>
      <c r="C44" s="9" t="inlineStr">
        <is>
          <t>unknown paragraphs may be quoted with status disclosed but may not carry a proposition alone</t>
        </is>
      </c>
      <c r="D44" s="8" t="inlineStr">
        <is>
          <t>D14A</t>
        </is>
      </c>
      <c r="E44" s="9" t="inlineStr">
        <is>
          <t>F-03,F-04,F-05,F-06,F-07,F-09,EN-24,EN-25</t>
        </is>
      </c>
      <c r="F44" s="8" t="inlineStr">
        <is>
          <t>built</t>
        </is>
      </c>
    </row>
    <row r="45">
      <c r="A45" s="10" t="n">
        <v>44</v>
      </c>
      <c r="B45" s="8" t="inlineStr">
        <is>
          <t>2026-08-26</t>
        </is>
      </c>
      <c r="C45" s="9" t="inlineStr">
        <is>
          <t>The treatment vocabulary is retired, not extended — a word list answers the wrong question; attribution, direction and scope are three unknowns a keyword collapses into one</t>
        </is>
      </c>
      <c r="D45" s="8" t="inlineStr">
        <is>
          <t>D13A</t>
        </is>
      </c>
      <c r="E45" s="9" t="inlineStr">
        <is>
          <t>AN-01,AN-02,AN-03,AN-04,AN-05,AN-06,AN-07</t>
        </is>
      </c>
      <c r="F45" s="8" t="inlineStr">
        <is>
          <t>tested</t>
        </is>
      </c>
    </row>
    <row r="46">
      <c r="A46" s="10" t="n">
        <v>45</v>
      </c>
      <c r="B46" s="8" t="inlineStr">
        <is>
          <t>2026-08-26</t>
        </is>
      </c>
      <c r="C46" s="9" t="inlineStr">
        <is>
          <t>Candidates come from citation structure (any paragraph naming a cited case — no vocabulary); the determination comes from reading the passage, returning relation + scope + verbatim span + confidence</t>
        </is>
      </c>
      <c r="D46" s="8" t="inlineStr">
        <is>
          <t>D14</t>
        </is>
      </c>
      <c r="E46" s="9" t="inlineStr">
        <is>
          <t>V-03,V-04,V-05,C-01,C-02,C-03,C-04,C-05,C-07,C-08,C-09</t>
        </is>
      </c>
      <c r="F46" s="8" t="inlineStr">
        <is>
          <t>built</t>
        </is>
      </c>
    </row>
    <row r="47">
      <c r="A47" s="10" t="n">
        <v>46</v>
      </c>
      <c r="B47" s="8" t="inlineStr">
        <is>
          <t>2026-08-26</t>
        </is>
      </c>
      <c r="C47" s="9" t="inlineStr">
        <is>
          <t>CORRECTED: cited_cases cannot be the recall net — populated on 1.5% of paragraphs while 19.3% visibly name a case; it misses 92.3% of citing paragraphs. A structured field is not automatically better than a word list</t>
        </is>
      </c>
      <c r="D47" s="8" t="inlineStr">
        <is>
          <t>D14</t>
        </is>
      </c>
      <c r="E47" s="9" t="inlineStr">
        <is>
          <t>V-03,V-04,V-05,C-01,C-02,C-03,C-04,C-05,C-07,C-08,C-09</t>
        </is>
      </c>
      <c r="F47" s="8" t="inlineStr">
        <is>
          <t>built</t>
        </is>
      </c>
    </row>
    <row r="48">
      <c r="A48" s="10" t="n">
        <v>47</v>
      </c>
      <c r="B48" s="8" t="inlineStr">
        <is>
          <t>2026-08-26</t>
        </is>
      </c>
      <c r="C48" s="9" t="inlineStr">
        <is>
          <t>A candidate set is a measured quantity, never an assumed one — the recall net's own recall must be measured against a hand-checked sample before it is trusted</t>
        </is>
      </c>
      <c r="D48" s="8" t="inlineStr">
        <is>
          <t>D14</t>
        </is>
      </c>
      <c r="E48" s="9" t="inlineStr">
        <is>
          <t>V-03,V-04,V-05,C-01,C-02,C-03,C-04,C-05,C-07,C-08,C-09</t>
        </is>
      </c>
      <c r="F48" s="8" t="inlineStr">
        <is>
          <t>built</t>
        </is>
      </c>
    </row>
    <row r="49">
      <c r="A49" s="10" t="n">
        <v>48</v>
      </c>
      <c r="B49" s="8" t="inlineStr">
        <is>
          <t>2026-08-26</t>
        </is>
      </c>
      <c r="C49" s="9" t="inlineStr">
        <is>
          <t>Corrected scale: the candidate pass is ~200,000 paragraphs, not ~20,000 — still bounded and affordable, but an order of magnitude larger; 19.3% is a floor (short-form references uncounted)</t>
        </is>
      </c>
      <c r="D49" s="8" t="inlineStr">
        <is>
          <t>D14</t>
        </is>
      </c>
      <c r="E49" s="9" t="inlineStr">
        <is>
          <t>V-03,V-04,V-05,C-01,C-02,C-03,C-04,C-05,C-07,C-08,C-09</t>
        </is>
      </c>
      <c r="F49" s="8" t="inlineStr">
        <is>
          <t>built</t>
        </is>
      </c>
    </row>
    <row r="50">
      <c r="A50" s="10" t="n">
        <v>49</v>
      </c>
      <c r="B50" s="8" t="inlineStr">
        <is>
          <t>2026-08-26</t>
        </is>
      </c>
      <c r="C50" s="9" t="inlineStr">
        <is>
          <t>Treatment is an edge with a scope, not a label on a case; over-flagging destroys usable authority and is its own wrong answer under D0</t>
        </is>
      </c>
      <c r="D50" s="8" t="inlineStr">
        <is>
          <t>D13A</t>
        </is>
      </c>
      <c r="E50" s="9" t="inlineStr">
        <is>
          <t>AN-01,AN-02,AN-03,AN-04,AN-05,AN-06,AN-07</t>
        </is>
      </c>
      <c r="F50" s="8" t="inlineStr">
        <is>
          <t>tested</t>
        </is>
      </c>
    </row>
    <row r="51">
      <c r="A51" s="10" t="n">
        <v>50</v>
      </c>
      <c r="B51" s="8" t="inlineStr">
        <is>
          <t>2026-08-26</t>
        </is>
      </c>
      <c r="C51" s="9" t="inlineStr">
        <is>
          <t>Precomputation is an optimisation; the answer-time check on the 5-10 cases actually cited is the guarantee</t>
        </is>
      </c>
      <c r="D51" s="8" t="inlineStr">
        <is>
          <t>D13A</t>
        </is>
      </c>
      <c r="E51" s="9" t="inlineStr">
        <is>
          <t>AN-01,AN-02,AN-03,AN-04,AN-05,AN-06,AN-07</t>
        </is>
      </c>
      <c r="F51" s="8" t="inlineStr">
        <is>
          <t>tested</t>
        </is>
      </c>
    </row>
    <row r="52">
      <c r="A52" s="10" t="n">
        <v>51</v>
      </c>
      <c r="B52" s="8" t="inlineStr">
        <is>
          <t>2026-08-26</t>
        </is>
      </c>
      <c r="C52" s="9" t="inlineStr">
        <is>
          <t>The flag reads "checked against the corpus, which is not exhaustive" — never "good law"</t>
        </is>
      </c>
      <c r="D52" s="8" t="inlineStr">
        <is>
          <t>D14</t>
        </is>
      </c>
      <c r="E52" s="9" t="inlineStr">
        <is>
          <t>V-03,V-04,V-05,C-01,C-02,C-03,C-04,C-05,C-07,C-08,C-09</t>
        </is>
      </c>
      <c r="F52" s="8" t="inlineStr">
        <is>
          <t>built</t>
        </is>
      </c>
    </row>
    <row r="53">
      <c r="A53" s="10" t="n">
        <v>52</v>
      </c>
      <c r="B53" s="8" t="inlineStr">
        <is>
          <t>2026-08-26</t>
        </is>
      </c>
      <c r="C53" s="9" t="inlineStr">
        <is>
          <t>Corpus holds ZERO Telangana High Court judgments — the binding HC for the jurisdiction since 2019. Decided: ingest from 1 Jan 2019 onward; this ranks AHEAD of any precedent-ranking refinement</t>
        </is>
      </c>
      <c r="D53" s="8" t="inlineStr">
        <is>
          <t>D3A</t>
        </is>
      </c>
      <c r="E53" s="9" t="inlineStr">
        <is>
          <t>I-03,M-02</t>
        </is>
      </c>
      <c r="F53" s="8" t="inlineStr">
        <is>
          <t>decided</t>
        </is>
      </c>
    </row>
    <row r="54">
      <c r="A54" s="10" t="n">
        <v>53</v>
      </c>
      <c r="B54" s="8" t="inlineStr">
        <is>
          <t>2026-08-26</t>
        </is>
      </c>
      <c r="C54" s="9" t="inlineStr">
        <is>
          <t>Corpus coverage is stated per court with its date range; a jurisdiction whose binding court is unrepresented is not a supported jurisdiction</t>
        </is>
      </c>
      <c r="D54" s="8" t="inlineStr">
        <is>
          <t>D3A</t>
        </is>
      </c>
      <c r="E54" s="9" t="inlineStr">
        <is>
          <t>I-03,M-02</t>
        </is>
      </c>
      <c r="F54" s="8" t="inlineStr">
        <is>
          <t>decided</t>
        </is>
      </c>
    </row>
    <row r="55">
      <c r="A55" s="10" t="n">
        <v>54</v>
      </c>
      <c r="B55" s="8" t="inlineStr">
        <is>
          <t>2026-08-26</t>
        </is>
      </c>
      <c r="C55" s="9" t="inlineStr">
        <is>
          <t>Gold sets are sampled from the corpus and hand-vetted, never authored — an authored set tests only what the author already thought of</t>
        </is>
      </c>
      <c r="D55" s="8" t="inlineStr">
        <is>
          <t>D14</t>
        </is>
      </c>
      <c r="E55" s="9" t="inlineStr">
        <is>
          <t>V-03,V-04,V-05,C-01,C-02,C-03,C-04,C-05,C-07,C-08,C-09</t>
        </is>
      </c>
      <c r="F55" s="8" t="inlineStr">
        <is>
          <t>built</t>
        </is>
      </c>
    </row>
    <row r="56">
      <c r="A56" s="10" t="n">
        <v>55</v>
      </c>
      <c r="B56" s="8" t="inlineStr">
        <is>
          <t>2026-08-26</t>
        </is>
      </c>
      <c r="C56" s="9" t="inlineStr">
        <is>
          <t>Gold-set provenance is recorded (method, seed, size, vetter); a measurement from a composed set may not be reported as a measurement</t>
        </is>
      </c>
      <c r="D56" s="8" t="inlineStr">
        <is>
          <t>D14</t>
        </is>
      </c>
      <c r="E56" s="9" t="inlineStr">
        <is>
          <t>V-03,V-04,V-05,C-01,C-02,C-03,C-04,C-05,C-07,C-08,C-09</t>
        </is>
      </c>
      <c r="F56" s="8" t="inlineStr">
        <is>
          <t>built</t>
        </is>
      </c>
    </row>
    <row r="57">
      <c r="A57" s="10" t="n">
        <v>56</v>
      </c>
      <c r="B57" s="8" t="inlineStr">
        <is>
          <t>2026-08-26</t>
        </is>
      </c>
      <c r="C57" s="9" t="inlineStr">
        <is>
          <t>No fixed latency or cost ceiling — best achievable speed and cost while HOLDING first-rate advocate quality. Quality is the constraint, speed/cost the objective</t>
        </is>
      </c>
      <c r="D57" s="8" t="inlineStr">
        <is>
          <t>D2B</t>
        </is>
      </c>
      <c r="E57" s="9" t="inlineStr">
        <is>
          <t>F-07,F-08,EN-19,EN-21</t>
        </is>
      </c>
      <c r="F57" s="8" t="inlineStr">
        <is>
          <t>built</t>
        </is>
      </c>
    </row>
    <row r="58">
      <c r="A58" s="10" t="n">
        <v>57</v>
      </c>
      <c r="B58" s="8" t="inlineStr">
        <is>
          <t>2026-08-26</t>
        </is>
      </c>
      <c r="C58" s="9" t="inlineStr">
        <is>
          <t>Because there is no ceiling, instrumentation is obligatory: every turn records latency, call count, token cost, model mix. Added cost must show the quality it bought or it is a regression</t>
        </is>
      </c>
      <c r="D58" s="8" t="inlineStr">
        <is>
          <t>D2B</t>
        </is>
      </c>
      <c r="E58" s="9" t="inlineStr">
        <is>
          <t>F-07,F-08,EN-19,EN-21</t>
        </is>
      </c>
      <c r="F58" s="8" t="inlineStr">
        <is>
          <t>built</t>
        </is>
      </c>
    </row>
    <row r="59">
      <c r="A59" s="10" t="n">
        <v>58</v>
      </c>
      <c r="B59" s="8" t="inlineStr">
        <is>
          <t>2026-08-26</t>
        </is>
      </c>
      <c r="C59" s="9" t="inlineStr">
        <is>
          <t>Corpus stays SC + AP HC (pre-2019) + Telangana HC (2019 onward). Other High Courts stay out until their absence is measured to cost real answers</t>
        </is>
      </c>
      <c r="D59" s="8" t="inlineStr">
        <is>
          <t>D3A</t>
        </is>
      </c>
      <c r="E59" s="9" t="inlineStr">
        <is>
          <t>I-03,M-02</t>
        </is>
      </c>
      <c r="F59" s="8" t="inlineStr">
        <is>
          <t>decided</t>
        </is>
      </c>
    </row>
    <row r="60">
      <c r="A60" s="10" t="n">
        <v>59</v>
      </c>
      <c r="B60" s="8" t="inlineStr">
        <is>
          <t>2026-08-26</t>
        </is>
      </c>
      <c r="C60" s="9" t="inlineStr">
        <is>
          <t>D7C: the adversarial pass runs CROSS-FILE, after per-thread work — opposing counsel attacks the file's weakest point, not thread by thread; cross-thread exposure is invisible to a per-thread pass</t>
        </is>
      </c>
      <c r="D60" s="8" t="inlineStr">
        <is>
          <t>D7C</t>
        </is>
      </c>
      <c r="E60" s="9" t="inlineStr">
        <is>
          <t>AD-01,AD-02,AD-03,AD-04</t>
        </is>
      </c>
      <c r="F60" s="8" t="inlineStr">
        <is>
          <t>built</t>
        </is>
      </c>
    </row>
    <row r="61">
      <c r="A61" s="10" t="n">
        <v>60</v>
      </c>
      <c r="B61" s="8" t="inlineStr">
        <is>
          <t>2026-08-26</t>
        </is>
      </c>
      <c r="C61" s="9" t="inlineStr">
        <is>
          <t>Every recommended step must state the principal counter and our response; the opposing case is stated at its strongest, never as a straw version</t>
        </is>
      </c>
      <c r="D61" s="8" t="inlineStr">
        <is>
          <t>D7C</t>
        </is>
      </c>
      <c r="E61" s="9" t="inlineStr">
        <is>
          <t>AD-01,AD-02,AD-03,AD-04</t>
        </is>
      </c>
      <c r="F61" s="8" t="inlineStr">
        <is>
          <t>built</t>
        </is>
      </c>
    </row>
    <row r="62">
      <c r="A62" s="10" t="n">
        <v>61</v>
      </c>
      <c r="B62" s="8" t="inlineStr">
        <is>
          <t>2026-08-26</t>
        </is>
      </c>
      <c r="C62" s="9" t="inlineStr">
        <is>
          <t>D7's sequence is a PRE-FILING checklist and does not by itself produce winning; D7C is the step that does</t>
        </is>
      </c>
      <c r="D62" s="8" t="inlineStr">
        <is>
          <t>D7</t>
        </is>
      </c>
      <c r="E62" s="9" t="inlineStr">
        <is>
          <t>GQ-01</t>
        </is>
      </c>
      <c r="F62" s="8" t="inlineStr">
        <is>
          <t>tested</t>
        </is>
      </c>
    </row>
    <row r="63">
      <c r="A63" s="10" t="n">
        <v>62</v>
      </c>
      <c r="B63" s="8" t="inlineStr">
        <is>
          <t>2026-08-26</t>
        </is>
      </c>
      <c r="C63" s="9" t="inlineStr">
        <is>
          <t>The 26.7% unknown paragraphs are classified in a one-time pass (~271k cheap-model calls), not managed around; interim rule is quote-with-status-disclosed</t>
        </is>
      </c>
      <c r="D63" s="8" t="inlineStr">
        <is>
          <t>D10</t>
        </is>
      </c>
      <c r="E63" s="9" t="inlineStr">
        <is>
          <t>DI-01,DI-02,DI-04,FA-02,FA-03,GQ-08</t>
        </is>
      </c>
      <c r="F63" s="8" t="inlineStr">
        <is>
          <t>tested</t>
        </is>
      </c>
    </row>
    <row r="64">
      <c r="A64" s="10" t="n">
        <v>63</v>
      </c>
      <c r="B64" s="8" t="inlineStr">
        <is>
          <t>2026-08-26</t>
        </is>
      </c>
      <c r="C64" s="9" t="inlineStr">
        <is>
          <t>D10A: threads get STABLE IDS; labels become aliases, not keys. Document intake turns D8's accepted label-matching fragility into a defect of the posture class</t>
        </is>
      </c>
      <c r="D64" s="8" t="inlineStr">
        <is>
          <t>D8</t>
        </is>
      </c>
      <c r="E64" s="9" t="inlineStr">
        <is>
          <t>PO-01,PO-02,PO-03,PO-04,PO-05</t>
        </is>
      </c>
      <c r="F64" s="8" t="inlineStr">
        <is>
          <t>tested</t>
        </is>
      </c>
    </row>
    <row r="65">
      <c r="A65" s="10" t="n">
        <v>64</v>
      </c>
      <c r="B65" s="8" t="inlineStr">
        <is>
          <t>2026-08-26</t>
        </is>
      </c>
      <c r="C65" s="9" t="inlineStr">
        <is>
          <t>Thread identity resolves on cause-title facts (parties, proceeding, forum, decisive identifiers) — label similarity is never sufficient on its own</t>
        </is>
      </c>
      <c r="D65" s="8" t="inlineStr">
        <is>
          <t>D9A</t>
        </is>
      </c>
      <c r="E65" s="9" t="inlineStr">
        <is>
          <t>R-01,R-02,S-01,S-02,V-01,V-06,C-06,X-03,X-04,S-04</t>
        </is>
      </c>
      <c r="F65" s="8" t="inlineStr">
        <is>
          <t>built</t>
        </is>
      </c>
    </row>
    <row r="66">
      <c r="A66" s="10" t="n">
        <v>65</v>
      </c>
      <c r="B66" s="8" t="inlineStr">
        <is>
          <t>2026-08-26</t>
        </is>
      </c>
      <c r="C66" s="9" t="inlineStr">
        <is>
          <t>Merging is asymmetric with splitting: a wrong split costs duplicated analysis, a wrong merge inverts the advice invisibly. Default is separate; merge only on a decisive identifier or confirmation, and report it</t>
        </is>
      </c>
      <c r="D66" s="8" t="inlineStr">
        <is>
          <t>D0A</t>
        </is>
      </c>
      <c r="E66" s="9" t="inlineStr">
        <is>
          <t>F-04,AN-03</t>
        </is>
      </c>
      <c r="F66" s="8" t="inlineStr">
        <is>
          <t>tested</t>
        </is>
      </c>
    </row>
    <row r="67">
      <c r="A67" s="10" t="n">
        <v>66</v>
      </c>
      <c r="B67" s="8" t="inlineStr">
        <is>
          <t>2026-08-26</t>
        </is>
      </c>
      <c r="C67" s="9" t="inlineStr">
        <is>
          <t>A document whose thread cannot be resolved contributes no facts — it never defaults to the first or largest thread</t>
        </is>
      </c>
      <c r="D67" s="8" t="inlineStr">
        <is>
          <t>D10A</t>
        </is>
      </c>
      <c r="E67" s="9" t="inlineStr">
        <is>
          <t>T-01,T-02,T-03,T-04,T-05,DI-05</t>
        </is>
      </c>
      <c r="F67" s="8" t="inlineStr">
        <is>
          <t>tested</t>
        </is>
      </c>
    </row>
    <row r="68">
      <c r="A68" s="10" t="n">
        <v>67</v>
      </c>
      <c r="B68" s="8" t="inlineStr">
        <is>
          <t>2026-08-26</t>
        </is>
      </c>
      <c r="C68" s="9" t="inlineStr">
        <is>
          <t>D7A: every thread has exactly ONE case theory, in one sentence — the theme, the factual account, the legal theory, the relief</t>
        </is>
      </c>
      <c r="D68" s="8" t="inlineStr">
        <is>
          <t>D7A</t>
        </is>
      </c>
      <c r="E68" s="9" t="inlineStr">
        <is>
          <t>TH-01,TH-02,TH-04,TH-05,TH-06,TH-07,TH-08</t>
        </is>
      </c>
      <c r="F68" s="8" t="inlineStr">
        <is>
          <t>built</t>
        </is>
      </c>
    </row>
    <row r="69">
      <c r="A69" s="10" t="n">
        <v>68</v>
      </c>
      <c r="B69" s="8" t="inlineStr">
        <is>
          <t>2026-08-26</t>
        </is>
      </c>
      <c r="C69" s="9" t="inlineStr">
        <is>
          <t>A defending party's theory must be affirmative; "we deny" / "they have not proved it" is not a theory unless expressly reasoned as the chosen strategy</t>
        </is>
      </c>
      <c r="D69" s="8" t="inlineStr">
        <is>
          <t>D7A</t>
        </is>
      </c>
      <c r="E69" s="9" t="inlineStr">
        <is>
          <t>TH-01,TH-02,TH-04,TH-05,TH-06,TH-07,TH-08</t>
        </is>
      </c>
      <c r="F69" s="8" t="inlineStr">
        <is>
          <t>built</t>
        </is>
      </c>
    </row>
    <row r="70">
      <c r="A70" s="10" t="n">
        <v>69</v>
      </c>
      <c r="B70" s="8" t="inlineStr">
        <is>
          <t>2026-08-26</t>
        </is>
      </c>
      <c r="C70" s="9" t="inlineStr">
        <is>
          <t>The theory must explain or expressly concede every material adverse fact — a theory that needs facts forgotten is a hope</t>
        </is>
      </c>
      <c r="D70" s="8" t="inlineStr">
        <is>
          <t>D7A</t>
        </is>
      </c>
      <c r="E70" s="9" t="inlineStr">
        <is>
          <t>TH-01,TH-02,TH-04,TH-05,TH-06,TH-07,TH-08</t>
        </is>
      </c>
      <c r="F70" s="8" t="inlineStr">
        <is>
          <t>built</t>
        </is>
      </c>
    </row>
    <row r="71">
      <c r="A71" s="10" t="n">
        <v>70</v>
      </c>
      <c r="B71" s="8" t="inlineStr">
        <is>
          <t>2026-08-26</t>
        </is>
      </c>
      <c r="C71" s="9" t="inlineStr">
        <is>
          <t>Case theory is the selection criterion, closing D2A — an argument runs if it advances the theory, however sound it is in law</t>
        </is>
      </c>
      <c r="D71" s="8" t="inlineStr">
        <is>
          <t>D7A</t>
        </is>
      </c>
      <c r="E71" s="9" t="inlineStr">
        <is>
          <t>TH-01,TH-02,TH-04,TH-05,TH-06,TH-07,TH-08</t>
        </is>
      </c>
      <c r="F71" s="8" t="inlineStr">
        <is>
          <t>built</t>
        </is>
      </c>
    </row>
    <row r="72">
      <c r="A72" s="10" t="n">
        <v>71</v>
      </c>
      <c r="B72" s="8" t="inlineStr">
        <is>
          <t>2026-08-26</t>
        </is>
      </c>
      <c r="C72" s="9" t="inlineStr">
        <is>
          <t>Two arguments requiring inconsistent factual accounts may not both be run — a failure NM actively produces today and nothing else in this document catches</t>
        </is>
      </c>
      <c r="D72" s="8" t="inlineStr">
        <is>
          <t>D7A</t>
        </is>
      </c>
      <c r="E72" s="9" t="inlineStr">
        <is>
          <t>TH-01,TH-02,TH-04,TH-05,TH-06,TH-07,TH-08</t>
        </is>
      </c>
      <c r="F72" s="8" t="inlineStr">
        <is>
          <t>built</t>
        </is>
      </c>
    </row>
    <row r="73">
      <c r="A73" s="10" t="n">
        <v>72</v>
      </c>
      <c r="B73" s="8" t="inlineStr">
        <is>
          <t>2026-08-26</t>
        </is>
      </c>
      <c r="C73" s="9" t="inlineStr">
        <is>
          <t>Theory revision is allowed; silent revision is not — a changed theory is announced with the fact that changed it and its effect on prior advice</t>
        </is>
      </c>
      <c r="D73" s="8" t="inlineStr">
        <is>
          <t>D7A</t>
        </is>
      </c>
      <c r="E73" s="9" t="inlineStr">
        <is>
          <t>TH-01,TH-02,TH-04,TH-05,TH-06,TH-07,TH-08</t>
        </is>
      </c>
      <c r="F73" s="8" t="inlineStr">
        <is>
          <t>built</t>
        </is>
      </c>
    </row>
    <row r="74">
      <c r="A74" s="10" t="n">
        <v>73</v>
      </c>
      <c r="B74" s="8" t="inlineStr">
        <is>
          <t>2026-08-26</t>
        </is>
      </c>
      <c r="C74" s="9" t="inlineStr">
        <is>
          <t>Nothing is recommended before the theory is stated; the theory is what D12 hands to the drafting agent</t>
        </is>
      </c>
      <c r="D74" s="8" t="inlineStr">
        <is>
          <t>D12</t>
        </is>
      </c>
      <c r="E74" s="9" t="inlineStr">
        <is>
          <t>DF-01,DF-02,DF-03,DF-04,DF-05,DF-06,DF-07,DF-08</t>
        </is>
      </c>
      <c r="F74" s="8" t="inlineStr">
        <is>
          <t>built</t>
        </is>
      </c>
    </row>
    <row r="75">
      <c r="A75" s="10" t="n">
        <v>74</v>
      </c>
      <c r="B75" s="8" t="inlineStr">
        <is>
          <t>2026-08-26</t>
        </is>
      </c>
      <c r="C75" s="9" t="inlineStr">
        <is>
          <t>D0A: when two errors are asymmetric, default to the LOUD one — even when it is more often wrong. A silent error compounds; a noisy one costs a glance. Names a principle already load-bearing in D5, D8, D10, D10A and D14</t>
        </is>
      </c>
      <c r="D75" s="8" t="inlineStr">
        <is>
          <t>D0A</t>
        </is>
      </c>
      <c r="E75" s="9" t="inlineStr">
        <is>
          <t>F-04,AN-03</t>
        </is>
      </c>
      <c r="F75" s="8" t="inlineStr">
        <is>
          <t>tested</t>
        </is>
      </c>
    </row>
    <row r="76">
      <c r="A76" s="10" t="n">
        <v>75</v>
      </c>
      <c r="B76" s="8" t="inlineStr">
        <is>
          <t>2026-08-26</t>
        </is>
      </c>
      <c r="C76" s="9" t="inlineStr">
        <is>
          <t>Bound on D0A: applies only where the silent error is materially consequential, and the noise must be specific and actionable — a general disclaimer is silence in more words</t>
        </is>
      </c>
      <c r="D76" s="8" t="inlineStr">
        <is>
          <t>D0A</t>
        </is>
      </c>
      <c r="E76" s="9" t="inlineStr">
        <is>
          <t>F-04,AN-03</t>
        </is>
      </c>
      <c r="F76" s="8" t="inlineStr">
        <is>
          <t>tested</t>
        </is>
      </c>
    </row>
    <row r="77">
      <c r="A77" s="10" t="n">
        <v>76</v>
      </c>
      <c r="B77" s="8" t="inlineStr">
        <is>
          <t>2026-08-26</t>
        </is>
      </c>
      <c r="C77" s="9" t="inlineStr">
        <is>
          <t>Flag rate is measured; if the advocate dismisses most flags, the flags are miscalibrated, not the advocate</t>
        </is>
      </c>
      <c r="D77" s="8" t="inlineStr">
        <is>
          <t>D0A</t>
        </is>
      </c>
      <c r="E77" s="9" t="inlineStr">
        <is>
          <t>F-04,AN-03</t>
        </is>
      </c>
      <c r="F77" s="8" t="inlineStr">
        <is>
          <t>tested</t>
        </is>
      </c>
    </row>
    <row r="78">
      <c r="A78" s="10" t="n">
        <v>77</v>
      </c>
      <c r="B78" s="8" t="inlineStr">
        <is>
          <t>2026-08-26</t>
        </is>
      </c>
      <c r="C78" s="9" t="inlineStr">
        <is>
          <t>D7B: every element carries who must prove it, to what standard, and with what material; each resolves to held / obtainable / absent</t>
        </is>
      </c>
      <c r="D78" s="8" t="inlineStr">
        <is>
          <t>D13A</t>
        </is>
      </c>
      <c r="E78" s="9" t="inlineStr">
        <is>
          <t>AN-01,AN-02,AN-03,AN-04,AN-05,AN-06,AN-07</t>
        </is>
      </c>
      <c r="F78" s="8" t="inlineStr">
        <is>
          <t>tested</t>
        </is>
      </c>
    </row>
    <row r="79">
      <c r="A79" s="10" t="n">
        <v>78</v>
      </c>
      <c r="B79" s="8" t="inlineStr">
        <is>
          <t>2026-08-26</t>
        </is>
      </c>
      <c r="C79" s="9" t="inlineStr">
        <is>
          <t>Existence is not admissibility — electronic-records certificate, originals vs copies, pleading and production stage, a competent witness</t>
        </is>
      </c>
      <c r="D79" s="8" t="inlineStr">
        <is>
          <t>D7B</t>
        </is>
      </c>
      <c r="E79" s="9" t="inlineStr">
        <is>
          <t>PF-01,PF-03,PF-04,PF-06,PF-07,PF-08</t>
        </is>
      </c>
      <c r="F79" s="8" t="inlineStr">
        <is>
          <t>built</t>
        </is>
      </c>
    </row>
    <row r="80">
      <c r="A80" s="10" t="n">
        <v>79</v>
      </c>
      <c r="B80" s="8" t="inlineStr">
        <is>
          <t>2026-08-26</t>
        </is>
      </c>
      <c r="C80" s="9" t="inlineStr">
        <is>
          <t>A proof gap resolves into the material that would close it, or an express finding that nothing can</t>
        </is>
      </c>
      <c r="D80" s="8" t="inlineStr">
        <is>
          <t>D7B</t>
        </is>
      </c>
      <c r="E80" s="9" t="inlineStr">
        <is>
          <t>PF-01,PF-03,PF-04,PF-06,PF-07,PF-08</t>
        </is>
      </c>
      <c r="F80" s="8" t="inlineStr">
        <is>
          <t>built</t>
        </is>
      </c>
    </row>
    <row r="81">
      <c r="A81" s="10" t="n">
        <v>80</v>
      </c>
      <c r="B81" s="8" t="inlineStr">
        <is>
          <t>2026-08-26</t>
        </is>
      </c>
      <c r="C81" s="9" t="inlineStr">
        <is>
          <t>P5: NM reasons about proof, never about honesty — a credibility judgement is OUTSIDE NM's competence under D1, not merely impolite. The generalised fix is the frame, not a politeness layer</t>
        </is>
      </c>
      <c r="D81" s="8" t="inlineStr">
        <is>
          <t>D7B</t>
        </is>
      </c>
      <c r="E81" s="9" t="inlineStr">
        <is>
          <t>PF-01,PF-03,PF-04,PF-06,PF-07,PF-08</t>
        </is>
      </c>
      <c r="F81" s="8" t="inlineStr">
        <is>
          <t>built</t>
        </is>
      </c>
    </row>
    <row r="82">
      <c r="A82" s="10" t="n">
        <v>81</v>
      </c>
      <c r="B82" s="8" t="inlineStr">
        <is>
          <t>2026-08-26</t>
        </is>
      </c>
      <c r="C82" s="9" t="inlineStr">
        <is>
          <t>NM speaks to the advocate, so "your client is lying" is misdirected as well as tactless; the same information belongs as what the court will do with the record</t>
        </is>
      </c>
      <c r="D82" s="8" t="inlineStr">
        <is>
          <t>D7B</t>
        </is>
      </c>
      <c r="E82" s="9" t="inlineStr">
        <is>
          <t>PF-01,PF-03,PF-04,PF-06,PF-07,PF-08</t>
        </is>
      </c>
      <c r="F82" s="8" t="inlineStr">
        <is>
          <t>built</t>
        </is>
      </c>
    </row>
    <row r="83">
      <c r="A83" s="10" t="n">
        <v>82</v>
      </c>
      <c r="B83" s="8" t="inlineStr">
        <is>
          <t>2026-08-26</t>
        </is>
      </c>
      <c r="C83" s="9" t="inlineStr">
        <is>
          <t>Contradictions between instruction and document are surfaced at full strength, converted into a proof problem, and given routes</t>
        </is>
      </c>
      <c r="D83" s="8" t="inlineStr">
        <is>
          <t>D7B</t>
        </is>
      </c>
      <c r="E83" s="9" t="inlineStr">
        <is>
          <t>PF-01,PF-03,PF-04,PF-06,PF-07,PF-08</t>
        </is>
      </c>
      <c r="F83" s="8" t="inlineStr">
        <is>
          <t>built</t>
        </is>
      </c>
    </row>
    <row r="84">
      <c r="A84" s="10" t="n">
        <v>83</v>
      </c>
      <c r="B84" s="8" t="inlineStr">
        <is>
          <t>2026-08-26</t>
        </is>
      </c>
      <c r="C84" s="9" t="inlineStr">
        <is>
          <t>Missing material is requested with open questions, never leading ones; the reason given is operational (a withheld fact arrives from the other side at the worst moment), never moral</t>
        </is>
      </c>
      <c r="D84" s="8" t="inlineStr">
        <is>
          <t>D7B</t>
        </is>
      </c>
      <c r="E84" s="9" t="inlineStr">
        <is>
          <t>PF-01,PF-03,PF-04,PF-06,PF-07,PF-08</t>
        </is>
      </c>
      <c r="F84" s="8" t="inlineStr">
        <is>
          <t>built</t>
        </is>
      </c>
    </row>
    <row r="85">
      <c r="A85" s="10" t="n">
        <v>84</v>
      </c>
      <c r="B85" s="8" t="inlineStr">
        <is>
          <t>2026-08-26</t>
        </is>
      </c>
      <c r="C85" s="9" t="inlineStr">
        <is>
          <t>The careful register is instrumentally necessary — a client pushed into defence stops volunteering, and the product depends on facts arriving over turns</t>
        </is>
      </c>
      <c r="D85" s="8" t="inlineStr">
        <is>
          <t>D7B</t>
        </is>
      </c>
      <c r="E85" s="9" t="inlineStr">
        <is>
          <t>PF-01,PF-03,PF-04,PF-06,PF-07,PF-08</t>
        </is>
      </c>
      <c r="F85" s="8" t="inlineStr">
        <is>
          <t>built</t>
        </is>
      </c>
    </row>
    <row r="86">
      <c r="A86" s="10" t="n">
        <v>85</v>
      </c>
      <c r="B86" s="8" t="inlineStr">
        <is>
          <t>2026-08-26</t>
        </is>
      </c>
      <c r="C86" s="9" t="inlineStr">
        <is>
          <t>Limit on P5: soften the attribution, never the finding. D1's duty to name exposure plainly is unchanged; measured by comparing language for adverse findings against the client vs against the opponent</t>
        </is>
      </c>
      <c r="D86" s="8" t="inlineStr">
        <is>
          <t>D7B</t>
        </is>
      </c>
      <c r="E86" s="9" t="inlineStr">
        <is>
          <t>PF-01,PF-03,PF-04,PF-06,PF-07,PF-08</t>
        </is>
      </c>
      <c r="F86" s="8" t="inlineStr">
        <is>
          <t>built</t>
        </is>
      </c>
    </row>
    <row r="87">
      <c r="A87" s="10" t="n">
        <v>86</v>
      </c>
      <c r="B87" s="8" t="inlineStr">
        <is>
          <t>2026-08-27</t>
        </is>
      </c>
      <c r="C87" s="9" t="inlineStr">
        <is>
          <t>D13A/S1: THREE surfaces. Matter board = STATUS only (matter, our client is, against whom, forum, stage, next deadline). Case summary = the worked position. Chat = what changed and what to do</t>
        </is>
      </c>
      <c r="D87" s="8" t="inlineStr">
        <is>
          <t>D7D</t>
        </is>
      </c>
      <c r="E87" s="9" t="inlineStr">
        <is>
          <t>LM-01,LM-03,LM-04,LM-05,LM-06,LM-07,LM-08,LM-09</t>
        </is>
      </c>
      <c r="F87" s="8" t="inlineStr">
        <is>
          <t>tested</t>
        </is>
      </c>
    </row>
    <row r="88">
      <c r="A88" s="10" t="n">
        <v>87</v>
      </c>
      <c r="B88" s="8" t="inlineStr">
        <is>
          <t>2026-08-27</t>
        </is>
      </c>
      <c r="C88" s="9" t="inlineStr">
        <is>
          <t>The matter board is not an analysis board — no theory, no proof gaps, no reasoning. It is the set of handles for deciding what to open. Detail lives in the chat window and the summary</t>
        </is>
      </c>
      <c r="D88" s="8" t="inlineStr">
        <is>
          <t>D7B</t>
        </is>
      </c>
      <c r="E88" s="9" t="inlineStr">
        <is>
          <t>PF-01,PF-03,PF-04,PF-06,PF-07,PF-08</t>
        </is>
      </c>
      <c r="F88" s="8" t="inlineStr">
        <is>
          <t>built</t>
        </is>
      </c>
    </row>
    <row r="89">
      <c r="A89" s="10" t="n">
        <v>88</v>
      </c>
      <c r="B89" s="8" t="inlineStr">
        <is>
          <t>2026-08-27</t>
        </is>
      </c>
      <c r="C89" s="9" t="inlineStr">
        <is>
          <t>MEASURED: the board today carries facts(8) + issues(10) + open_items(10) — up to 28 analysis lines growing with the conversation. That is the board being rejected</t>
        </is>
      </c>
      <c r="D89" s="8" t="inlineStr">
        <is>
          <t>D13A</t>
        </is>
      </c>
      <c r="E89" s="9" t="inlineStr">
        <is>
          <t>AN-01,AN-02,AN-03,AN-04,AN-05,AN-06,AN-07</t>
        </is>
      </c>
      <c r="F89" s="8" t="inlineStr">
        <is>
          <t>tested</t>
        </is>
      </c>
    </row>
    <row r="90">
      <c r="A90" s="10" t="n">
        <v>89</v>
      </c>
      <c r="B90" s="8" t="inlineStr">
        <is>
          <t>2026-08-27</t>
        </is>
      </c>
      <c r="C90" s="9" t="inlineStr">
        <is>
          <t>The answer recites neither the board nor the summary; a self-repeating answer teaches the advocate to skim, which is how a hard-won flag gets missed</t>
        </is>
      </c>
      <c r="D90" s="8" t="inlineStr">
        <is>
          <t>D13A</t>
        </is>
      </c>
      <c r="E90" s="9" t="inlineStr">
        <is>
          <t>AN-01,AN-02,AN-03,AN-04,AN-05,AN-06,AN-07</t>
        </is>
      </c>
      <c r="F90" s="8" t="inlineStr">
        <is>
          <t>tested</t>
        </is>
      </c>
    </row>
    <row r="91">
      <c r="A91" s="10" t="n">
        <v>90</v>
      </c>
      <c r="B91" s="8" t="inlineStr">
        <is>
          <t>2026-08-27</t>
        </is>
      </c>
      <c r="C91" s="9" t="inlineStr">
        <is>
          <t>S2: length bounded by content, not a word count. Every element must be an action, a finding that changes an action, a question that blocks one, or the ground for one of those. Everything else is cut</t>
        </is>
      </c>
      <c r="D91" s="8" t="inlineStr">
        <is>
          <t>D13A</t>
        </is>
      </c>
      <c r="E91" s="9" t="inlineStr">
        <is>
          <t>AN-01,AN-02,AN-03,AN-04,AN-05,AN-06,AN-07</t>
        </is>
      </c>
      <c r="F91" s="8" t="inlineStr">
        <is>
          <t>tested</t>
        </is>
      </c>
    </row>
    <row r="92">
      <c r="A92" s="10" t="n">
        <v>91</v>
      </c>
      <c r="B92" s="8" t="inlineStr">
        <is>
          <t>2026-08-27</t>
        </is>
      </c>
      <c r="C92" s="9" t="inlineStr">
        <is>
          <t>S3: the first content element is an action — never background. A blocking question displaces it and the recommendation is withheld for that thread</t>
        </is>
      </c>
      <c r="D92" s="8" t="inlineStr">
        <is>
          <t>D10A</t>
        </is>
      </c>
      <c r="E92" s="9" t="inlineStr">
        <is>
          <t>AN-02</t>
        </is>
      </c>
      <c r="F92" s="8" t="inlineStr">
        <is>
          <t>tested</t>
        </is>
      </c>
    </row>
    <row r="93">
      <c r="A93" s="10" t="n">
        <v>92</v>
      </c>
      <c r="B93" s="8" t="inlineStr">
        <is>
          <t>2026-08-27</t>
        </is>
      </c>
      <c r="C93" s="9" t="inlineStr">
        <is>
          <t>S4: organised by thread; cross-thread exposure appears once, at the end</t>
        </is>
      </c>
      <c r="D93" s="8" t="inlineStr">
        <is>
          <t>D7C</t>
        </is>
      </c>
      <c r="E93" s="9" t="inlineStr">
        <is>
          <t>AN-02,AD-04</t>
        </is>
      </c>
      <c r="F93" s="8" t="inlineStr">
        <is>
          <t>tested</t>
        </is>
      </c>
    </row>
    <row r="94">
      <c r="A94" s="10" t="n">
        <v>93</v>
      </c>
      <c r="B94" s="8" t="inlineStr">
        <is>
          <t>2026-08-27</t>
        </is>
      </c>
      <c r="C94" s="9" t="inlineStr">
        <is>
          <t>S5: progressive disclosure may never hide a D0A-class signal — limitation bar, treatment flag, unresolved posture, instruction/document contradiction, cross-thread exposure</t>
        </is>
      </c>
      <c r="D94" s="8" t="inlineStr">
        <is>
          <t>D7C</t>
        </is>
      </c>
      <c r="E94" s="9" t="inlineStr">
        <is>
          <t>AN-03</t>
        </is>
      </c>
      <c r="F94" s="8" t="inlineStr">
        <is>
          <t>tested</t>
        </is>
      </c>
    </row>
    <row r="95">
      <c r="A95" s="10" t="n">
        <v>94</v>
      </c>
      <c r="B95" s="8" t="inlineStr">
        <is>
          <t>2026-08-27</t>
        </is>
      </c>
      <c r="C95" s="9" t="inlineStr">
        <is>
          <t>S6: shape scales with mode — a short question gets an answer, not the full apparatus</t>
        </is>
      </c>
      <c r="D95" s="8" t="inlineStr">
        <is>
          <t>D10</t>
        </is>
      </c>
      <c r="E95" s="9" t="inlineStr">
        <is>
          <t>DI-01,DI-02,DI-04,FA-02,FA-03,GQ-08</t>
        </is>
      </c>
      <c r="F95" s="8" t="inlineStr">
        <is>
          <t>tested</t>
        </is>
      </c>
    </row>
    <row r="96">
      <c r="A96" s="10" t="n">
        <v>95</v>
      </c>
      <c r="B96" s="8" t="inlineStr">
        <is>
          <t>2026-08-27</t>
        </is>
      </c>
      <c r="C96" s="9" t="inlineStr">
        <is>
          <t>S7: a turn that changes nothing says so in a line rather than re-running the analysis</t>
        </is>
      </c>
      <c r="D96" s="8" t="inlineStr">
        <is>
          <t>D13A</t>
        </is>
      </c>
      <c r="E96" s="9" t="inlineStr">
        <is>
          <t>AN-01,AN-02,AN-03,AN-04,AN-05,AN-06,AN-07</t>
        </is>
      </c>
      <c r="F96" s="8" t="inlineStr">
        <is>
          <t>tested</t>
        </is>
      </c>
    </row>
    <row r="97">
      <c r="A97" s="10" t="n">
        <v>96</v>
      </c>
      <c r="B97" s="8" t="inlineStr">
        <is>
          <t>2026-08-27</t>
        </is>
      </c>
      <c r="C97" s="9" t="inlineStr">
        <is>
          <t>Regression metric: answer length must scale with live threads and open questions, not with turn number</t>
        </is>
      </c>
      <c r="D97" s="8" t="inlineStr">
        <is>
          <t>D10A</t>
        </is>
      </c>
      <c r="E97" s="9" t="inlineStr">
        <is>
          <t>T-01,T-02,T-03,T-04,T-05,DI-05</t>
        </is>
      </c>
      <c r="F97" s="8" t="inlineStr">
        <is>
          <t>tested</t>
        </is>
      </c>
    </row>
    <row r="98">
      <c r="A98" s="10" t="n">
        <v>97</v>
      </c>
      <c r="B98" s="8" t="inlineStr">
        <is>
          <t>2026-08-27</t>
        </is>
      </c>
      <c r="C98" s="9" t="inlineStr">
        <is>
          <t>S8: the board is bounded by CONSTRUCTION — fixed arity per thread, state not history, overwritten never appended. Board length is a function of thread count alone</t>
        </is>
      </c>
      <c r="D98" s="8" t="inlineStr">
        <is>
          <t>D10A</t>
        </is>
      </c>
      <c r="E98" s="9" t="inlineStr">
        <is>
          <t>AN-07</t>
        </is>
      </c>
      <c r="F98" s="8" t="inlineStr">
        <is>
          <t>tested</t>
        </is>
      </c>
    </row>
    <row r="99">
      <c r="A99" s="10" t="n">
        <v>98</v>
      </c>
      <c r="B99" s="8" t="inlineStr">
        <is>
          <t>2026-08-27</t>
        </is>
      </c>
      <c r="C99" s="9" t="inlineStr">
        <is>
          <t>Board test: a line that is a conclusion, a reason, or a piece of reasoning does not belong on it</t>
        </is>
      </c>
      <c r="D99" s="8" t="inlineStr">
        <is>
          <t>D13A</t>
        </is>
      </c>
      <c r="E99" s="9" t="inlineStr">
        <is>
          <t>AN-01,AN-02,AN-03,AN-04,AN-05,AN-06,AN-07</t>
        </is>
      </c>
      <c r="F99" s="8" t="inlineStr">
        <is>
          <t>tested</t>
        </is>
      </c>
    </row>
    <row r="100">
      <c r="A100" s="10" t="n">
        <v>99</v>
      </c>
      <c r="B100" s="8" t="inlineStr">
        <is>
          <t>2026-08-27</t>
        </is>
      </c>
      <c r="C100" s="9" t="inlineStr">
        <is>
          <t>P5 limit confirmed and hardened: do not accuse the client; state the facts plainly and strongly, exactly as they are</t>
        </is>
      </c>
      <c r="D100" s="8" t="inlineStr">
        <is>
          <t>D7B</t>
        </is>
      </c>
      <c r="E100" s="9" t="inlineStr">
        <is>
          <t>PF-01,PF-03,PF-04,PF-06,PF-07,PF-08</t>
        </is>
      </c>
      <c r="F100" s="8" t="inlineStr">
        <is>
          <t>built</t>
        </is>
      </c>
    </row>
    <row r="101">
      <c r="A101" s="10" t="n">
        <v>100</v>
      </c>
      <c r="B101" s="8" t="inlineStr">
        <is>
          <t>2026-08-27</t>
        </is>
      </c>
      <c r="C101" s="9" t="inlineStr">
        <is>
          <t>The drift runs ONE way — a model told to be careful will also soften the weakness, hedge the adverse finding and bury the exposure. P5 constrains what NM may assert about a PERSON; it is never licence to go quiet on a weakness</t>
        </is>
      </c>
      <c r="D101" s="8" t="inlineStr">
        <is>
          <t>D10</t>
        </is>
      </c>
      <c r="E101" s="9" t="inlineStr">
        <is>
          <t>DI-01,DI-02,DI-04,FA-02,FA-03,GQ-08</t>
        </is>
      </c>
      <c r="F101" s="8" t="inlineStr">
        <is>
          <t>tested</t>
        </is>
      </c>
    </row>
    <row r="102">
      <c r="A102" s="10" t="n">
        <v>101</v>
      </c>
      <c r="B102" s="8" t="inlineStr">
        <is>
          <t>2026-08-27</t>
        </is>
      </c>
      <c r="C102" s="9" t="inlineStr">
        <is>
          <t>D7D/L1-L3: a date chart per thread BEFORE any opinion; every entry carries its source and is marked documented or asserted; an undated event is recorded undated, never estimated</t>
        </is>
      </c>
      <c r="D102" s="8" t="inlineStr">
        <is>
          <t>D7D</t>
        </is>
      </c>
      <c r="E102" s="9" t="inlineStr">
        <is>
          <t>LM-01,LM-03,LM-04,LM-05,LM-06,LM-07,LM-08,LM-09</t>
        </is>
      </c>
      <c r="F102" s="8" t="inlineStr">
        <is>
          <t>tested</t>
        </is>
      </c>
    </row>
    <row r="103">
      <c r="A103" s="10" t="n">
        <v>102</v>
      </c>
      <c r="B103" s="8" t="inlineStr">
        <is>
          <t>2026-08-27</t>
        </is>
      </c>
      <c r="C103" s="9" t="inlineStr">
        <is>
          <t>A computation resting on an ASSERTED date says so at the conclusion, not in a footnote — under D7B it is a hope, not a position</t>
        </is>
      </c>
      <c r="D103" s="8" t="inlineStr">
        <is>
          <t>D7D</t>
        </is>
      </c>
      <c r="E103" s="9" t="inlineStr">
        <is>
          <t>LM-01,LM-03,LM-04,LM-05,LM-06,LM-07,LM-08,LM-09</t>
        </is>
      </c>
      <c r="F103" s="8" t="inlineStr">
        <is>
          <t>tested</t>
        </is>
      </c>
    </row>
    <row r="104">
      <c r="A104" s="10" t="n">
        <v>103</v>
      </c>
      <c r="B104" s="8" t="inlineStr">
        <is>
          <t>2026-08-27</t>
        </is>
      </c>
      <c r="C104" s="9" t="inlineStr">
        <is>
          <t>L4: limitation is a COMPUTED DATE, never a discussion — Article, accrual event, period, factors applied or rejected, resulting date, days remaining. Dates are computed, never narrated</t>
        </is>
      </c>
      <c r="D104" s="8" t="inlineStr">
        <is>
          <t>D7D</t>
        </is>
      </c>
      <c r="E104" s="9" t="inlineStr">
        <is>
          <t>LM-01,LM-03,LM-04,LM-05,LM-06,LM-07,LM-08,LM-09</t>
        </is>
      </c>
      <c r="F104" s="8" t="inlineStr">
        <is>
          <t>tested</t>
        </is>
      </c>
    </row>
    <row r="105">
      <c r="A105" s="10" t="n">
        <v>104</v>
      </c>
      <c r="B105" s="8" t="inlineStr">
        <is>
          <t>2026-08-27</t>
        </is>
      </c>
      <c r="C105" s="9" t="inlineStr">
        <is>
          <t>L5 THE INVARIANT: every chronology date is applied to the limitation computation or expressly recorded as not affecting it. Stated without naming any provision; catches the measured 12 June 2024 acknowledgment failure</t>
        </is>
      </c>
      <c r="D105" s="8" t="inlineStr">
        <is>
          <t>D7D</t>
        </is>
      </c>
      <c r="E105" s="9" t="inlineStr">
        <is>
          <t>LM-01,LM-03,LM-04,LM-05,LM-06,LM-07,LM-08,LM-09</t>
        </is>
      </c>
      <c r="F105" s="8" t="inlineStr">
        <is>
          <t>tested</t>
        </is>
      </c>
    </row>
    <row r="106">
      <c r="A106" s="10" t="n">
        <v>105</v>
      </c>
      <c r="B106" s="8" t="inlineStr">
        <is>
          <t>2026-08-27</t>
        </is>
      </c>
      <c r="C106" s="9" t="inlineStr">
        <is>
          <t>L6: the Limitation Act's extending/excluding provisions are a closed statutory set, not the accumulating patch list D15 forbids — and each must still be cited to retrieved text, never asserted from memory</t>
        </is>
      </c>
      <c r="D106" s="8" t="inlineStr">
        <is>
          <t>D7D</t>
        </is>
      </c>
      <c r="E106" s="9" t="inlineStr">
        <is>
          <t>LM-01,LM-03,LM-04,LM-05,LM-06,LM-07,LM-08,LM-09</t>
        </is>
      </c>
      <c r="F106" s="8" t="inlineStr">
        <is>
          <t>tested</t>
        </is>
      </c>
    </row>
    <row r="107">
      <c r="A107" s="10" t="n">
        <v>106</v>
      </c>
      <c r="B107" s="8" t="inlineStr">
        <is>
          <t>2026-08-27</t>
        </is>
      </c>
      <c r="C107" s="9" t="inlineStr">
        <is>
          <t>L7: a limitation bar resolves into an action — restart, exclusion, different cause, different relief, continuing wrong, condonation — or an express finding that the claim is dead, and the answer pivots</t>
        </is>
      </c>
      <c r="D107" s="8" t="inlineStr">
        <is>
          <t>D7D</t>
        </is>
      </c>
      <c r="E107" s="9" t="inlineStr">
        <is>
          <t>LM-01,LM-03,LM-04,LM-05,LM-06,LM-07,LM-08,LM-09</t>
        </is>
      </c>
      <c r="F107" s="8" t="inlineStr">
        <is>
          <t>tested</t>
        </is>
      </c>
    </row>
    <row r="108">
      <c r="A108" s="10" t="n">
        <v>107</v>
      </c>
      <c r="B108" s="8" t="inlineStr">
        <is>
          <t>2026-08-27</t>
        </is>
      </c>
      <c r="C108" s="9" t="inlineStr">
        <is>
          <t>L8: limitation is computed against the OPPONENT'S claims too. Where we defend, their limitation is often the whole answer; computing only "our" limitation misses the best defence by construction</t>
        </is>
      </c>
      <c r="D108" s="8" t="inlineStr">
        <is>
          <t>D7D</t>
        </is>
      </c>
      <c r="E108" s="9" t="inlineStr">
        <is>
          <t>LM-01,LM-03,LM-04,LM-05,LM-06,LM-07,LM-08,LM-09</t>
        </is>
      </c>
      <c r="F108" s="8" t="inlineStr">
        <is>
          <t>tested</t>
        </is>
      </c>
    </row>
    <row r="109">
      <c r="A109" s="10" t="n">
        <v>108</v>
      </c>
      <c r="B109" s="8" t="inlineStr">
        <is>
          <t>2026-08-27</t>
        </is>
      </c>
      <c r="C109" s="9" t="inlineStr">
        <is>
          <t>L9-L10: deadlines are wider than limitation (notice windows, appeal periods, court dates, factual urgency); the thread with the nearest deadline leads, whatever is legally most interesting</t>
        </is>
      </c>
      <c r="D109" s="8" t="inlineStr">
        <is>
          <t>D7D</t>
        </is>
      </c>
      <c r="E109" s="9" t="inlineStr">
        <is>
          <t>LM-01,LM-03,LM-04,LM-05,LM-06,LM-07,LM-08,LM-09</t>
        </is>
      </c>
      <c r="F109" s="8" t="inlineStr">
        <is>
          <t>tested</t>
        </is>
      </c>
    </row>
    <row r="110">
      <c r="A110" s="10" t="n">
        <v>109</v>
      </c>
      <c r="B110" s="8" t="inlineStr">
        <is>
          <t>2026-08-27</t>
        </is>
      </c>
      <c r="C110" s="9" t="inlineStr">
        <is>
          <t>L11: every recommended action carries a by-when; a passed deadline is reported as passed with its consequence, never quietly dropped</t>
        </is>
      </c>
      <c r="D110" s="8" t="inlineStr">
        <is>
          <t>D7D</t>
        </is>
      </c>
      <c r="E110" s="9" t="inlineStr">
        <is>
          <t>LM-01,LM-03,LM-04,LM-05,LM-06,LM-07,LM-08,LM-09</t>
        </is>
      </c>
      <c r="F110" s="8" t="inlineStr">
        <is>
          <t>tested</t>
        </is>
      </c>
    </row>
    <row r="111">
      <c r="A111" s="10" t="n">
        <v>110</v>
      </c>
      <c r="B111" s="8" t="inlineStr">
        <is>
          <t>2026-08-27</t>
        </is>
      </c>
      <c r="C111" s="9" t="inlineStr">
        <is>
          <t>D7E/W1: a claim is a set of coordinates — party, cause, relief, forum, timing, procedure, burden. A failure is usually ONE coordinate, not the case. The rule is "vary each coordinate", not "check this list"</t>
        </is>
      </c>
      <c r="D111" s="8" t="inlineStr">
        <is>
          <t>D7B</t>
        </is>
      </c>
      <c r="E111" s="9" t="inlineStr">
        <is>
          <t>PF-01,PF-03,PF-04,PF-06,PF-07,PF-08</t>
        </is>
      </c>
      <c r="F111" s="8" t="inlineStr">
        <is>
          <t>built</t>
        </is>
      </c>
    </row>
    <row r="112">
      <c r="A112" s="10" t="n">
        <v>111</v>
      </c>
      <c r="B112" s="8" t="inlineStr">
        <is>
          <t>2026-08-27</t>
        </is>
      </c>
      <c r="C112" s="9" t="inlineStr">
        <is>
          <t>W2: distinguish "we lose" from "we lose on THIS FRAMING" — reporting a coordinate failure as a case failure is the error already measured live</t>
        </is>
      </c>
      <c r="D112" s="8" t="inlineStr">
        <is>
          <t>D7E</t>
        </is>
      </c>
      <c r="E112" s="9" t="inlineStr">
        <is>
          <t>SV-01,SV-02,SV-03,SV-04,SV-05,SV-06</t>
        </is>
      </c>
      <c r="F112" s="8" t="inlineStr">
        <is>
          <t>built</t>
        </is>
      </c>
    </row>
    <row r="113">
      <c r="A113" s="10" t="n">
        <v>112</v>
      </c>
      <c r="B113" s="8" t="inlineStr">
        <is>
          <t>2026-08-27</t>
        </is>
      </c>
      <c r="C113" s="9" t="inlineStr">
        <is>
          <t>W3: containment is a win, not a consolation prize — on defending threads it is the correct objective under D8, and must not be delivered in the register of defeat</t>
        </is>
      </c>
      <c r="D113" s="8" t="inlineStr">
        <is>
          <t>D7B</t>
        </is>
      </c>
      <c r="E113" s="9" t="inlineStr">
        <is>
          <t>PF-01,PF-03,PF-04,PF-06,PF-07,PF-08</t>
        </is>
      </c>
      <c r="F113" s="8" t="inlineStr">
        <is>
          <t>built</t>
        </is>
      </c>
    </row>
    <row r="114">
      <c r="A114" s="10" t="n">
        <v>113</v>
      </c>
      <c r="B114" s="8" t="inlineStr">
        <is>
          <t>2026-08-27</t>
        </is>
      </c>
      <c r="C114" s="9" t="inlineStr">
        <is>
          <t>W4: time and leverage are outcomes in themselves; a case weak on merits may carry the most valuable thing in the file</t>
        </is>
      </c>
      <c r="D114" s="8" t="inlineStr">
        <is>
          <t>D7E</t>
        </is>
      </c>
      <c r="E114" s="9" t="inlineStr">
        <is>
          <t>SV-01,SV-02,SV-03,SV-04,SV-05,SV-06</t>
        </is>
      </c>
      <c r="F114" s="8" t="inlineStr">
        <is>
          <t>built</t>
        </is>
      </c>
    </row>
    <row r="115">
      <c r="A115" s="10" t="n">
        <v>114</v>
      </c>
      <c r="B115" s="8" t="inlineStr">
        <is>
          <t>2026-08-27</t>
        </is>
      </c>
      <c r="C115" s="9" t="inlineStr">
        <is>
          <t>W5: advising against proceeding is a full answer — as committed as advice to proceed, with what would change it and the cost of proceeding anyway</t>
        </is>
      </c>
      <c r="D115" s="8" t="inlineStr">
        <is>
          <t>D7E</t>
        </is>
      </c>
      <c r="E115" s="9" t="inlineStr">
        <is>
          <t>SV-01,SV-02,SV-03,SV-04,SV-05,SV-06</t>
        </is>
      </c>
      <c r="F115" s="8" t="inlineStr">
        <is>
          <t>built</t>
        </is>
      </c>
    </row>
    <row r="116">
      <c r="A116" s="10" t="n">
        <v>115</v>
      </c>
      <c r="B116" s="8" t="inlineStr">
        <is>
          <t>2026-08-27</t>
        </is>
      </c>
      <c r="C116" s="9" t="inlineStr">
        <is>
          <t>W6 THE BOUND: salvage must not manufacture routes. A system rewarded for always finding a way out will invent one — worse than an honest "you lose", because it costs money, credibility and possibly costs</t>
        </is>
      </c>
      <c r="D116" s="8" t="inlineStr">
        <is>
          <t>D5</t>
        </is>
      </c>
      <c r="E116" s="9" t="inlineStr">
        <is>
          <t>V-06,V-07,AN-11,M-04</t>
        </is>
      </c>
      <c r="F116" s="8" t="inlineStr">
        <is>
          <t>tested</t>
        </is>
      </c>
    </row>
    <row r="117">
      <c r="A117" s="10" t="n">
        <v>116</v>
      </c>
      <c r="B117" s="8" t="inlineStr">
        <is>
          <t>2026-08-27</t>
        </is>
      </c>
      <c r="C117" s="9" t="inlineStr">
        <is>
          <t>A route is named specifically or not offered; a category-level route is the pros-and-cons table in a new hat. Every route carries its strength and a citation (D5 unmodified)</t>
        </is>
      </c>
      <c r="D117" s="8" t="inlineStr">
        <is>
          <t>D10B</t>
        </is>
      </c>
      <c r="E117" s="9" t="inlineStr">
        <is>
          <t>GQ-01,GQ-02,GQ-03,GQ-04,GQ-05,GQ-06,GQ-07,GQ-09,GQ-10,FA-04</t>
        </is>
      </c>
      <c r="F117" s="8" t="inlineStr">
        <is>
          <t>tested</t>
        </is>
      </c>
    </row>
    <row r="118">
      <c r="A118" s="10" t="n">
        <v>117</v>
      </c>
      <c r="B118" s="8" t="inlineStr">
        <is>
          <t>2026-08-27</t>
        </is>
      </c>
      <c r="C118" s="9" t="inlineStr">
        <is>
          <t>W7: salvage runs against the opponent too — where their case fails on a coordinate, anticipate how they will cure it and block it. Mirror of L8</t>
        </is>
      </c>
      <c r="D118" s="8" t="inlineStr">
        <is>
          <t>D7E</t>
        </is>
      </c>
      <c r="E118" s="9" t="inlineStr">
        <is>
          <t>SV-01,SV-02,SV-03,SV-04,SV-05,SV-06</t>
        </is>
      </c>
      <c r="F118" s="8" t="inlineStr">
        <is>
          <t>built</t>
        </is>
      </c>
    </row>
    <row r="119">
      <c r="A119" s="10" t="n">
        <v>118</v>
      </c>
      <c r="B119" s="8" t="inlineStr">
        <is>
          <t>2026-08-27</t>
        </is>
      </c>
      <c r="C119" s="9" t="inlineStr">
        <is>
          <t>PRD RULE 2: every behavioural requirement must state how it fails when OVER-applied, and the test must detect that failure. Over-satisfaction looks like compliance — careful becomes soft, find-a-route becomes invent-a-route, surface-risk becomes flag-everything</t>
        </is>
      </c>
      <c r="D119" s="8" t="inlineStr">
        <is>
          <t>D5</t>
        </is>
      </c>
      <c r="E119" s="9" t="inlineStr">
        <is>
          <t>V-06,V-07,AN-11,M-04</t>
        </is>
      </c>
      <c r="F119" s="8" t="inlineStr">
        <is>
          <t>tested</t>
        </is>
      </c>
    </row>
    <row r="120">
      <c r="A120" s="10" t="n">
        <v>119</v>
      </c>
      <c r="B120" s="8" t="inlineStr">
        <is>
          <t>2026-08-27</t>
        </is>
      </c>
      <c r="C120" s="9" t="inlineStr">
        <is>
          <t>D14A/E1: four test classes set the cadence — A logic (every commit), B structure (every real turn), C corpus (every ingest), D judgement (approved runs only)</t>
        </is>
      </c>
      <c r="D120" s="8" t="inlineStr">
        <is>
          <t>D14A</t>
        </is>
      </c>
      <c r="E120" s="9" t="inlineStr">
        <is>
          <t>F-03,F-04,F-05,F-06,F-07,F-09,EN-24,EN-25</t>
        </is>
      </c>
      <c r="F120" s="8" t="inlineStr">
        <is>
          <t>built</t>
        </is>
      </c>
    </row>
    <row r="121">
      <c r="A121" s="10" t="n">
        <v>120</v>
      </c>
      <c r="B121" s="8" t="inlineStr">
        <is>
          <t>2026-08-27</t>
        </is>
      </c>
      <c r="C121" s="9" t="inlineStr">
        <is>
          <t>E2: a test belongs in the cheapest class that can hold it, and most tests SPLIT. "Is an opposing case stated at all" is mechanical; "at its strongest" needs a judge</t>
        </is>
      </c>
      <c r="D121" s="8" t="inlineStr">
        <is>
          <t>D7C</t>
        </is>
      </c>
      <c r="E121" s="9" t="inlineStr">
        <is>
          <t>AD-01,AD-02,AD-03,AD-04</t>
        </is>
      </c>
      <c r="F121" s="8" t="inlineStr">
        <is>
          <t>built</t>
        </is>
      </c>
    </row>
    <row r="122">
      <c r="A122" s="10" t="n">
        <v>121</v>
      </c>
      <c r="B122" s="8" t="inlineStr">
        <is>
          <t>2026-08-27</t>
        </is>
      </c>
      <c r="C122" s="9" t="inlineStr">
        <is>
          <t>E2 bound — Goodhart: a split test is valid only if the judgement half actually runs. A mechanical half whose partner has not run is theatre and reports as unverified, not passing</t>
        </is>
      </c>
      <c r="D122" s="8" t="inlineStr">
        <is>
          <t>D10A</t>
        </is>
      </c>
      <c r="E122" s="9" t="inlineStr">
        <is>
          <t>T-01,T-02,T-03,T-04,T-05,DI-05</t>
        </is>
      </c>
      <c r="F122" s="8" t="inlineStr">
        <is>
          <t>tested</t>
        </is>
      </c>
    </row>
    <row r="123">
      <c r="A123" s="10" t="n">
        <v>122</v>
      </c>
      <c r="B123" s="8" t="inlineStr">
        <is>
          <t>2026-08-27</t>
        </is>
      </c>
      <c r="C123" s="9" t="inlineStr">
        <is>
          <t>E3: class-B invariants are enforced at RUNTIME, not in a test suite — every real turn becomes a test, no fixtures to go stale</t>
        </is>
      </c>
      <c r="D123" s="8" t="inlineStr">
        <is>
          <t>D14A</t>
        </is>
      </c>
      <c r="E123" s="9" t="inlineStr">
        <is>
          <t>F-03,F-04,F-05,F-06,F-07,F-09,EN-24,EN-25</t>
        </is>
      </c>
      <c r="F123" s="8" t="inlineStr">
        <is>
          <t>built</t>
        </is>
      </c>
    </row>
    <row r="124">
      <c r="A124" s="10" t="n">
        <v>123</v>
      </c>
      <c r="B124" s="8" t="inlineStr">
        <is>
          <t>2026-08-27</t>
        </is>
      </c>
      <c r="C124" s="9" t="inlineStr">
        <is>
          <t>E3 bound: violations log at ERROR with the rule id and the answer still ships — except grounding violations (D5), which gate the output</t>
        </is>
      </c>
      <c r="D124" s="8" t="inlineStr">
        <is>
          <t>D5</t>
        </is>
      </c>
      <c r="E124" s="9" t="inlineStr">
        <is>
          <t>V-06,V-07,AN-11,M-04</t>
        </is>
      </c>
      <c r="F124" s="8" t="inlineStr">
        <is>
          <t>tested</t>
        </is>
      </c>
    </row>
    <row r="125">
      <c r="A125" s="10" t="n">
        <v>124</v>
      </c>
      <c r="B125" s="8" t="inlineStr">
        <is>
          <t>2026-08-27</t>
        </is>
      </c>
      <c r="C125" s="9" t="inlineStr">
        <is>
          <t>E4: the judge is never the model that wrote the answer — correlated blind spots return a clean bill exactly where it is needed most. Different model, plus periodic human reading. Rubric cases sampled, never composed (C5D)</t>
        </is>
      </c>
      <c r="D125" s="8" t="inlineStr">
        <is>
          <t>D10</t>
        </is>
      </c>
      <c r="E125" s="9" t="inlineStr">
        <is>
          <t>DI-01,DI-02,DI-04,FA-02,FA-03,GQ-08</t>
        </is>
      </c>
      <c r="F125" s="8" t="inlineStr">
        <is>
          <t>tested</t>
        </is>
      </c>
    </row>
    <row r="126">
      <c r="A126" s="10" t="n">
        <v>125</v>
      </c>
      <c r="B126" s="8" t="inlineStr">
        <is>
          <t>2026-08-27</t>
        </is>
      </c>
      <c r="C126" s="9" t="inlineStr">
        <is>
          <t>E5: class-D runs are PROPOSED, never initiated — golden/e2e need explicit per-run approval, including targeted re-runs. Unchanged and not softened</t>
        </is>
      </c>
      <c r="D126" s="8" t="inlineStr">
        <is>
          <t>D14A</t>
        </is>
      </c>
      <c r="E126" s="9" t="inlineStr">
        <is>
          <t>F-03,F-04,F-05,F-06,F-07,F-09,EN-24,EN-25</t>
        </is>
      </c>
      <c r="F126" s="8" t="inlineStr">
        <is>
          <t>built</t>
        </is>
      </c>
    </row>
    <row r="127">
      <c r="A127" s="10" t="n">
        <v>126</v>
      </c>
      <c r="B127" s="8" t="inlineStr">
        <is>
          <t>2026-08-27</t>
        </is>
      </c>
      <c r="C127" s="9" t="inlineStr">
        <is>
          <t>E6: one recorded baseline, updated deliberately — measurements currently live scattered across commit messages, so "did this get worse" is unanswerable. Bound: the baseline is not a freeze; it moves with a stated reason</t>
        </is>
      </c>
      <c r="D127" s="8" t="inlineStr">
        <is>
          <t>D13A</t>
        </is>
      </c>
      <c r="E127" s="9" t="inlineStr">
        <is>
          <t>AN-01,AN-02,AN-03,AN-04,AN-05,AN-06,AN-07</t>
        </is>
      </c>
      <c r="F127" s="8" t="inlineStr">
        <is>
          <t>tested</t>
        </is>
      </c>
    </row>
    <row r="128">
      <c r="A128" s="10" t="n">
        <v>127</v>
      </c>
      <c r="B128" s="8" t="inlineStr">
        <is>
          <t>2026-08-27</t>
        </is>
      </c>
      <c r="C128" s="9" t="inlineStr">
        <is>
          <t>E7: every decision carries a status — decided / built / tested / verified live. "Verified live" means run in the browser and the answer read; 40/40 offline passed once while every advising turn crashed</t>
        </is>
      </c>
      <c r="D128" s="8" t="inlineStr">
        <is>
          <t>D13A</t>
        </is>
      </c>
      <c r="E128" s="9" t="inlineStr">
        <is>
          <t>AN-01,AN-02,AN-03,AN-04,AN-05,AN-06,AN-07</t>
        </is>
      </c>
      <c r="F128" s="8" t="inlineStr">
        <is>
          <t>tested</t>
        </is>
      </c>
    </row>
    <row r="129">
      <c r="A129" s="10" t="n">
        <v>128</v>
      </c>
      <c r="B129" s="8" t="inlineStr">
        <is>
          <t>2026-08-27</t>
        </is>
      </c>
      <c r="C129" s="9" t="inlineStr">
        <is>
          <t>E8: a test that has never run does not count as a test — such a rule's status stays decided, however obviously correct it looks</t>
        </is>
      </c>
      <c r="D129" s="8" t="inlineStr">
        <is>
          <t>D14A</t>
        </is>
      </c>
      <c r="E129" s="9" t="inlineStr">
        <is>
          <t>F-03,F-04,F-05,F-06,F-07,F-09,EN-24,EN-25</t>
        </is>
      </c>
      <c r="F129" s="8" t="inlineStr">
        <is>
          <t>built</t>
        </is>
      </c>
    </row>
    <row r="130">
      <c r="A130" s="10" t="n">
        <v>129</v>
      </c>
      <c r="B130" s="8" t="inlineStr">
        <is>
          <t>2026-08-27</t>
        </is>
      </c>
      <c r="C130" s="9" t="inlineStr">
        <is>
          <t>PRD RULE 3: this document states the DESIGN. The existing build is never the starting point — writing down what exists and noting conflicts is archaeology, and it anchors design to constraints that no longer apply. Current build recorded only as a marked migration note</t>
        </is>
      </c>
      <c r="D130" s="8" t="inlineStr">
        <is>
          <t>D14</t>
        </is>
      </c>
      <c r="E130" s="9" t="inlineStr">
        <is>
          <t>V-03,V-04,V-05,C-01,C-02,C-03,C-04,C-05,C-07,C-08,C-09</t>
        </is>
      </c>
      <c r="F130" s="8" t="inlineStr">
        <is>
          <t>built</t>
        </is>
      </c>
    </row>
    <row r="131">
      <c r="A131" s="10" t="n">
        <v>130</v>
      </c>
      <c r="B131" s="8" t="inlineStr">
        <is>
          <t>2026-08-27</t>
        </is>
      </c>
      <c r="C131" s="9" t="inlineStr">
        <is>
          <t>D9A redesigned clean-slate: NM has a RESOLUTION problem, not a search problem. Resolve first; search only what structure cannot determine</t>
        </is>
      </c>
      <c r="D131" s="8" t="inlineStr">
        <is>
          <t>D9A</t>
        </is>
      </c>
      <c r="E131" s="9" t="inlineStr">
        <is>
          <t>R-01,R-02,S-01,S-02,V-01,V-06,C-06,X-03,X-04,S-04</t>
        </is>
      </c>
      <c r="F131" s="8" t="inlineStr">
        <is>
          <t>built</t>
        </is>
      </c>
    </row>
    <row r="132">
      <c r="A132" s="10" t="n">
        <v>131</v>
      </c>
      <c r="B132" s="8" t="inlineStr">
        <is>
          <t>2026-08-27</t>
        </is>
      </c>
      <c r="C132" s="9" t="inlineStr">
        <is>
          <t>G1: every provision carries a validity window and the DATE is always part of the question — never "section 420", always the provision in force on the date of the conduct. Makes the era rule structural</t>
        </is>
      </c>
      <c r="D132" s="8" t="inlineStr">
        <is>
          <t>D3B</t>
        </is>
      </c>
      <c r="E132" s="9" t="inlineStr">
        <is>
          <t>K-01,K-02,K-03,K-10</t>
        </is>
      </c>
      <c r="F132" s="8" t="inlineStr">
        <is>
          <t>tested</t>
        </is>
      </c>
    </row>
    <row r="133">
      <c r="A133" s="10" t="n">
        <v>132</v>
      </c>
      <c r="B133" s="8" t="inlineStr">
        <is>
          <t>2026-08-27</t>
        </is>
      </c>
      <c r="C133" s="9" t="inlineStr">
        <is>
          <t>G2: the query is the MATTER, not a sentence — posture, cause of action, forum, dates, relief. Limitation Article and forum become deterministic lookups with exact citations</t>
        </is>
      </c>
      <c r="D133" s="8" t="inlineStr">
        <is>
          <t>D7D</t>
        </is>
      </c>
      <c r="E133" s="9" t="inlineStr">
        <is>
          <t>LM-01,LM-03,LM-04,LM-05,LM-06,LM-07,LM-08,LM-09</t>
        </is>
      </c>
      <c r="F133" s="8" t="inlineStr">
        <is>
          <t>tested</t>
        </is>
      </c>
    </row>
    <row r="134">
      <c r="A134" s="10" t="n">
        <v>133</v>
      </c>
      <c r="B134" s="8" t="inlineStr">
        <is>
          <t>2026-08-27</t>
        </is>
      </c>
      <c r="C134" s="9" t="inlineStr">
        <is>
          <t>G3-G4: search is the fallback, scoped by law rather than by similarity — a scope derived from law is reasoned, not guessed</t>
        </is>
      </c>
      <c r="D134" s="8" t="inlineStr">
        <is>
          <t>D9A</t>
        </is>
      </c>
      <c r="E134" s="9" t="inlineStr">
        <is>
          <t>R-01,R-02,S-01,S-02,V-01,V-06,C-06,X-03,X-04,S-04</t>
        </is>
      </c>
      <c r="F134" s="8" t="inlineStr">
        <is>
          <t>built</t>
        </is>
      </c>
    </row>
    <row r="135">
      <c r="A135" s="10" t="n">
        <v>134</v>
      </c>
      <c r="B135" s="8" t="inlineStr">
        <is>
          <t>2026-08-27</t>
        </is>
      </c>
      <c r="C135" s="9" t="inlineStr">
        <is>
          <t>G5: ONLY STRUCTURE MAY EXCLUDE; SIMILARITY MAY ONLY REORDER. R4's lesson one layer up — a hard similarity gate turns a ranking wobble into a permanent miss</t>
        </is>
      </c>
      <c r="D135" s="8" t="inlineStr">
        <is>
          <t>D9A</t>
        </is>
      </c>
      <c r="E135" s="9" t="inlineStr">
        <is>
          <t>R-01,R-02,S-01,S-02,V-01,V-06,C-06,X-03,X-04,S-04</t>
        </is>
      </c>
      <c r="F135" s="8" t="inlineStr">
        <is>
          <t>built</t>
        </is>
      </c>
    </row>
    <row r="136">
      <c r="A136" s="10" t="n">
        <v>135</v>
      </c>
      <c r="B136" s="8" t="inlineStr">
        <is>
          <t>2026-08-27</t>
        </is>
      </c>
      <c r="C136" s="9" t="inlineStr">
        <is>
          <t>G6: retrieval ends in VERIFICATION, not ranking — in force, court's own words, binds this forum, treatment+scope, and the span actually supports the proposition. That last check is what turns D5 from aspiration into a gate</t>
        </is>
      </c>
      <c r="D136" s="8" t="inlineStr">
        <is>
          <t>D9A</t>
        </is>
      </c>
      <c r="E136" s="9" t="inlineStr">
        <is>
          <t>R-01,R-02,S-01,S-02,V-01,V-06,C-06,X-03,X-04,S-04</t>
        </is>
      </c>
      <c r="F136" s="8" t="inlineStr">
        <is>
          <t>built</t>
        </is>
      </c>
    </row>
    <row r="137">
      <c r="A137" s="10" t="n">
        <v>136</v>
      </c>
      <c r="B137" s="8" t="inlineStr">
        <is>
          <t>2026-08-27</t>
        </is>
      </c>
      <c r="C137" s="9" t="inlineStr">
        <is>
          <t>G7: every query terminates in one of THREE states — answered / not held / held but not found (a defect, escalate)</t>
        </is>
      </c>
      <c r="D137" s="8" t="inlineStr">
        <is>
          <t>D9A</t>
        </is>
      </c>
      <c r="E137" s="9" t="inlineStr">
        <is>
          <t>R-01,R-02,S-01,S-02,V-01,V-06,C-06,X-03,X-04,S-04</t>
        </is>
      </c>
      <c r="F137" s="8" t="inlineStr">
        <is>
          <t>built</t>
        </is>
      </c>
    </row>
    <row r="138">
      <c r="A138" s="10" t="n">
        <v>137</v>
      </c>
      <c r="B138" s="8" t="inlineStr">
        <is>
          <t>2026-08-27</t>
        </is>
      </c>
      <c r="C138" s="9" t="inlineStr">
        <is>
          <t>G8: every stage records what it excluded — diagnosis on demand, not a user-facing flag</t>
        </is>
      </c>
      <c r="D138" s="8" t="inlineStr">
        <is>
          <t>D9A</t>
        </is>
      </c>
      <c r="E138" s="9" t="inlineStr">
        <is>
          <t>R-01,R-02,S-01,S-02,V-01,V-06,C-06,X-03,X-04,S-04</t>
        </is>
      </c>
      <c r="F138" s="8" t="inlineStr">
        <is>
          <t>built</t>
        </is>
      </c>
    </row>
    <row r="139">
      <c r="A139" s="10" t="n">
        <v>138</v>
      </c>
      <c r="B139" s="8" t="inlineStr">
        <is>
          <t>2026-08-27</t>
        </is>
      </c>
      <c r="C139" s="9" t="inlineStr">
        <is>
          <t>G9: retrieval returns FINDINGS, not chunks — proposition, span, locator, validity, binding status, treatment+scope, confidence. The interface is where these obligations are enforced or lost</t>
        </is>
      </c>
      <c r="D139" s="8" t="inlineStr">
        <is>
          <t>D9A</t>
        </is>
      </c>
      <c r="E139" s="9" t="inlineStr">
        <is>
          <t>R-01,R-02,S-01,S-02,V-01,V-06,C-06,X-03,X-04,S-04</t>
        </is>
      </c>
      <c r="F139" s="8" t="inlineStr">
        <is>
          <t>built</t>
        </is>
      </c>
    </row>
    <row r="140">
      <c r="A140" s="10" t="n">
        <v>139</v>
      </c>
      <c r="B140" s="8" t="inlineStr">
        <is>
          <t>2026-08-27</t>
        </is>
      </c>
      <c r="C140" s="9" t="inlineStr">
        <is>
          <t>G10-G11: the graph is real curation work and the asset that makes NM hard to copy; the design is decided only until its sampled acceptance set (recall@k on real matters) has run</t>
        </is>
      </c>
      <c r="D140" s="8" t="inlineStr">
        <is>
          <t>D14</t>
        </is>
      </c>
      <c r="E140" s="9" t="inlineStr">
        <is>
          <t>V-03,V-04,V-05,C-01,C-02,C-03,C-04,C-05,C-07,C-08,C-09</t>
        </is>
      </c>
      <c r="F140" s="8" t="inlineStr">
        <is>
          <t>built</t>
        </is>
      </c>
    </row>
    <row r="141">
      <c r="A141" s="10" t="n">
        <v>140</v>
      </c>
      <c r="B141" s="8" t="inlineStr">
        <is>
          <t>2026-08-27</t>
        </is>
      </c>
      <c r="C141" s="9" t="inlineStr">
        <is>
          <t>Carried forward regardless of architecture: HyDE earns its cost (53x, 8/8, 5/8 missed without it — D2B satisfied), and a derived artefact is refused when stale (BM25 served 411,797 vs 414,710 silently)</t>
        </is>
      </c>
      <c r="D141" s="8" t="inlineStr">
        <is>
          <t>D9A</t>
        </is>
      </c>
      <c r="E141" s="9" t="inlineStr">
        <is>
          <t>R-01,R-02,S-01,S-02,V-01,V-06,C-06,X-03,X-04,S-04</t>
        </is>
      </c>
      <c r="F141" s="8" t="inlineStr">
        <is>
          <t>built</t>
        </is>
      </c>
    </row>
    <row r="142">
      <c r="A142" s="10" t="n">
        <v>141</v>
      </c>
      <c r="B142" s="8" t="inlineStr">
        <is>
          <t>2026-08-27</t>
        </is>
      </c>
      <c r="C142" s="9" t="inlineStr">
        <is>
          <t>D8A redesigned: FACETS, not tracks. A single exclusive track forces mutually-exclusive labels onto things that are not — limitation is threshold AND proof AND a step AND (by side) help or harm</t>
        </is>
      </c>
      <c r="D142" s="8" t="inlineStr">
        <is>
          <t>D7B</t>
        </is>
      </c>
      <c r="E142" s="9" t="inlineStr">
        <is>
          <t>PF-01,PF-03,PF-04,PF-06,PF-07,PF-08</t>
        </is>
      </c>
      <c r="F142" s="8" t="inlineStr">
        <is>
          <t>built</t>
        </is>
      </c>
    </row>
    <row r="143">
      <c r="A143" s="10" t="n">
        <v>142</v>
      </c>
      <c r="B143" s="8" t="inlineStr">
        <is>
          <t>2026-08-27</t>
        </is>
      </c>
      <c r="C143" s="9" t="inlineStr">
        <is>
          <t>F1: effect is DERIVED FROM POSTURE, never intrinsic. A limitation point is not "a bar"; a vocabulary that builds "this obstructs us" into the label reintroduces the D8 inversion through naming</t>
        </is>
      </c>
      <c r="D143" s="8" t="inlineStr">
        <is>
          <t>D7D</t>
        </is>
      </c>
      <c r="E143" s="9" t="inlineStr">
        <is>
          <t>LM-01,LM-03,LM-04,LM-05,LM-06,LM-07,LM-08,LM-09</t>
        </is>
      </c>
      <c r="F143" s="8" t="inlineStr">
        <is>
          <t>tested</t>
        </is>
      </c>
    </row>
    <row r="144">
      <c r="A144" s="10" t="n">
        <v>143</v>
      </c>
      <c r="B144" s="8" t="inlineStr">
        <is>
          <t>2026-08-27</t>
        </is>
      </c>
      <c r="C144" s="9" t="inlineStr">
        <is>
          <t>F2: nothing is filtered; everything carries a disposition (run / parked / blocked / closed) — there is nothing to delete with. The parked set IS D2A's "considered, not pursued"</t>
        </is>
      </c>
      <c r="D144" s="8" t="inlineStr">
        <is>
          <t>D2A</t>
        </is>
      </c>
      <c r="E144" s="9" t="inlineStr">
        <is>
          <t>SE-01,SE-02,SE-03</t>
        </is>
      </c>
      <c r="F144" s="8" t="inlineStr">
        <is>
          <t>built</t>
        </is>
      </c>
    </row>
    <row r="145">
      <c r="A145" s="10" t="n">
        <v>144</v>
      </c>
      <c r="B145" s="8" t="inlineStr">
        <is>
          <t>2026-08-27</t>
        </is>
      </c>
      <c r="C145" s="9" t="inlineStr">
        <is>
          <t>F3: no facet gates the QUALITY of machinery — threshold issues get provision, date and authority at merits standard. Prevent competition for attention via disposition, not via a thinner pipeline</t>
        </is>
      </c>
      <c r="D145" s="8" t="inlineStr">
        <is>
          <t>D8A</t>
        </is>
      </c>
      <c r="E145" s="9" t="inlineStr">
        <is>
          <t>IS-01,IS-02,IS-03,IS-04,IS-05,IS-06</t>
        </is>
      </c>
      <c r="F145" s="8" t="inlineStr">
        <is>
          <t>tested</t>
        </is>
      </c>
    </row>
    <row r="146">
      <c r="A146" s="10" t="n">
        <v>145</v>
      </c>
      <c r="B146" s="8" t="inlineStr">
        <is>
          <t>2026-08-27</t>
        </is>
      </c>
      <c r="C146" s="9" t="inlineStr">
        <is>
          <t>F4: disposition governs visibility, so "never deleted" does not become "always shown". F5: closed vocabularies validated at every entry point; unrecognised = absent</t>
        </is>
      </c>
      <c r="D146" s="8" t="inlineStr">
        <is>
          <t>D8A</t>
        </is>
      </c>
      <c r="E146" s="9" t="inlineStr">
        <is>
          <t>IS-01,IS-02,IS-03,IS-04,IS-05,IS-06</t>
        </is>
      </c>
      <c r="F146" s="8" t="inlineStr">
        <is>
          <t>tested</t>
        </is>
      </c>
    </row>
    <row r="147">
      <c r="A147" s="10" t="n">
        <v>146</v>
      </c>
      <c r="B147" s="8" t="inlineStr">
        <is>
          <t>2026-08-27</t>
        </is>
      </c>
      <c r="C147" s="9" t="inlineStr">
        <is>
          <t>Facet bound: a facet exists only if some downstream decision reads it; a facet with no consumer is deleted from the design</t>
        </is>
      </c>
      <c r="D147" s="8" t="inlineStr">
        <is>
          <t>D8A</t>
        </is>
      </c>
      <c r="E147" s="9" t="inlineStr">
        <is>
          <t>IS-01,IS-02,IS-03,IS-04,IS-05,IS-06</t>
        </is>
      </c>
      <c r="F147" s="8" t="inlineStr">
        <is>
          <t>tested</t>
        </is>
      </c>
    </row>
    <row r="148">
      <c r="A148" s="10" t="n">
        <v>147</v>
      </c>
      <c r="B148" s="8" t="inlineStr">
        <is>
          <t>2026-08-27</t>
        </is>
      </c>
      <c r="C148" s="9" t="inlineStr">
        <is>
          <t>D10B redesigned: a QUEUE OVER GAPS, not a machine over phases. A phase machine owns the sequence so it fights the advocate, and must always have a next step so it manufactures questions</t>
        </is>
      </c>
      <c r="D148" s="8" t="inlineStr">
        <is>
          <t>D10B</t>
        </is>
      </c>
      <c r="E148" s="9" t="inlineStr">
        <is>
          <t>GQ-01,GQ-02,GQ-03,GQ-04,GQ-05,GQ-06,GQ-07,GQ-09,GQ-10,FA-04</t>
        </is>
      </c>
      <c r="F148" s="8" t="inlineStr">
        <is>
          <t>tested</t>
        </is>
      </c>
    </row>
    <row r="149">
      <c r="A149" s="10" t="n">
        <v>148</v>
      </c>
      <c r="B149" s="8" t="inlineStr">
        <is>
          <t>2026-08-27</t>
        </is>
      </c>
      <c r="C149" s="9" t="inlineStr">
        <is>
          <t>Q1-Q2: the unit of work is a GAP. Each turn selects the highest-value action across the whole file: blocking gates (posture, limitation) -&gt; deadline urgency -&gt; information value -&gt; consequence</t>
        </is>
      </c>
      <c r="D149" s="8" t="inlineStr">
        <is>
          <t>D7D</t>
        </is>
      </c>
      <c r="E149" s="9" t="inlineStr">
        <is>
          <t>LM-01,LM-03,LM-04,LM-05,LM-06,LM-07,LM-08,LM-09</t>
        </is>
      </c>
      <c r="F149" s="8" t="inlineStr">
        <is>
          <t>tested</t>
        </is>
      </c>
    </row>
    <row r="150">
      <c r="A150" s="10" t="n">
        <v>149</v>
      </c>
      <c r="B150" s="8" t="inlineStr">
        <is>
          <t>2026-08-27</t>
        </is>
      </c>
      <c r="C150" s="9" t="inlineStr">
        <is>
          <t>Q3: a question exists only because a gap blocks an action — removes the manufactured question by construction, not by prohibition</t>
        </is>
      </c>
      <c r="D150" s="8" t="inlineStr">
        <is>
          <t>D10B</t>
        </is>
      </c>
      <c r="E150" s="9" t="inlineStr">
        <is>
          <t>GQ-01,GQ-02,GQ-03,GQ-04,GQ-05,GQ-06,GQ-07,GQ-09,GQ-10,FA-04</t>
        </is>
      </c>
      <c r="F150" s="8" t="inlineStr">
        <is>
          <t>tested</t>
        </is>
      </c>
    </row>
    <row r="151">
      <c r="A151" s="10" t="n">
        <v>150</v>
      </c>
      <c r="B151" s="8" t="inlineStr">
        <is>
          <t>2026-08-27</t>
        </is>
      </c>
      <c r="C151" s="9" t="inlineStr">
        <is>
          <t>Q4: the advocate navigates; the queue is advice. A question about another thread is answered there, that turn. Deadline objection raised ONCE on departure (D13)</t>
        </is>
      </c>
      <c r="D151" s="8" t="inlineStr">
        <is>
          <t>D7D</t>
        </is>
      </c>
      <c r="E151" s="9" t="inlineStr">
        <is>
          <t>GQ-04</t>
        </is>
      </c>
      <c r="F151" s="8" t="inlineStr">
        <is>
          <t>tested</t>
        </is>
      </c>
    </row>
    <row r="152">
      <c r="A152" s="10" t="n">
        <v>151</v>
      </c>
      <c r="B152" s="8" t="inlineStr">
        <is>
          <t>2026-08-27</t>
        </is>
      </c>
      <c r="C152" s="9" t="inlineStr">
        <is>
          <t>Q5-Q6 carried from the current build because they are right: batched single question per thread, and an answer-quality gate that accepts partial and RECORDS the gap after one re-ask (P5's register, structural)</t>
        </is>
      </c>
      <c r="D152" s="8" t="inlineStr">
        <is>
          <t>D7B</t>
        </is>
      </c>
      <c r="E152" s="9" t="inlineStr">
        <is>
          <t>PF-01,PF-03,PF-04,PF-06,PF-07,PF-08</t>
        </is>
      </c>
      <c r="F152" s="8" t="inlineStr">
        <is>
          <t>built</t>
        </is>
      </c>
    </row>
    <row r="153">
      <c r="A153" s="10" t="n">
        <v>152</v>
      </c>
      <c r="B153" s="8" t="inlineStr">
        <is>
          <t>2026-08-27</t>
        </is>
      </c>
      <c r="C153" s="9" t="inlineStr">
        <is>
          <t>Q7: nothing is capped away — low-value threads are deprioritised and visible; deferrals are named. D6 makes multi-dispute the ordinary case</t>
        </is>
      </c>
      <c r="D153" s="8" t="inlineStr">
        <is>
          <t>D6</t>
        </is>
      </c>
      <c r="E153" s="9" t="inlineStr">
        <is>
          <t>GQ-02,T-06</t>
        </is>
      </c>
      <c r="F153" s="8" t="inlineStr">
        <is>
          <t>tested</t>
        </is>
      </c>
    </row>
    <row r="154">
      <c r="A154" s="10" t="n">
        <v>153</v>
      </c>
      <c r="B154" s="8" t="inlineStr">
        <is>
          <t>2026-08-27</t>
        </is>
      </c>
      <c r="C154" s="9" t="inlineStr">
        <is>
          <t>Q8: open gaps always visible; every consultation closes on "still missing, and why it matters"</t>
        </is>
      </c>
      <c r="D154" s="8" t="inlineStr">
        <is>
          <t>D10B</t>
        </is>
      </c>
      <c r="E154" s="9" t="inlineStr">
        <is>
          <t>GQ-01,GQ-02,GQ-03,GQ-04,GQ-05,GQ-06,GQ-07,GQ-09,GQ-10,FA-04</t>
        </is>
      </c>
      <c r="F154" s="8" t="inlineStr">
        <is>
          <t>tested</t>
        </is>
      </c>
    </row>
    <row r="155">
      <c r="A155" s="10" t="n">
        <v>154</v>
      </c>
      <c r="B155" s="8" t="inlineStr">
        <is>
          <t>2026-08-27</t>
        </is>
      </c>
      <c r="C155" s="9" t="inlineStr">
        <is>
          <t>Q9: phases are EMERGENT, not enforced — early turns do posture and facts because those gates are open, not because a script says so</t>
        </is>
      </c>
      <c r="D155" s="8" t="inlineStr">
        <is>
          <t>D8</t>
        </is>
      </c>
      <c r="E155" s="9" t="inlineStr">
        <is>
          <t>PO-01,PO-02,PO-03,PO-04,PO-05</t>
        </is>
      </c>
      <c r="F155" s="8" t="inlineStr">
        <is>
          <t>tested</t>
        </is>
      </c>
    </row>
    <row r="156">
      <c r="A156" s="10" t="n">
        <v>155</v>
      </c>
      <c r="B156" s="8" t="inlineStr">
        <is>
          <t>2026-08-27</t>
        </is>
      </c>
      <c r="C156" s="9" t="inlineStr">
        <is>
          <t>Q10: a changed fact re-derives everything resting on it; derived items must record their fact dependencies, or a stale conclusion sits silently under a corrected fact</t>
        </is>
      </c>
      <c r="D156" s="8" t="inlineStr">
        <is>
          <t>D10B</t>
        </is>
      </c>
      <c r="E156" s="9" t="inlineStr">
        <is>
          <t>GQ-01,GQ-02,GQ-03,GQ-04,GQ-05,GQ-06,GQ-07,GQ-09,GQ-10,FA-04</t>
        </is>
      </c>
      <c r="F156" s="8" t="inlineStr">
        <is>
          <t>tested</t>
        </is>
      </c>
    </row>
    <row r="157">
      <c r="A157" s="10" t="n">
        <v>156</v>
      </c>
      <c r="B157" s="8" t="inlineStr">
        <is>
          <t>2026-08-27</t>
        </is>
      </c>
      <c r="C157" s="9" t="inlineStr">
        <is>
          <t>Q11: an overruled position is re-raised only when a new fact makes it live — as a current finding, never as vindication</t>
        </is>
      </c>
      <c r="D157" s="8" t="inlineStr">
        <is>
          <t>D10B</t>
        </is>
      </c>
      <c r="E157" s="9" t="inlineStr">
        <is>
          <t>GQ-01,GQ-02,GQ-03,GQ-04,GQ-05,GQ-06,GQ-07,GQ-09,GQ-10,FA-04</t>
        </is>
      </c>
      <c r="F157" s="8" t="inlineStr">
        <is>
          <t>tested</t>
        </is>
      </c>
    </row>
    <row r="158">
      <c r="A158" s="10" t="n">
        <v>157</v>
      </c>
      <c r="B158" s="8" t="inlineStr">
        <is>
          <t>2026-08-27</t>
        </is>
      </c>
      <c r="C158" s="9" t="inlineStr">
        <is>
          <t>Q12: on resumption, re-orient with deadlines first; trigger is semantic (a deadline changing category), never a fixed interval</t>
        </is>
      </c>
      <c r="D158" s="8" t="inlineStr">
        <is>
          <t>D7D</t>
        </is>
      </c>
      <c r="E158" s="9" t="inlineStr">
        <is>
          <t>GQ-09,LM-08</t>
        </is>
      </c>
      <c r="F158" s="8" t="inlineStr">
        <is>
          <t>tested</t>
        </is>
      </c>
    </row>
    <row r="159">
      <c r="A159" s="10" t="n">
        <v>158</v>
      </c>
      <c r="B159" s="8" t="inlineStr">
        <is>
          <t>2026-08-27</t>
        </is>
      </c>
      <c r="C159" s="9" t="inlineStr">
        <is>
          <t>D7D (dates) reordered before D7E (salvage) — salvage is what you do once you know where the case fails</t>
        </is>
      </c>
      <c r="D159" s="8" t="inlineStr">
        <is>
          <t>D7E</t>
        </is>
      </c>
      <c r="E159" s="9" t="inlineStr">
        <is>
          <t>SV-01,SV-02,SV-03,SV-04,SV-05,SV-06</t>
        </is>
      </c>
      <c r="F159" s="8" t="inlineStr">
        <is>
          <t>built</t>
        </is>
      </c>
    </row>
    <row r="160">
      <c r="A160" s="10" t="n">
        <v>159</v>
      </c>
      <c r="B160" s="8" t="inlineStr">
        <is>
          <t>2026-08-27</t>
        </is>
      </c>
      <c r="C160" s="9" t="inlineStr">
        <is>
          <t>G5 refined: similarity may exclude ONLY as a measured OUTLIER rejection, never as a top-k or absolute cut. A top-k cut discards what might be right; an outlier rejection discards what is measured to be wrong. The gap must be recorded</t>
        </is>
      </c>
      <c r="D160" s="8" t="inlineStr">
        <is>
          <t>D9A</t>
        </is>
      </c>
      <c r="E160" s="9" t="inlineStr">
        <is>
          <t>R-01,R-02,S-01,S-02,V-01,V-06,C-06,X-03,X-04,S-04</t>
        </is>
      </c>
      <c r="F160" s="8" t="inlineStr">
        <is>
          <t>built</t>
        </is>
      </c>
    </row>
    <row r="161">
      <c r="A161" s="10" t="n">
        <v>160</v>
      </c>
      <c r="B161" s="8" t="inlineStr">
        <is>
          <t>2026-08-27</t>
        </is>
      </c>
      <c r="C161" s="9" t="inlineStr">
        <is>
          <t>G12: citation count is PROMINENCE — neither authority nor relevance. Authority is C2 (court/date/forum); relevance is on-point-ness. At most a tiebreak between authorities already equal on both</t>
        </is>
      </c>
      <c r="D161" s="8" t="inlineStr">
        <is>
          <t>D9A</t>
        </is>
      </c>
      <c r="E161" s="9" t="inlineStr">
        <is>
          <t>R-01,R-02,S-01,S-02,V-01,V-06,C-06,X-03,X-04,S-04</t>
        </is>
      </c>
      <c r="F161" s="8" t="inlineStr">
        <is>
          <t>built</t>
        </is>
      </c>
    </row>
    <row r="162">
      <c r="A162" s="10" t="n">
        <v>161</v>
      </c>
      <c r="B162" s="8" t="inlineStr">
        <is>
          <t>2026-08-27</t>
        </is>
      </c>
      <c r="C162" s="9" t="inlineStr">
        <is>
          <t>G13: the unit of value is the LINE of authority, not a single case — leading case, followers, distinguishers with scope, and where the position rests now</t>
        </is>
      </c>
      <c r="D162" s="8" t="inlineStr">
        <is>
          <t>D7B</t>
        </is>
      </c>
      <c r="E162" s="9" t="inlineStr">
        <is>
          <t>PF-01,PF-03,PF-04,PF-06,PF-07,PF-08</t>
        </is>
      </c>
      <c r="F162" s="8" t="inlineStr">
        <is>
          <t>built</t>
        </is>
      </c>
    </row>
    <row r="163">
      <c r="A163" s="10" t="n">
        <v>162</v>
      </c>
      <c r="B163" s="8" t="inlineStr">
        <is>
          <t>2026-08-27</t>
        </is>
      </c>
      <c r="C163" s="9" t="inlineStr">
        <is>
          <t>G14: the citation graph is a RESOLUTION signal before a ranking signal — judgment-interprets-section makes "authorities on this provision" a lookup</t>
        </is>
      </c>
      <c r="D163" s="8" t="inlineStr">
        <is>
          <t>D9A</t>
        </is>
      </c>
      <c r="E163" s="9" t="inlineStr">
        <is>
          <t>R-01,R-02,S-01,S-02,V-01,V-06,C-06,X-03,X-04,S-04</t>
        </is>
      </c>
      <c r="F163" s="8" t="inlineStr">
        <is>
          <t>built</t>
        </is>
      </c>
    </row>
    <row r="164">
      <c r="A164" s="10" t="n">
        <v>163</v>
      </c>
      <c r="B164" s="8" t="inlineStr">
        <is>
          <t>2026-08-27</t>
        </is>
      </c>
      <c r="C164" s="9" t="inlineStr">
        <is>
          <t>G15: an edge without a verbatim span is not an edge — an unevidenced relation is an invention with a schema around it; D5 does not soften for structural claims</t>
        </is>
      </c>
      <c r="D164" s="8" t="inlineStr">
        <is>
          <t>D5</t>
        </is>
      </c>
      <c r="E164" s="9" t="inlineStr">
        <is>
          <t>K-11,K-01,K-05</t>
        </is>
      </c>
      <c r="F164" s="8" t="inlineStr">
        <is>
          <t>tested</t>
        </is>
      </c>
    </row>
    <row r="165">
      <c r="A165" s="10" t="n">
        <v>164</v>
      </c>
      <c r="B165" s="8" t="inlineStr">
        <is>
          <t>2026-08-27</t>
        </is>
      </c>
      <c r="C165" s="9" t="inlineStr">
        <is>
          <t>G16: absence of citation is not evidence and never demotes — a recent judgment has few citers BECAUSE it is recent, which favours it on current law</t>
        </is>
      </c>
      <c r="D165" s="8" t="inlineStr">
        <is>
          <t>D9A</t>
        </is>
      </c>
      <c r="E165" s="9" t="inlineStr">
        <is>
          <t>R-01,R-02,S-01,S-02,V-01,V-06,C-06,X-03,X-04,S-04</t>
        </is>
      </c>
      <c r="F165" s="8" t="inlineStr">
        <is>
          <t>built</t>
        </is>
      </c>
    </row>
    <row r="166">
      <c r="A166" s="10" t="n">
        <v>165</v>
      </c>
      <c r="B166" s="8" t="inlineStr">
        <is>
          <t>2026-08-27</t>
        </is>
      </c>
      <c r="C166" s="9" t="inlineStr">
        <is>
          <t>G17: a summary may REJECT, never SELECT. Summaries are reliable on coarse negatives, unreliable on fine positives — one vector for a whole Act cannot choose which acts are searchable</t>
        </is>
      </c>
      <c r="D166" s="8" t="inlineStr">
        <is>
          <t>D9A</t>
        </is>
      </c>
      <c r="E166" s="9" t="inlineStr">
        <is>
          <t>R-01,R-02,S-01,S-02,V-01,V-06,C-06,X-03,X-04,S-04</t>
        </is>
      </c>
      <c r="F166" s="8" t="inlineStr">
        <is>
          <t>built</t>
        </is>
      </c>
    </row>
    <row r="167">
      <c r="A167" s="10" t="n">
        <v>166</v>
      </c>
      <c r="B167" s="8" t="inlineStr">
        <is>
          <t>2026-08-27</t>
        </is>
      </c>
      <c r="C167" s="9" t="inlineStr">
        <is>
          <t>G18: a summary is never a source for a proposition — citing a lossy paraphrase is inference-dressed-as-citation, made worse by looking like a real citation</t>
        </is>
      </c>
      <c r="D167" s="8" t="inlineStr">
        <is>
          <t>D13A</t>
        </is>
      </c>
      <c r="E167" s="9" t="inlineStr">
        <is>
          <t>AN-01,AN-02,AN-03,AN-04,AN-05,AN-06,AN-07</t>
        </is>
      </c>
      <c r="F167" s="8" t="inlineStr">
        <is>
          <t>tested</t>
        </is>
      </c>
    </row>
    <row r="168">
      <c r="A168" s="10" t="n">
        <v>167</v>
      </c>
      <c r="B168" s="8" t="inlineStr">
        <is>
          <t>2026-08-27</t>
        </is>
      </c>
      <c r="C168" s="9" t="inlineStr">
        <is>
          <t>G19: two summaries, two jobs — subject summary for coarse rejection; holding summary (what it decided, on what facts) for on-point-ness. Holding only subject summaries means no representation of on-point-ness, so weight wins by default</t>
        </is>
      </c>
      <c r="D168" s="8" t="inlineStr">
        <is>
          <t>D9A</t>
        </is>
      </c>
      <c r="E168" s="9" t="inlineStr">
        <is>
          <t>R-01,R-02,S-01,S-02,V-01,V-06,C-06,X-03,X-04,S-04</t>
        </is>
      </c>
      <c r="F168" s="8" t="inlineStr">
        <is>
          <t>built</t>
        </is>
      </c>
    </row>
    <row r="169">
      <c r="A169" s="10" t="n">
        <v>168</v>
      </c>
      <c r="B169" s="8" t="inlineStr">
        <is>
          <t>2026-08-27</t>
        </is>
      </c>
      <c r="C169" s="9" t="inlineStr">
        <is>
          <t>G20: section-level summaries ARE the missing middle layer — the granularity gap and the summary question are the same question. Act-level summaries are for presentation only</t>
        </is>
      </c>
      <c r="D169" s="8" t="inlineStr">
        <is>
          <t>D9A</t>
        </is>
      </c>
      <c r="E169" s="9" t="inlineStr">
        <is>
          <t>R-01,R-02,S-01,S-02,V-01,V-06,C-06,X-03,X-04,S-04</t>
        </is>
      </c>
      <c r="F169" s="8" t="inlineStr">
        <is>
          <t>built</t>
        </is>
      </c>
    </row>
    <row r="170">
      <c r="A170" s="10" t="n">
        <v>169</v>
      </c>
      <c r="B170" s="8" t="inlineStr">
        <is>
          <t>2026-08-27</t>
        </is>
      </c>
      <c r="C170" s="9" t="inlineStr">
        <is>
          <t>G21: summaries are derived artefacts carrying their source identity — a stale summary is invisible in a way a stale index is not, because it reads fluently whatever it was built from</t>
        </is>
      </c>
      <c r="D170" s="8" t="inlineStr">
        <is>
          <t>D9A</t>
        </is>
      </c>
      <c r="E170" s="9" t="inlineStr">
        <is>
          <t>R-01,R-02,S-01,S-02,V-01,V-06,C-06,X-03,X-04,S-04</t>
        </is>
      </c>
      <c r="F170" s="8" t="inlineStr">
        <is>
          <t>built</t>
        </is>
      </c>
    </row>
    <row r="171">
      <c r="A171" s="10" t="n">
        <v>170</v>
      </c>
      <c r="B171" s="8" t="inlineStr">
        <is>
          <t>2026-08-27</t>
        </is>
      </c>
      <c r="C171" s="9" t="inlineStr">
        <is>
          <t>D14 inverted per rule 3 — C1-C7 lead; the measured current state is demoted to a marked migration note</t>
        </is>
      </c>
      <c r="D171" s="8" t="inlineStr">
        <is>
          <t>D14</t>
        </is>
      </c>
      <c r="E171" s="9" t="inlineStr">
        <is>
          <t>V-03,V-04,V-05,C-01,C-02,C-03,C-04,C-05,C-07,C-08,C-09</t>
        </is>
      </c>
      <c r="F171" s="8" t="inlineStr">
        <is>
          <t>built</t>
        </is>
      </c>
    </row>
    <row r="172">
      <c r="A172" s="10" t="n">
        <v>171</v>
      </c>
      <c r="B172" s="8" t="inlineStr">
        <is>
          <t>2026-08-27</t>
        </is>
      </c>
      <c r="C172" s="9" t="inlineStr">
        <is>
          <t>D5A/M1: the manifest states INTENDED coverage and is CURATED, not derived from the index. A manifest built from what the index holds can only say what is there; absence leaves no trace to enumerate</t>
        </is>
      </c>
      <c r="D172" s="8" t="inlineStr">
        <is>
          <t>D5A</t>
        </is>
      </c>
      <c r="E172" s="9" t="inlineStr">
        <is>
          <t>M-01,M-02,M-03,M-04,M-06</t>
        </is>
      </c>
      <c r="F172" s="8" t="inlineStr">
        <is>
          <t>tested</t>
        </is>
      </c>
    </row>
    <row r="173">
      <c r="A173" s="10" t="n">
        <v>172</v>
      </c>
      <c r="B173" s="8" t="inlineStr">
        <is>
          <t>2026-08-27</t>
        </is>
      </c>
      <c r="C173" s="9" t="inlineStr">
        <is>
          <t>M1: the manifest holds two quantities — intended and actual coverage. Their difference IS the ingestion backlog, and what D3A's test needs</t>
        </is>
      </c>
      <c r="D173" s="8" t="inlineStr">
        <is>
          <t>D5A</t>
        </is>
      </c>
      <c r="E173" s="9" t="inlineStr">
        <is>
          <t>M-01,M-02,M-03,M-04,M-06</t>
        </is>
      </c>
      <c r="F173" s="8" t="inlineStr">
        <is>
          <t>tested</t>
        </is>
      </c>
    </row>
    <row r="174">
      <c r="A174" s="10" t="n">
        <v>173</v>
      </c>
      <c r="B174" s="8" t="inlineStr">
        <is>
          <t>2026-08-27</t>
        </is>
      </c>
      <c r="C174" s="9" t="inlineStr">
        <is>
          <t>M3: the three-state answer is computed from the manifest, never inferred from hit counts — zero results means nothing on its own</t>
        </is>
      </c>
      <c r="D174" s="8" t="inlineStr">
        <is>
          <t>D5A</t>
        </is>
      </c>
      <c r="E174" s="9" t="inlineStr">
        <is>
          <t>M-01,M-02,M-03,M-04,M-06</t>
        </is>
      </c>
      <c r="F174" s="8" t="inlineStr">
        <is>
          <t>tested</t>
        </is>
      </c>
    </row>
    <row r="175">
      <c r="A175" s="10" t="n">
        <v>174</v>
      </c>
      <c r="B175" s="8" t="inlineStr">
        <is>
          <t>2026-08-27</t>
        </is>
      </c>
      <c r="C175" s="9" t="inlineStr">
        <is>
          <t>M4: the manifest is what D3's disclosure actually discloses — without it the disclosure is a vague disclaimer, with it a specific gap (D0A: noise must be actionable)</t>
        </is>
      </c>
      <c r="D175" s="8" t="inlineStr">
        <is>
          <t>D5A</t>
        </is>
      </c>
      <c r="E175" s="9" t="inlineStr">
        <is>
          <t>M-01,M-02,M-03,M-04,M-06</t>
        </is>
      </c>
      <c r="F175" s="8" t="inlineStr">
        <is>
          <t>tested</t>
        </is>
      </c>
    </row>
    <row r="176">
      <c r="A176" s="10" t="n">
        <v>175</v>
      </c>
      <c r="B176" s="8" t="inlineStr">
        <is>
          <t>2026-08-27</t>
        </is>
      </c>
      <c r="C176" s="9" t="inlineStr">
        <is>
          <t>M2 bound: manifest granularity is fixed by what makes the three-state answer decidable, not by completeness — otherwise it becomes a second corpus that drifts from the first</t>
        </is>
      </c>
      <c r="D176" s="8" t="inlineStr">
        <is>
          <t>D5A</t>
        </is>
      </c>
      <c r="E176" s="9" t="inlineStr">
        <is>
          <t>M-01,M-02,M-03,M-04,M-06</t>
        </is>
      </c>
      <c r="F176" s="8" t="inlineStr">
        <is>
          <t>tested</t>
        </is>
      </c>
    </row>
    <row r="177">
      <c r="A177" s="10" t="n">
        <v>176</v>
      </c>
      <c r="B177" s="8" t="inlineStr">
        <is>
          <t>2026-08-27</t>
        </is>
      </c>
      <c r="C177" s="9" t="inlineStr">
        <is>
          <t>D12/DR1: the brief to the drafter is STRUCTURED, not prose — an essay must be re-extracted, and re-extraction is where facts get invented</t>
        </is>
      </c>
      <c r="D177" s="8" t="inlineStr">
        <is>
          <t>D5</t>
        </is>
      </c>
      <c r="E177" s="9" t="inlineStr">
        <is>
          <t>V-06,V-07,AN-11,M-04</t>
        </is>
      </c>
      <c r="F177" s="8" t="inlineStr">
        <is>
          <t>tested</t>
        </is>
      </c>
    </row>
    <row r="178">
      <c r="A178" s="10" t="n">
        <v>177</v>
      </c>
      <c r="B178" s="8" t="inlineStr">
        <is>
          <t>2026-08-27</t>
        </is>
      </c>
      <c r="C178" s="9" t="inlineStr">
        <is>
          <t>DR2: the drafter may NOT retrieve. It drafts from the findings given and asks for what is missing — two retrieval paths mean two grounding standards and no single audit chain</t>
        </is>
      </c>
      <c r="D178" s="8" t="inlineStr">
        <is>
          <t>D5</t>
        </is>
      </c>
      <c r="E178" s="9" t="inlineStr">
        <is>
          <t>V-06,V-07,AN-11,M-04</t>
        </is>
      </c>
      <c r="F178" s="8" t="inlineStr">
        <is>
          <t>tested</t>
        </is>
      </c>
    </row>
    <row r="179">
      <c r="A179" s="10" t="n">
        <v>178</v>
      </c>
      <c r="B179" s="8" t="inlineStr">
        <is>
          <t>2026-08-27</t>
        </is>
      </c>
      <c r="C179" s="9" t="inlineStr">
        <is>
          <t>DR3: every averment traces to a fact in the brief with provenance — D5 for drafting, and heavier, because an unsupported averment is FILED</t>
        </is>
      </c>
      <c r="D179" s="8" t="inlineStr">
        <is>
          <t>D12</t>
        </is>
      </c>
      <c r="E179" s="9" t="inlineStr">
        <is>
          <t>DF-01,DF-02,DF-03,DF-04,DF-05,DF-06,DF-07,DF-08</t>
        </is>
      </c>
      <c r="F179" s="8" t="inlineStr">
        <is>
          <t>built</t>
        </is>
      </c>
    </row>
    <row r="180">
      <c r="A180" s="10" t="n">
        <v>179</v>
      </c>
      <c r="B180" s="8" t="inlineStr">
        <is>
          <t>2026-08-27</t>
        </is>
      </c>
      <c r="C180" s="9" t="inlineStr">
        <is>
          <t>DR4: what NOT to plead travels with what to plead — an omission is a decision, and the drafter must know what was excluded so it does not helpfully restore it</t>
        </is>
      </c>
      <c r="D180" s="8" t="inlineStr">
        <is>
          <t>D9A</t>
        </is>
      </c>
      <c r="E180" s="9" t="inlineStr">
        <is>
          <t>R-01,R-02,S-01,S-02,V-01,V-06,C-06,X-03,X-04,S-04</t>
        </is>
      </c>
      <c r="F180" s="8" t="inlineStr">
        <is>
          <t>built</t>
        </is>
      </c>
    </row>
    <row r="181">
      <c r="A181" s="10" t="n">
        <v>180</v>
      </c>
      <c r="B181" s="8" t="inlineStr">
        <is>
          <t>2026-08-27</t>
        </is>
      </c>
      <c r="C181" s="9" t="inlineStr">
        <is>
          <t>DR5: a draft is verified against its brief before it is shown — every averment traced, every citation in force and binding. The stricter gate D12's boundary exists to permit</t>
        </is>
      </c>
      <c r="D181" s="8" t="inlineStr">
        <is>
          <t>D12</t>
        </is>
      </c>
      <c r="E181" s="9" t="inlineStr">
        <is>
          <t>DF-01,DF-02,DF-03,DF-04,DF-05,DF-06,DF-07,DF-08</t>
        </is>
      </c>
      <c r="F181" s="8" t="inlineStr">
        <is>
          <t>built</t>
        </is>
      </c>
    </row>
    <row r="182">
      <c r="A182" s="10" t="n">
        <v>181</v>
      </c>
      <c r="B182" s="8" t="inlineStr">
        <is>
          <t>2026-08-27</t>
        </is>
      </c>
      <c r="C182" s="9" t="inlineStr">
        <is>
          <t>DR6: gaps are MARKED, never filled — the highest-risk failure in drafting. A fluent document invites completion; a missing date is a blank, not a guess. A draft with no blanks on a file with open gaps is a defect</t>
        </is>
      </c>
      <c r="D182" s="8" t="inlineStr">
        <is>
          <t>D10B</t>
        </is>
      </c>
      <c r="E182" s="9" t="inlineStr">
        <is>
          <t>GQ-01,GQ-02,GQ-03,GQ-04,GQ-05,GQ-06,GQ-07,GQ-09,GQ-10,FA-04</t>
        </is>
      </c>
      <c r="F182" s="8" t="inlineStr">
        <is>
          <t>tested</t>
        </is>
      </c>
    </row>
    <row r="183">
      <c r="A183" s="10" t="n">
        <v>182</v>
      </c>
      <c r="B183" s="8" t="inlineStr">
        <is>
          <t>2026-08-27</t>
        </is>
      </c>
      <c r="C183" s="9" t="inlineStr">
        <is>
          <t>DR7: the drafter does not re-decide ranked reliefs or selected arguments — that would put judgement in the component held to the drafting standard</t>
        </is>
      </c>
      <c r="D183" s="8" t="inlineStr">
        <is>
          <t>D12</t>
        </is>
      </c>
      <c r="E183" s="9" t="inlineStr">
        <is>
          <t>DF-01,DF-02,DF-03,DF-04,DF-05,DF-06,DF-07,DF-08</t>
        </is>
      </c>
      <c r="F183" s="8" t="inlineStr">
        <is>
          <t>built</t>
        </is>
      </c>
    </row>
    <row r="184">
      <c r="A184" s="10" t="n">
        <v>183</v>
      </c>
      <c r="B184" s="8" t="inlineStr">
        <is>
          <t>2026-08-27</t>
        </is>
      </c>
      <c r="C184" s="9" t="inlineStr">
        <is>
          <t>D13B/CS1: the case summary is the SINGLE source of the worked position — board and answer both derive from it; a board that disagrees with the answer is worse than either alone</t>
        </is>
      </c>
      <c r="D184" s="8" t="inlineStr">
        <is>
          <t>D13</t>
        </is>
      </c>
      <c r="E184" s="9" t="inlineStr">
        <is>
          <t>AD-04,GQ-10</t>
        </is>
      </c>
      <c r="F184" s="8" t="inlineStr">
        <is>
          <t>tested</t>
        </is>
      </c>
    </row>
    <row r="185">
      <c r="A185" s="10" t="n">
        <v>184</v>
      </c>
      <c r="B185" s="8" t="inlineStr">
        <is>
          <t>2026-08-27</t>
        </is>
      </c>
      <c r="C185" s="9" t="inlineStr">
        <is>
          <t>CS2: updated in place, state not transcript. CS4: one prior value and what changed it, never a history — and only where the change altered a conclusion or advice already given</t>
        </is>
      </c>
      <c r="D185" s="8" t="inlineStr">
        <is>
          <t>D13B</t>
        </is>
      </c>
      <c r="E185" s="9" t="inlineStr">
        <is>
          <t>AN-08,AN-09,AN-10</t>
        </is>
      </c>
      <c r="F185" s="8" t="inlineStr">
        <is>
          <t>built</t>
        </is>
      </c>
    </row>
    <row r="186">
      <c r="A186" s="10" t="n">
        <v>185</v>
      </c>
      <c r="B186" s="8" t="inlineStr">
        <is>
          <t>2026-08-27</t>
        </is>
      </c>
      <c r="C186" s="9" t="inlineStr">
        <is>
          <t>CS3: every summary item carries provenance and fact dependencies — this is what makes Q10's cascade possible</t>
        </is>
      </c>
      <c r="D186" s="8" t="inlineStr">
        <is>
          <t>D13A</t>
        </is>
      </c>
      <c r="E186" s="9" t="inlineStr">
        <is>
          <t>AN-08,D-02,D-04</t>
        </is>
      </c>
      <c r="F186" s="8" t="inlineStr">
        <is>
          <t>tested</t>
        </is>
      </c>
    </row>
    <row r="187">
      <c r="A187" s="10" t="n">
        <v>186</v>
      </c>
      <c r="B187" s="8" t="inlineStr">
        <is>
          <t>2026-08-27</t>
        </is>
      </c>
      <c r="C187" s="9" t="inlineStr">
        <is>
          <t>CS5: the summary reads as a case note, not a debug dump — identifiers, scores and pipeline state belong in diagnostics (G8)</t>
        </is>
      </c>
      <c r="D187" s="8" t="inlineStr">
        <is>
          <t>D13A</t>
        </is>
      </c>
      <c r="E187" s="9" t="inlineStr">
        <is>
          <t>AN-10</t>
        </is>
      </c>
      <c r="F187" s="8" t="inlineStr">
        <is>
          <t>built</t>
        </is>
      </c>
    </row>
    <row r="188" ht="42" customHeight="1">
      <c r="A188" s="115" t="inlineStr">
        <is>
          <t>187</t>
        </is>
      </c>
      <c r="B188" s="116" t="inlineStr">
        <is>
          <t>2026-08-28</t>
        </is>
      </c>
      <c r="C188" s="112" t="inlineStr">
        <is>
          <t>D16.1: Professional stance - end-to-end advocate behaviour; detailed implementation audit and improvement recommendation are on the Advocate Behaviour sheet.</t>
        </is>
      </c>
      <c r="D188" s="116" t="inlineStr">
        <is>
          <t>D16</t>
        </is>
      </c>
      <c r="E188" s="112" t="inlineStr">
        <is>
          <t>AB-01 (Advocate Behaviour sheet)</t>
        </is>
      </c>
      <c r="F188" s="116" t="inlineStr">
        <is>
          <t>built</t>
        </is>
      </c>
    </row>
    <row r="189" ht="42" customHeight="1">
      <c r="A189" s="115" t="inlineStr">
        <is>
          <t>188</t>
        </is>
      </c>
      <c r="B189" s="116" t="inlineStr">
        <is>
          <t>2026-08-28</t>
        </is>
      </c>
      <c r="C189" s="112" t="inlineStr">
        <is>
          <t>D16.2: Competence - end-to-end advocate behaviour; detailed implementation audit and improvement recommendation are on the Advocate Behaviour sheet.</t>
        </is>
      </c>
      <c r="D189" s="116" t="inlineStr">
        <is>
          <t>D16</t>
        </is>
      </c>
      <c r="E189" s="112" t="inlineStr">
        <is>
          <t>AB-02 (Advocate Behaviour sheet)</t>
        </is>
      </c>
      <c r="F189" s="116" t="inlineStr">
        <is>
          <t>built</t>
        </is>
      </c>
    </row>
    <row r="190" ht="42" customHeight="1">
      <c r="A190" s="115" t="inlineStr">
        <is>
          <t>189</t>
        </is>
      </c>
      <c r="B190" s="116" t="inlineStr">
        <is>
          <t>2026-08-28</t>
        </is>
      </c>
      <c r="C190" s="112" t="inlineStr">
        <is>
          <t>D16.3: Before receiving substance - end-to-end advocate behaviour; detailed implementation audit and improvement recommendation are on the Advocate Behaviour sheet.</t>
        </is>
      </c>
      <c r="D190" s="116" t="inlineStr">
        <is>
          <t>D16</t>
        </is>
      </c>
      <c r="E190" s="112" t="inlineStr">
        <is>
          <t>AB-03 (Advocate Behaviour sheet)</t>
        </is>
      </c>
      <c r="F190" s="116" t="inlineStr">
        <is>
          <t>decided</t>
        </is>
      </c>
    </row>
    <row r="191" ht="42" customHeight="1">
      <c r="A191" s="115" t="inlineStr">
        <is>
          <t>190</t>
        </is>
      </c>
      <c r="B191" s="116" t="inlineStr">
        <is>
          <t>2026-08-28</t>
        </is>
      </c>
      <c r="C191" s="112" t="inlineStr">
        <is>
          <t>D16.4: Authority and engagement - end-to-end advocate behaviour; detailed implementation audit and improvement recommendation are on the Advocate Behaviour sheet.</t>
        </is>
      </c>
      <c r="D191" s="116" t="inlineStr">
        <is>
          <t>D16</t>
        </is>
      </c>
      <c r="E191" s="112" t="inlineStr">
        <is>
          <t>AB-04 (Advocate Behaviour sheet)</t>
        </is>
      </c>
      <c r="F191" s="116" t="inlineStr">
        <is>
          <t>decided</t>
        </is>
      </c>
    </row>
    <row r="192" ht="42" customHeight="1">
      <c r="A192" s="115" t="inlineStr">
        <is>
          <t>191</t>
        </is>
      </c>
      <c r="B192" s="116" t="inlineStr">
        <is>
          <t>2026-08-28</t>
        </is>
      </c>
      <c r="C192" s="112" t="inlineStr">
        <is>
          <t>D16.5: First human contact - end-to-end advocate behaviour; detailed implementation audit and improvement recommendation are on the Advocate Behaviour sheet.</t>
        </is>
      </c>
      <c r="D192" s="116" t="inlineStr">
        <is>
          <t>D16</t>
        </is>
      </c>
      <c r="E192" s="112" t="inlineStr">
        <is>
          <t>AB-05 (Advocate Behaviour sheet)</t>
        </is>
      </c>
      <c r="F192" s="116" t="inlineStr">
        <is>
          <t>built</t>
        </is>
      </c>
    </row>
    <row r="193" ht="42" customHeight="1">
      <c r="A193" s="115" t="inlineStr">
        <is>
          <t>192</t>
        </is>
      </c>
      <c r="B193" s="116" t="inlineStr">
        <is>
          <t>2026-08-28</t>
        </is>
      </c>
      <c r="C193" s="112" t="inlineStr">
        <is>
          <t>D16.6: Emergency triage - end-to-end advocate behaviour; detailed implementation audit and improvement recommendation are on the Advocate Behaviour sheet.</t>
        </is>
      </c>
      <c r="D193" s="116" t="inlineStr">
        <is>
          <t>D16</t>
        </is>
      </c>
      <c r="E193" s="112" t="inlineStr">
        <is>
          <t>AB-06 (Advocate Behaviour sheet)</t>
        </is>
      </c>
      <c r="F193" s="116" t="inlineStr">
        <is>
          <t>built</t>
        </is>
      </c>
    </row>
    <row r="194" ht="42" customHeight="1">
      <c r="A194" s="115" t="inlineStr">
        <is>
          <t>193</t>
        </is>
      </c>
      <c r="B194" s="116" t="inlineStr">
        <is>
          <t>2026-08-28</t>
        </is>
      </c>
      <c r="C194" s="112" t="inlineStr">
        <is>
          <t>D16.7: Client interview - end-to-end advocate behaviour; detailed implementation audit and improvement recommendation are on the Advocate Behaviour sheet.</t>
        </is>
      </c>
      <c r="D194" s="116" t="inlineStr">
        <is>
          <t>D16</t>
        </is>
      </c>
      <c r="E194" s="112" t="inlineStr">
        <is>
          <t>AB-07 (Advocate Behaviour sheet)</t>
        </is>
      </c>
      <c r="F194" s="116" t="inlineStr">
        <is>
          <t>built</t>
        </is>
      </c>
    </row>
    <row r="195" ht="42" customHeight="1">
      <c r="A195" s="115" t="inlineStr">
        <is>
          <t>194</t>
        </is>
      </c>
      <c r="B195" s="116" t="inlineStr">
        <is>
          <t>2026-08-28</t>
        </is>
      </c>
      <c r="C195" s="112" t="inlineStr">
        <is>
          <t>D16.8: Objectives and constraints - end-to-end advocate behaviour; detailed implementation audit and improvement recommendation are on the Advocate Behaviour sheet.</t>
        </is>
      </c>
      <c r="D195" s="116" t="inlineStr">
        <is>
          <t>D16</t>
        </is>
      </c>
      <c r="E195" s="112" t="inlineStr">
        <is>
          <t>AB-08 (Advocate Behaviour sheet)</t>
        </is>
      </c>
      <c r="F195" s="116" t="inlineStr">
        <is>
          <t>built</t>
        </is>
      </c>
    </row>
    <row r="196" ht="42" customHeight="1">
      <c r="A196" s="115" t="inlineStr">
        <is>
          <t>195</t>
        </is>
      </c>
      <c r="B196" s="116" t="inlineStr">
        <is>
          <t>2026-08-28</t>
        </is>
      </c>
      <c r="C196" s="112" t="inlineStr">
        <is>
          <t>D16.9: Parties and posture - end-to-end advocate behaviour; detailed implementation audit and improvement recommendation are on the Advocate Behaviour sheet.</t>
        </is>
      </c>
      <c r="D196" s="116" t="inlineStr">
        <is>
          <t>D16</t>
        </is>
      </c>
      <c r="E196" s="112" t="inlineStr">
        <is>
          <t>AB-09 (Advocate Behaviour sheet)</t>
        </is>
      </c>
      <c r="F196" s="116" t="inlineStr">
        <is>
          <t>tested</t>
        </is>
      </c>
    </row>
    <row r="197" ht="42" customHeight="1">
      <c r="A197" s="115" t="inlineStr">
        <is>
          <t>196</t>
        </is>
      </c>
      <c r="B197" s="116" t="inlineStr">
        <is>
          <t>2026-08-28</t>
        </is>
      </c>
      <c r="C197" s="112" t="inlineStr">
        <is>
          <t>D16.10: Fact model - end-to-end advocate behaviour; detailed implementation audit and improvement recommendation are on the Advocate Behaviour sheet.</t>
        </is>
      </c>
      <c r="D197" s="116" t="inlineStr">
        <is>
          <t>D16</t>
        </is>
      </c>
      <c r="E197" s="112" t="inlineStr">
        <is>
          <t>AB-10 (Advocate Behaviour sheet)</t>
        </is>
      </c>
      <c r="F197" s="116" t="inlineStr">
        <is>
          <t>tested</t>
        </is>
      </c>
    </row>
    <row r="198" ht="42" customHeight="1">
      <c r="A198" s="115" t="inlineStr">
        <is>
          <t>197</t>
        </is>
      </c>
      <c r="B198" s="116" t="inlineStr">
        <is>
          <t>2026-08-28</t>
        </is>
      </c>
      <c r="C198" s="112" t="inlineStr">
        <is>
          <t>D16.11: Evidence and preservation - end-to-end advocate behaviour; detailed implementation audit and improvement recommendation are on the Advocate Behaviour sheet.</t>
        </is>
      </c>
      <c r="D198" s="116" t="inlineStr">
        <is>
          <t>D16</t>
        </is>
      </c>
      <c r="E198" s="112" t="inlineStr">
        <is>
          <t>AB-11 (Advocate Behaviour sheet)</t>
        </is>
      </c>
      <c r="F198" s="116" t="inlineStr">
        <is>
          <t>built</t>
        </is>
      </c>
    </row>
    <row r="199" ht="42" customHeight="1">
      <c r="A199" s="115" t="inlineStr">
        <is>
          <t>198</t>
        </is>
      </c>
      <c r="B199" s="116" t="inlineStr">
        <is>
          <t>2026-08-28</t>
        </is>
      </c>
      <c r="C199" s="112" t="inlineStr">
        <is>
          <t>D16.12: Threshold legal map - end-to-end advocate behaviour; detailed implementation audit and improvement recommendation are on the Advocate Behaviour sheet.</t>
        </is>
      </c>
      <c r="D199" s="116" t="inlineStr">
        <is>
          <t>D16</t>
        </is>
      </c>
      <c r="E199" s="112" t="inlineStr">
        <is>
          <t>AB-12 (Advocate Behaviour sheet)</t>
        </is>
      </c>
      <c r="F199" s="116" t="inlineStr">
        <is>
          <t>built</t>
        </is>
      </c>
    </row>
    <row r="200" ht="42" customHeight="1">
      <c r="A200" s="115" t="inlineStr">
        <is>
          <t>199</t>
        </is>
      </c>
      <c r="B200" s="116" t="inlineStr">
        <is>
          <t>2026-08-28</t>
        </is>
      </c>
      <c r="C200" s="112" t="inlineStr">
        <is>
          <t>D16.13: Research plan - end-to-end advocate behaviour; detailed implementation audit and improvement recommendation are on the Advocate Behaviour sheet.</t>
        </is>
      </c>
      <c r="D200" s="116" t="inlineStr">
        <is>
          <t>D16</t>
        </is>
      </c>
      <c r="E200" s="112" t="inlineStr">
        <is>
          <t>AB-13 (Advocate Behaviour sheet)</t>
        </is>
      </c>
      <c r="F200" s="116" t="inlineStr">
        <is>
          <t>built</t>
        </is>
      </c>
    </row>
    <row r="201" ht="42" customHeight="1">
      <c r="A201" s="115" t="inlineStr">
        <is>
          <t>200</t>
        </is>
      </c>
      <c r="B201" s="116" t="inlineStr">
        <is>
          <t>2026-08-28</t>
        </is>
      </c>
      <c r="C201" s="112" t="inlineStr">
        <is>
          <t>D16.14: Research execution - end-to-end advocate behaviour; detailed implementation audit and improvement recommendation are on the Advocate Behaviour sheet.</t>
        </is>
      </c>
      <c r="D201" s="116" t="inlineStr">
        <is>
          <t>D16</t>
        </is>
      </c>
      <c r="E201" s="112" t="inlineStr">
        <is>
          <t>AB-14 (Advocate Behaviour sheet)</t>
        </is>
      </c>
      <c r="F201" s="116" t="inlineStr">
        <is>
          <t>tested</t>
        </is>
      </c>
    </row>
    <row r="202" ht="42" customHeight="1">
      <c r="A202" s="115" t="inlineStr">
        <is>
          <t>201</t>
        </is>
      </c>
      <c r="B202" s="116" t="inlineStr">
        <is>
          <t>2026-08-28</t>
        </is>
      </c>
      <c r="C202" s="112" t="inlineStr">
        <is>
          <t>D16.15: Application and proof - end-to-end advocate behaviour; detailed implementation audit and improvement recommendation are on the Advocate Behaviour sheet.</t>
        </is>
      </c>
      <c r="D202" s="116" t="inlineStr">
        <is>
          <t>D16</t>
        </is>
      </c>
      <c r="E202" s="112" t="inlineStr">
        <is>
          <t>AB-15 (Advocate Behaviour sheet)</t>
        </is>
      </c>
      <c r="F202" s="116" t="inlineStr">
        <is>
          <t>built</t>
        </is>
      </c>
    </row>
    <row r="203" ht="42" customHeight="1">
      <c r="A203" s="115" t="inlineStr">
        <is>
          <t>202</t>
        </is>
      </c>
      <c r="B203" s="116" t="inlineStr">
        <is>
          <t>2026-08-28</t>
        </is>
      </c>
      <c r="C203" s="112" t="inlineStr">
        <is>
          <t>D16.16: Case theory - end-to-end advocate behaviour; detailed implementation audit and improvement recommendation are on the Advocate Behaviour sheet.</t>
        </is>
      </c>
      <c r="D203" s="116" t="inlineStr">
        <is>
          <t>D16</t>
        </is>
      </c>
      <c r="E203" s="112" t="inlineStr">
        <is>
          <t>AB-16 (Advocate Behaviour sheet)</t>
        </is>
      </c>
      <c r="F203" s="116" t="inlineStr">
        <is>
          <t>built</t>
        </is>
      </c>
    </row>
    <row r="204" ht="42" customHeight="1">
      <c r="A204" s="115" t="inlineStr">
        <is>
          <t>203</t>
        </is>
      </c>
      <c r="B204" s="116" t="inlineStr">
        <is>
          <t>2026-08-28</t>
        </is>
      </c>
      <c r="C204" s="112" t="inlineStr">
        <is>
          <t>D16.17: Adversarial pass - end-to-end advocate behaviour; detailed implementation audit and improvement recommendation are on the Advocate Behaviour sheet.</t>
        </is>
      </c>
      <c r="D204" s="116" t="inlineStr">
        <is>
          <t>D16</t>
        </is>
      </c>
      <c r="E204" s="112" t="inlineStr">
        <is>
          <t>AB-17 (Advocate Behaviour sheet)</t>
        </is>
      </c>
      <c r="F204" s="116" t="inlineStr">
        <is>
          <t>built</t>
        </is>
      </c>
    </row>
    <row r="205" ht="42" customHeight="1">
      <c r="A205" s="115" t="inlineStr">
        <is>
          <t>204</t>
        </is>
      </c>
      <c r="B205" s="116" t="inlineStr">
        <is>
          <t>2026-08-28</t>
        </is>
      </c>
      <c r="C205" s="112" t="inlineStr">
        <is>
          <t>D16.18: Scenarios and contingencies - end-to-end advocate behaviour; detailed implementation audit and improvement recommendation are on the Advocate Behaviour sheet.</t>
        </is>
      </c>
      <c r="D205" s="116" t="inlineStr">
        <is>
          <t>D16</t>
        </is>
      </c>
      <c r="E205" s="112" t="inlineStr">
        <is>
          <t>AB-18 (Advocate Behaviour sheet)</t>
        </is>
      </c>
      <c r="F205" s="116" t="inlineStr">
        <is>
          <t>built</t>
        </is>
      </c>
    </row>
    <row r="206" ht="42" customHeight="1">
      <c r="A206" s="115" t="inlineStr">
        <is>
          <t>205</t>
        </is>
      </c>
      <c r="B206" s="116" t="inlineStr">
        <is>
          <t>2026-08-28</t>
        </is>
      </c>
      <c r="C206" s="112" t="inlineStr">
        <is>
          <t>D16.19: Strategy and recommendation - end-to-end advocate behaviour; detailed implementation audit and improvement recommendation are on the Advocate Behaviour sheet.</t>
        </is>
      </c>
      <c r="D206" s="116" t="inlineStr">
        <is>
          <t>D16</t>
        </is>
      </c>
      <c r="E206" s="112" t="inlineStr">
        <is>
          <t>AB-19 (Advocate Behaviour sheet)</t>
        </is>
      </c>
      <c r="F206" s="116" t="inlineStr">
        <is>
          <t>built</t>
        </is>
      </c>
    </row>
    <row r="207" ht="42" customHeight="1">
      <c r="A207" s="115" t="inlineStr">
        <is>
          <t>206</t>
        </is>
      </c>
      <c r="B207" s="116" t="inlineStr">
        <is>
          <t>2026-08-28</t>
        </is>
      </c>
      <c r="C207" s="112" t="inlineStr">
        <is>
          <t>D16.20: Client advice and decision - end-to-end advocate behaviour; detailed implementation audit and improvement recommendation are on the Advocate Behaviour sheet.</t>
        </is>
      </c>
      <c r="D207" s="116" t="inlineStr">
        <is>
          <t>D16</t>
        </is>
      </c>
      <c r="E207" s="112" t="inlineStr">
        <is>
          <t>AB-20 (Advocate Behaviour sheet)</t>
        </is>
      </c>
      <c r="F207" s="116" t="inlineStr">
        <is>
          <t>built</t>
        </is>
      </c>
    </row>
    <row r="208" ht="42" customHeight="1">
      <c r="A208" s="115" t="inlineStr">
        <is>
          <t>207</t>
        </is>
      </c>
      <c r="B208" s="116" t="inlineStr">
        <is>
          <t>2026-08-28</t>
        </is>
      </c>
      <c r="C208" s="112" t="inlineStr">
        <is>
          <t>D16.21: Disagreement and difficult facts - end-to-end advocate behaviour; detailed implementation audit and improvement recommendation are on the Advocate Behaviour sheet.</t>
        </is>
      </c>
      <c r="D208" s="116" t="inlineStr">
        <is>
          <t>D16</t>
        </is>
      </c>
      <c r="E208" s="112" t="inlineStr">
        <is>
          <t>AB-21 (Advocate Behaviour sheet)</t>
        </is>
      </c>
      <c r="F208" s="116" t="inlineStr">
        <is>
          <t>built</t>
        </is>
      </c>
    </row>
    <row r="209" ht="42" customHeight="1">
      <c r="A209" s="115" t="inlineStr">
        <is>
          <t>208</t>
        </is>
      </c>
      <c r="B209" s="116" t="inlineStr">
        <is>
          <t>2026-08-28</t>
        </is>
      </c>
      <c r="C209" s="112" t="inlineStr">
        <is>
          <t>D16.22: Negotiation and settlement - end-to-end advocate behaviour; detailed implementation audit and improvement recommendation are on the Advocate Behaviour sheet.</t>
        </is>
      </c>
      <c r="D209" s="116" t="inlineStr">
        <is>
          <t>D16</t>
        </is>
      </c>
      <c r="E209" s="112" t="inlineStr">
        <is>
          <t>AB-22 (Advocate Behaviour sheet)</t>
        </is>
      </c>
      <c r="F209" s="116" t="inlineStr">
        <is>
          <t>decided</t>
        </is>
      </c>
    </row>
    <row r="210" ht="42" customHeight="1">
      <c r="A210" s="115" t="inlineStr">
        <is>
          <t>209</t>
        </is>
      </c>
      <c r="B210" s="116" t="inlineStr">
        <is>
          <t>2026-08-28</t>
        </is>
      </c>
      <c r="C210" s="112" t="inlineStr">
        <is>
          <t>D16.23: Drafting and filing - end-to-end advocate behaviour; detailed implementation audit and improvement recommendation are on the Advocate Behaviour sheet.</t>
        </is>
      </c>
      <c r="D210" s="116" t="inlineStr">
        <is>
          <t>D16</t>
        </is>
      </c>
      <c r="E210" s="112" t="inlineStr">
        <is>
          <t>AB-23 (Advocate Behaviour sheet)</t>
        </is>
      </c>
      <c r="F210" s="116" t="inlineStr">
        <is>
          <t>built</t>
        </is>
      </c>
    </row>
    <row r="211" ht="42" customHeight="1">
      <c r="A211" s="115" t="inlineStr">
        <is>
          <t>210</t>
        </is>
      </c>
      <c r="B211" s="116" t="inlineStr">
        <is>
          <t>2026-08-28</t>
        </is>
      </c>
      <c r="C211" s="112" t="inlineStr">
        <is>
          <t>D16.24: Witnesses and experts - end-to-end advocate behaviour; detailed implementation audit and improvement recommendation are on the Advocate Behaviour sheet.</t>
        </is>
      </c>
      <c r="D211" s="116" t="inlineStr">
        <is>
          <t>D16</t>
        </is>
      </c>
      <c r="E211" s="112" t="inlineStr">
        <is>
          <t>AB-24 (Advocate Behaviour sheet)</t>
        </is>
      </c>
      <c r="F211" s="116" t="inlineStr">
        <is>
          <t>decided</t>
        </is>
      </c>
    </row>
    <row r="212" ht="42" customHeight="1">
      <c r="A212" s="115" t="inlineStr">
        <is>
          <t>211</t>
        </is>
      </c>
      <c r="B212" s="116" t="inlineStr">
        <is>
          <t>2026-08-28</t>
        </is>
      </c>
      <c r="C212" s="112" t="inlineStr">
        <is>
          <t>D16.25: Hearing preparation - end-to-end advocate behaviour; detailed implementation audit and improvement recommendation are on the Advocate Behaviour sheet.</t>
        </is>
      </c>
      <c r="D212" s="116" t="inlineStr">
        <is>
          <t>D16</t>
        </is>
      </c>
      <c r="E212" s="112" t="inlineStr">
        <is>
          <t>AB-25 (Advocate Behaviour sheet)</t>
        </is>
      </c>
      <c r="F212" s="116" t="inlineStr">
        <is>
          <t>decided</t>
        </is>
      </c>
    </row>
    <row r="213" ht="42" customHeight="1">
      <c r="A213" s="115" t="inlineStr">
        <is>
          <t>212</t>
        </is>
      </c>
      <c r="B213" s="116" t="inlineStr">
        <is>
          <t>2026-08-28</t>
        </is>
      </c>
      <c r="C213" s="112" t="inlineStr">
        <is>
          <t>D16.26: In court - end-to-end advocate behaviour; detailed implementation audit and improvement recommendation are on the Advocate Behaviour sheet.</t>
        </is>
      </c>
      <c r="D213" s="116" t="inlineStr">
        <is>
          <t>D16</t>
        </is>
      </c>
      <c r="E213" s="112" t="inlineStr">
        <is>
          <t>AB-26 (Advocate Behaviour sheet)</t>
        </is>
      </c>
      <c r="F213" s="116" t="inlineStr">
        <is>
          <t>decided</t>
        </is>
      </c>
    </row>
    <row r="214" ht="42" customHeight="1">
      <c r="A214" s="115" t="inlineStr">
        <is>
          <t>213</t>
        </is>
      </c>
      <c r="B214" s="116" t="inlineStr">
        <is>
          <t>2026-08-28</t>
        </is>
      </c>
      <c r="C214" s="112" t="inlineStr">
        <is>
          <t>D16.27: Ongoing service - end-to-end advocate behaviour; detailed implementation audit and improvement recommendation are on the Advocate Behaviour sheet.</t>
        </is>
      </c>
      <c r="D214" s="116" t="inlineStr">
        <is>
          <t>D16</t>
        </is>
      </c>
      <c r="E214" s="112" t="inlineStr">
        <is>
          <t>AB-27 (Advocate Behaviour sheet)</t>
        </is>
      </c>
      <c r="F214" s="116" t="inlineStr">
        <is>
          <t>built</t>
        </is>
      </c>
    </row>
    <row r="215" ht="42" customHeight="1">
      <c r="A215" s="113" t="inlineStr">
        <is>
          <t>214</t>
        </is>
      </c>
      <c r="B215" s="114" t="inlineStr">
        <is>
          <t>2026-08-28</t>
        </is>
      </c>
      <c r="C215" s="110" t="inlineStr">
        <is>
          <t>D16.28: After each event and at closure - end-to-end advocate behaviour; detailed implementation audit and improvement recommendation are on the Advocate Behaviour sheet.</t>
        </is>
      </c>
      <c r="D215" s="114" t="inlineStr">
        <is>
          <t>D16</t>
        </is>
      </c>
      <c r="E215" s="110" t="inlineStr">
        <is>
          <t>AB-28 (Advocate Behaviour sheet)</t>
        </is>
      </c>
      <c r="F215" s="114" t="inlineStr">
        <is>
          <t>built</t>
        </is>
      </c>
    </row>
  </sheetData>
  <conditionalFormatting sqref="F188:F215">
    <cfRule type="containsText" priority="1" operator="containsText" dxfId="0" text="tested"/>
    <cfRule type="containsText" priority="2" operator="containsText" dxfId="2" text="built"/>
    <cfRule type="containsText" priority="3" operator="containsText" dxfId="1" text="decided"/>
    <cfRule type="containsText" priority="4" operator="containsText" dxfId="10" text="tested"/>
    <cfRule type="containsText" priority="5" operator="containsText" dxfId="12" text="built"/>
    <cfRule type="containsText" priority="6" operator="containsText" dxfId="11" text="decided"/>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6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4" customWidth="1" min="3" max="3"/>
    <col width="46" customWidth="1" min="4" max="4"/>
    <col width="74" customWidth="1" min="5" max="5"/>
    <col width="6" customWidth="1" min="6" max="6"/>
    <col width="6" customWidth="1" min="7" max="7"/>
    <col width="9" customWidth="1" min="8" max="8"/>
    <col width="40" customWidth="1" min="9" max="9"/>
    <col width="44" customWidth="1" min="10" max="10"/>
  </cols>
  <sheetData>
    <row r="1">
      <c r="A1" s="119" t="inlineStr">
        <is>
          <t>ID</t>
        </is>
      </c>
      <c r="B1" s="119" t="inlineStr">
        <is>
          <t>Found by</t>
        </is>
      </c>
      <c r="C1" s="119" t="inlineStr">
        <is>
          <t>Where</t>
        </is>
      </c>
      <c r="D1" s="119" t="inlineStr">
        <is>
          <t>Defect</t>
        </is>
      </c>
      <c r="E1" s="119" t="inlineStr">
        <is>
          <t>Detail</t>
        </is>
      </c>
      <c r="F1" s="119" t="inlineStr">
        <is>
          <t>Sev</t>
        </is>
      </c>
      <c r="G1" s="119" t="inlineStr">
        <is>
          <t>Pts</t>
        </is>
      </c>
      <c r="H1" s="119" t="inlineStr">
        <is>
          <t>Status</t>
        </is>
      </c>
      <c r="I1" s="119" t="inlineStr">
        <is>
          <t>Fix / story</t>
        </is>
      </c>
      <c r="J1" s="119" t="inlineStr">
        <is>
          <t>Evidence</t>
        </is>
      </c>
    </row>
    <row r="2">
      <c r="A2" s="34" t="inlineStr">
        <is>
          <t>B-01</t>
        </is>
      </c>
      <c r="B2" s="35" t="inlineStr">
        <is>
          <t>live session</t>
        </is>
      </c>
      <c r="C2" s="35" t="inlineStr">
        <is>
          <t>agents/legal_analysis</t>
        </is>
      </c>
      <c r="D2" s="4" t="inlineStr">
        <is>
          <t>Stale call site after a rename emptied every charge map</t>
        </is>
      </c>
      <c r="E2" s="4" t="inlineStr">
        <is>
          <t>A rename left `_drop_non_issues` referenced but undefined. It raised NameError on every matter for weeks; a broad `except Exception` logged it as a model failure, so the symptom looked like flakiness.</t>
        </is>
      </c>
      <c r="F2" s="120" t="inlineStr">
        <is>
          <t>P1</t>
        </is>
      </c>
      <c r="G2" s="30" t="n">
        <v>3</v>
      </c>
      <c r="H2" s="121" t="inlineStr">
        <is>
          <t>fixed</t>
        </is>
      </c>
      <c r="I2" s="4" t="inlineStr">
        <is>
          <t>legacy fix; rule carried into F-10 + exceptcheck</t>
        </is>
      </c>
      <c r="J2" s="4" t="inlineStr">
        <is>
          <t>resolve_charges returned 0 charges on a matter with 9 merits issues</t>
        </is>
      </c>
    </row>
    <row r="3">
      <c r="A3" s="34" t="inlineStr">
        <is>
          <t>B-02</t>
        </is>
      </c>
      <c r="B3" s="35" t="inlineStr">
        <is>
          <t>live session</t>
        </is>
      </c>
      <c r="C3" s="35" t="inlineStr">
        <is>
          <t>agents/orchestrator</t>
        </is>
      </c>
      <c r="D3" s="4" t="inlineStr">
        <is>
          <t>Every advising turn crashed on an unbound local</t>
        </is>
      </c>
      <c r="E3" s="4" t="inlineStr">
        <is>
          <t>The AUTHORITATIVE CHARGES block was indented into the `steps` branch instead of the `charges` branch, so `_cite_how` was used before assignment on every advising turn.</t>
        </is>
      </c>
      <c r="F3" s="120" t="inlineStr">
        <is>
          <t>P1</t>
        </is>
      </c>
      <c r="G3" s="30" t="n">
        <v>2</v>
      </c>
      <c r="H3" s="121" t="inlineStr">
        <is>
          <t>fixed</t>
        </is>
      </c>
      <c r="I3" s="4" t="inlineStr">
        <is>
          <t>legacy fix; swept by pylint E0601/E0606 in CI</t>
        </is>
      </c>
      <c r="J3" s="4" t="inlineStr">
        <is>
          <t>UnboundLocalError on every advising turn; 40/40 offline tests green throughout</t>
        </is>
      </c>
    </row>
    <row r="4">
      <c r="A4" s="34" t="inlineStr">
        <is>
          <t>B-03</t>
        </is>
      </c>
      <c r="B4" s="35" t="inlineStr">
        <is>
          <t>live session</t>
        </is>
      </c>
      <c r="C4" s="35" t="inlineStr">
        <is>
          <t>agents/legal_analysis</t>
        </is>
      </c>
      <c r="D4" s="4" t="inlineStr">
        <is>
          <t>An invented track vocabulary emptied the charge map</t>
        </is>
      </c>
      <c r="E4" s="4" t="inlineStr">
        <is>
          <t>The charge resolver returned tracks {'civil': 2, 'revenue': 1} — subject words, not procedural tracks. They passed unvalidated and merits_only dropped every one.</t>
        </is>
      </c>
      <c r="F4" s="120" t="inlineStr">
        <is>
          <t>P1</t>
        </is>
      </c>
      <c r="G4" s="30" t="n">
        <v>3</v>
      </c>
      <c r="H4" s="121" t="inlineStr">
        <is>
          <t>fixed</t>
        </is>
      </c>
      <c r="I4" s="4" t="inlineStr">
        <is>
          <t>legacy fix; generalised as F5 (closed vocabulary validated at every entry)</t>
        </is>
      </c>
      <c r="J4" s="4" t="inlineStr">
        <is>
          <t>{'civil','revenue'} -&gt; 0 charges on a 9-issue matter</t>
        </is>
      </c>
    </row>
    <row r="5">
      <c r="A5" s="34" t="inlineStr">
        <is>
          <t>B-04</t>
        </is>
      </c>
      <c r="B5" s="35" t="inlineStr">
        <is>
          <t>retrieval probe</t>
        </is>
      </c>
      <c r="C5" s="35" t="inlineStr">
        <is>
          <t>retrieval/retriever</t>
        </is>
      </c>
      <c r="D5" s="4" t="inlineStr">
        <is>
          <t>An unlisted atom type scored below every listed one</t>
        </is>
      </c>
      <c r="E5" s="4" t="inlineStr">
        <is>
          <t>`table.get(kind, 0.0)` made any atom type absent from the priors table score worse than all present ones, and the bonus was an absolute constant larger than the whole RRF range (best fused score 2/61).</t>
        </is>
      </c>
      <c r="F5" s="120" t="inlineStr">
        <is>
          <t>P1</t>
        </is>
      </c>
      <c r="G5" s="30" t="n">
        <v>5</v>
      </c>
      <c r="H5" s="121" t="inlineStr">
        <is>
          <t>fixed</t>
        </is>
      </c>
      <c r="I5" s="4" t="inlineStr">
        <is>
          <t>legacy fix; generalised as R4 (absent key is neutral; scale to the spread)</t>
        </is>
      </c>
      <c r="J5" s="4" t="inlineStr">
        <is>
          <t>Limitation Art. 59: rank 1 -&gt; 53 of 60; after the fix rank 1, and rank 2 with its own entry stripped</t>
        </is>
      </c>
    </row>
    <row r="6">
      <c r="A6" s="34" t="inlineStr">
        <is>
          <t>B-05</t>
        </is>
      </c>
      <c r="B6" s="35" t="inlineStr">
        <is>
          <t>index audit</t>
        </is>
      </c>
      <c r="C6" s="35" t="inlineStr">
        <is>
          <t>legal_database</t>
        </is>
      </c>
      <c r="D6" s="4" t="inlineStr">
        <is>
          <t>A stale BM25 index served old results silently</t>
        </is>
      </c>
      <c r="E6" s="4" t="inlineStr">
        <is>
          <t>The native BM25 index held 411,797 documents against the JSON's 414,710 and had been stale since 11 July, answering every query without complaint.</t>
        </is>
      </c>
      <c r="F6" s="120" t="inlineStr">
        <is>
          <t>P1</t>
        </is>
      </c>
      <c r="G6" s="30" t="n">
        <v>2</v>
      </c>
      <c r="H6" s="121" t="inlineStr">
        <is>
          <t>fixed</t>
        </is>
      </c>
      <c r="I6" s="4" t="inlineStr">
        <is>
          <t>legacy fix; generalised as G21 / I-08 (stale artefact refused)</t>
        </is>
      </c>
      <c r="J6" s="4" t="inlineStr">
        <is>
          <t>411,797 vs 414,710 documents</t>
        </is>
      </c>
    </row>
    <row r="7">
      <c r="A7" s="34" t="inlineStr">
        <is>
          <t>B-06</t>
        </is>
      </c>
      <c r="B7" s="35" t="inlineStr">
        <is>
          <t>live session</t>
        </is>
      </c>
      <c r="C7" s="35" t="inlineStr">
        <is>
          <t>agents/posture</t>
        </is>
      </c>
      <c r="D7" s="4" t="inlineStr">
        <is>
          <t>Posture inverted: advice given to the wrong side</t>
        </is>
      </c>
      <c r="E7" s="4" t="inlineStr">
        <is>
          <t>NM told a client who had drawn a dishonoured cheque to file the s.138 complaint against himself, and told an employer who had dismissed a workman that he could claim reinstatement. Every citation was real and apposite.</t>
        </is>
      </c>
      <c r="F7" s="120" t="inlineStr">
        <is>
          <t>P1</t>
        </is>
      </c>
      <c r="G7" s="30" t="n">
        <v>8</v>
      </c>
      <c r="H7" s="121" t="inlineStr">
        <is>
          <t>fixed</t>
        </is>
      </c>
      <c r="I7" s="4" t="inlineStr">
        <is>
          <t>legacy fix (agents/posture.py); rebuilt as PO-01..PO-05</t>
        </is>
      </c>
      <c r="J7" s="4" t="inlineStr">
        <is>
          <t>5-dispute live file; 2 of 5 threads inverted. Legacy fix NOT verified live</t>
        </is>
      </c>
    </row>
    <row r="8">
      <c r="A8" s="34" t="inlineStr">
        <is>
          <t>B-07</t>
        </is>
      </c>
      <c r="B8" s="35" t="inlineStr">
        <is>
          <t>measurement</t>
        </is>
      </c>
      <c r="C8" s="35" t="inlineStr">
        <is>
          <t>agents/legal_analysis</t>
        </is>
      </c>
      <c r="D8" s="4" t="inlineStr">
        <is>
          <t>Classification deleted 20.1% of every issue ever spotted</t>
        </is>
      </c>
      <c r="E8" s="4" t="inlineStr">
        <is>
          <t>The pre-routing filters discarded 641 of 3,192 issue labels across every stored matter, led by limitation (122), bail (86) and forum/jurisdiction (58) — the three an advocate can least afford to lose.</t>
        </is>
      </c>
      <c r="F8" s="120" t="inlineStr">
        <is>
          <t>P1</t>
        </is>
      </c>
      <c r="G8" s="30" t="n">
        <v>5</v>
      </c>
      <c r="H8" s="121" t="inlineStr">
        <is>
          <t>fixed</t>
        </is>
      </c>
      <c r="I8" s="4" t="inlineStr">
        <is>
          <t>legacy fix (route, never delete); rebuilt as F2 / IS-04</t>
        </is>
      </c>
      <c r="J8" s="4" t="inlineStr">
        <is>
          <t>641 of 3,192 labels discarded</t>
        </is>
      </c>
    </row>
    <row r="9">
      <c r="A9" s="34" t="inlineStr">
        <is>
          <t>B-08</t>
        </is>
      </c>
      <c r="B9" s="35" t="inlineStr">
        <is>
          <t>ingest audit</t>
        </is>
      </c>
      <c r="C9" s="35" t="inlineStr">
        <is>
          <t>legal_database</t>
        </is>
      </c>
      <c r="D9" s="4" t="inlineStr">
        <is>
          <t>A judgment was ingested twice</t>
        </is>
      </c>
      <c r="E9" s="4" t="inlineStr">
        <is>
          <t>Vidhyadhar v Manikrao was ingested as a new case while already present under SC_1999_VIDHYADHAR_VS_MANIKRAO_ANR.</t>
        </is>
      </c>
      <c r="F9" s="122" t="inlineStr">
        <is>
          <t>P3</t>
        </is>
      </c>
      <c r="G9" s="30" t="n">
        <v>1</v>
      </c>
      <c r="H9" s="121" t="inlineStr">
        <is>
          <t>fixed</t>
        </is>
      </c>
      <c r="I9" s="4" t="inlineStr">
        <is>
          <t>removed; prevented by I-06 (idempotent ingest)</t>
        </is>
      </c>
      <c r="J9" s="4" t="inlineStr">
        <is>
          <t>5th false retrieval gap traced to a duplicate</t>
        </is>
      </c>
    </row>
    <row r="10">
      <c r="A10" s="34" t="inlineStr">
        <is>
          <t>B-09</t>
        </is>
      </c>
      <c r="B10" s="35" t="inlineStr">
        <is>
          <t>live session</t>
        </is>
      </c>
      <c r="C10" s="35" t="inlineStr">
        <is>
          <t>agents/orchestrator</t>
        </is>
      </c>
      <c r="D10" s="4" t="inlineStr">
        <is>
          <t>A date given in the brief was never applied to limitation</t>
        </is>
      </c>
      <c r="E10" s="4" t="inlineStr">
        <is>
          <t>NM was told the debtor acknowledged the debt in writing on 12 June 2024, repeated it back, and still concluded the claim was time-barred counting three years from the March 2023 invoices.</t>
        </is>
      </c>
      <c r="F10" s="120" t="inlineStr">
        <is>
          <t>P1</t>
        </is>
      </c>
      <c r="G10" s="30" t="n">
        <v>8</v>
      </c>
      <c r="H10" s="123" t="inlineStr">
        <is>
          <t>answered</t>
        </is>
      </c>
      <c r="I10" s="4" t="inlineStr">
        <is>
          <t>LM-04 / coverage is set equality with the chronology</t>
        </is>
      </c>
      <c r="J10" s="4" t="inlineStr">
        <is>
          <t>test_coverage_is_l5_as_a_set_equality_check - every chronology fact appears in coverage with an effect or an exclusion, so a date the brief gave cannot be silently unused</t>
        </is>
      </c>
    </row>
    <row r="11">
      <c r="A11" s="34" t="inlineStr">
        <is>
          <t>B-10</t>
        </is>
      </c>
      <c r="B11" s="35" t="inlineStr">
        <is>
          <t>code audit</t>
        </is>
      </c>
      <c r="C11" s="35" t="inlineStr">
        <is>
          <t>agents/*</t>
        </is>
      </c>
      <c r="D11" s="4" t="inlineStr">
        <is>
          <t>A prompt change lands in only one of two prompt systems</t>
        </is>
      </c>
      <c r="E11" s="4" t="inlineStr">
        <is>
          <t>The consult path uses _CONSULT_PROMPT; the structured-intake path builds its own _narrow_prompt and never touches it. A change described as global applies to half the product.</t>
        </is>
      </c>
      <c r="F11" s="120" t="inlineStr">
        <is>
          <t>P1</t>
        </is>
      </c>
      <c r="G11" s="30" t="n">
        <v>5</v>
      </c>
      <c r="H11" s="123" t="inlineStr">
        <is>
          <t>answered</t>
        </is>
      </c>
      <c r="I11" s="4" t="inlineStr">
        <is>
          <t>F-11 / a prompt has exactly one owner</t>
        </is>
      </c>
      <c r="J11" s="4" t="inlineStr">
        <is>
          <t>test_a_prompt_has_exactly_one_owner - no prompt string appears in two modules, so a change cannot land in half the product. The legacy split between _CONSULT_PROMPT and intake_engine._narrow_prompt is unchanged and stays that way</t>
        </is>
      </c>
    </row>
    <row r="12">
      <c r="A12" s="34" t="inlineStr">
        <is>
          <t>B-11</t>
        </is>
      </c>
      <c r="B12" s="35" t="inlineStr">
        <is>
          <t>code audit</t>
        </is>
      </c>
      <c r="C12" s="35" t="inlineStr">
        <is>
          <t>agents/orchestrator</t>
        </is>
      </c>
      <c r="D12" s="4" t="inlineStr">
        <is>
          <t>Andhra Pradesh authority is weighted without regard to date</t>
        </is>
      </c>
      <c r="E12" s="4" t="inlineStr">
        <is>
          <t>_court_weight gives AP a flat rung, so a 2015 AP judgment (binding on Telangana as the predecessor court) and a 2022 one (another state's HC, persuasive only) are treated identically. The year is already in the record.</t>
        </is>
      </c>
      <c r="F12" s="124" t="inlineStr">
        <is>
          <t>P2</t>
        </is>
      </c>
      <c r="G12" s="30" t="n">
        <v>3</v>
      </c>
      <c r="H12" s="123" t="inlineStr">
        <is>
          <t>answered</t>
        </is>
      </c>
      <c r="I12" s="4" t="inlineStr">
        <is>
          <t>V-04 / binding computed from court, year and forum</t>
        </is>
      </c>
      <c r="J12" s="4" t="inlineStr">
        <is>
          <t>nm/knowledge/authority.py - a citation carries binding or persuasive RELATIVE to the forum asking, and the year is part of the computation rather than a tiebreak</t>
        </is>
      </c>
    </row>
    <row r="13">
      <c r="A13" s="34" t="inlineStr">
        <is>
          <t>B-12</t>
        </is>
      </c>
      <c r="B13" s="35" t="inlineStr">
        <is>
          <t>code audit</t>
        </is>
      </c>
      <c r="C13" s="35" t="inlineStr">
        <is>
          <t>agents/orchestrator</t>
        </is>
      </c>
      <c r="D13" s="4" t="inlineStr">
        <is>
          <t>A court-ranking rung matches nothing</t>
        </is>
      </c>
      <c r="E13" s="4" t="inlineStr">
        <is>
          <t>The `telangana` rung in _court_weight is dead code, because the corpus holds no Telangana judgments at all.</t>
        </is>
      </c>
      <c r="F13" s="122" t="inlineStr">
        <is>
          <t>P3</t>
        </is>
      </c>
      <c r="G13" s="30" t="n">
        <v>1</v>
      </c>
      <c r="H13" s="120" t="inlineStr">
        <is>
          <t>open</t>
        </is>
      </c>
      <c r="I13" s="4" t="inlineStr">
        <is>
          <t>I-03 (ingest Telangana HC)</t>
        </is>
      </c>
      <c r="J13" s="4" t="inlineStr">
        <is>
          <t>0 Telangana HC judgments in 33,791</t>
        </is>
      </c>
    </row>
    <row r="14">
      <c r="A14" s="34" t="inlineStr">
        <is>
          <t>B-13</t>
        </is>
      </c>
      <c r="B14" s="35" t="inlineStr">
        <is>
          <t>corpus audit</t>
        </is>
      </c>
      <c r="C14" s="35" t="inlineStr">
        <is>
          <t>legal_database</t>
        </is>
      </c>
      <c r="D14" s="4" t="inlineStr">
        <is>
          <t>The binding High Court for the jurisdiction is entirely absent</t>
        </is>
      </c>
      <c r="E14" s="4" t="inlineStr">
        <is>
          <t>Since the 1 January 2019 bifurcation the Telangana High Court is THE binding HC for every matter NM advises on, and the corpus holds none of it — seven years missing.</t>
        </is>
      </c>
      <c r="F14" s="120" t="inlineStr">
        <is>
          <t>P1</t>
        </is>
      </c>
      <c r="G14" s="30" t="n">
        <v>13</v>
      </c>
      <c r="H14" s="120" t="inlineStr">
        <is>
          <t>open</t>
        </is>
      </c>
      <c r="I14" s="4" t="inlineStr">
        <is>
          <t>I-03</t>
        </is>
      </c>
      <c r="J14" s="4" t="inlineStr">
        <is>
          <t>SC 29,511 / AP HC 4,280 (1954-2018) / Telangana HC 0</t>
        </is>
      </c>
    </row>
    <row r="15">
      <c r="A15" s="34" t="inlineStr">
        <is>
          <t>B-14</t>
        </is>
      </c>
      <c r="B15" s="35" t="inlineStr">
        <is>
          <t>corpus audit</t>
        </is>
      </c>
      <c r="C15" s="35" t="inlineStr">
        <is>
          <t>legal_database</t>
        </is>
      </c>
      <c r="D15" s="4" t="inlineStr">
        <is>
          <t>Counsel's submissions are quotable as the court's holding</t>
        </is>
      </c>
      <c r="E15" s="4" t="inlineStr">
        <is>
          <t>Every case chunk carries paragraph_type, and the field never reaches the precedent record. 14.8% of paragraphs (149,960) are `arguments` — recorded, not adopted.</t>
        </is>
      </c>
      <c r="F15" s="120" t="inlineStr">
        <is>
          <t>P1</t>
        </is>
      </c>
      <c r="G15" s="30" t="n">
        <v>5</v>
      </c>
      <c r="H15" s="123" t="inlineStr">
        <is>
          <t>answered</t>
        </is>
      </c>
      <c r="I15" s="4" t="inlineStr">
        <is>
          <t>V-03 / attribution is gated on paragraph kind</t>
        </is>
      </c>
      <c r="J15" s="4" t="inlineStr">
        <is>
          <t>test_counsels_submission_may_not_be_attributed_to_the_court - a proposition drawn from an arguments paragraph fails, and an unclassified paragraph is not attributable either</t>
        </is>
      </c>
    </row>
    <row r="16">
      <c r="A16" s="34" t="inlineStr">
        <is>
          <t>B-15</t>
        </is>
      </c>
      <c r="B16" s="35" t="inlineStr">
        <is>
          <t>corpus audit</t>
        </is>
      </c>
      <c r="C16" s="35" t="inlineStr">
        <is>
          <t>legal_database</t>
        </is>
      </c>
      <c r="D16" s="4" t="inlineStr">
        <is>
          <t>A quarter of case paragraphs are unclassified</t>
        </is>
      </c>
      <c r="E16" s="4" t="inlineStr">
        <is>
          <t>26.7% of paragraphs have paragraph_type `unknown`, so they can be neither safely attributed nor safely excluded.</t>
        </is>
      </c>
      <c r="F16" s="124" t="inlineStr">
        <is>
          <t>P2</t>
        </is>
      </c>
      <c r="G16" s="30" t="n">
        <v>8</v>
      </c>
      <c r="H16" s="120" t="inlineStr">
        <is>
          <t>open</t>
        </is>
      </c>
      <c r="I16" s="4" t="inlineStr">
        <is>
          <t>I-04 (classification pass)</t>
        </is>
      </c>
      <c r="J16" s="4" t="inlineStr">
        <is>
          <t>271,020 of 1,015,756 paragraphs</t>
        </is>
      </c>
    </row>
    <row r="17">
      <c r="A17" s="34" t="inlineStr">
        <is>
          <t>B-16</t>
        </is>
      </c>
      <c r="B17" s="35" t="inlineStr">
        <is>
          <t>code audit</t>
        </is>
      </c>
      <c r="C17" s="35" t="inlineStr">
        <is>
          <t>retrieval/citator</t>
        </is>
      </c>
      <c r="D17" s="4" t="inlineStr">
        <is>
          <t>An overruled judgment can be cited with no warning</t>
        </is>
      </c>
      <c r="E17" s="4" t="inlineStr">
        <is>
          <t>The citator is gated off from user-facing output by default, so adverse treatment never reaches the advocate.</t>
        </is>
      </c>
      <c r="F17" s="120" t="inlineStr">
        <is>
          <t>P1</t>
        </is>
      </c>
      <c r="G17" s="30" t="n">
        <v>5</v>
      </c>
      <c r="H17" s="120" t="inlineStr">
        <is>
          <t>open</t>
        </is>
      </c>
      <c r="I17" s="4" t="inlineStr">
        <is>
          <t>C-05, C-07</t>
        </is>
      </c>
      <c r="J17" s="4" t="inlineStr">
        <is>
          <t>4,894 cases held, 1,317 flagged negative (283 OVERRULED, 76 PER_INCURIAM)</t>
        </is>
      </c>
    </row>
    <row r="18">
      <c r="A18" s="34" t="inlineStr">
        <is>
          <t>B-17</t>
        </is>
      </c>
      <c r="B18" s="35" t="inlineStr">
        <is>
          <t>code audit</t>
        </is>
      </c>
      <c r="C18" s="35" t="inlineStr">
        <is>
          <t>retrieval/citator</t>
        </is>
      </c>
      <c r="D18" s="4" t="inlineStr">
        <is>
          <t>Treatment is inferred from phrases, with predictable false positives</t>
        </is>
      </c>
      <c r="E18" s="4" t="inlineStr">
        <is>
          <t>`set aside` maps to REVERSED, and that phrase appears in a very large share of judgments meaning the IMPUGNED ORDER was set aside — nothing to do with the cited case. `followed` and `relied on` have the same problem.</t>
        </is>
      </c>
      <c r="F18" s="120" t="inlineStr">
        <is>
          <t>P1</t>
        </is>
      </c>
      <c r="G18" s="30" t="n">
        <v>13</v>
      </c>
      <c r="H18" s="120" t="inlineStr">
        <is>
          <t>open</t>
        </is>
      </c>
      <c r="I18" s="4" t="inlineStr">
        <is>
          <t>C-01, C-02 (read the relation, retire the vocabulary)</t>
        </is>
      </c>
      <c r="J18" s="4" t="inlineStr">
        <is>
          <t>Precision never measured; this is why the flag is gated off</t>
        </is>
      </c>
    </row>
    <row r="19">
      <c r="A19" s="34" t="inlineStr">
        <is>
          <t>B-18</t>
        </is>
      </c>
      <c r="B19" s="35" t="inlineStr">
        <is>
          <t>corpus audit</t>
        </is>
      </c>
      <c r="C19" s="35" t="inlineStr">
        <is>
          <t>legal_database</t>
        </is>
      </c>
      <c r="D19" s="4" t="inlineStr">
        <is>
          <t>The citation field misses nine in ten citing paragraphs</t>
        </is>
      </c>
      <c r="E19" s="4" t="inlineStr">
        <is>
          <t>`cited_cases` is populated on 1.5% of paragraphs while 19.3% visibly name a case. Using it as a recall net inherits a 92.3% hole — a structured field that looks sound and is not.</t>
        </is>
      </c>
      <c r="F19" s="120" t="inlineStr">
        <is>
          <t>P1</t>
        </is>
      </c>
      <c r="G19" s="30" t="n">
        <v>8</v>
      </c>
      <c r="H19" s="123" t="inlineStr">
        <is>
          <t>answered</t>
        </is>
      </c>
      <c r="I19" s="4" t="inlineStr">
        <is>
          <t>C-01 / recall is measured before the extractor is trusted</t>
        </is>
      </c>
      <c r="J19" s="4" t="inlineStr">
        <is>
          <t>test_s06_recall_at_k_requires_person_vetted_real_pairs - nm reads citing paragraphs itself and measures what it finds, rather than trusting the corpus citation field</t>
        </is>
      </c>
    </row>
    <row r="20">
      <c r="A20" s="34" t="inlineStr">
        <is>
          <t>B-19</t>
        </is>
      </c>
      <c r="B20" s="35" t="inlineStr">
        <is>
          <t>corpus audit</t>
        </is>
      </c>
      <c r="C20" s="35" t="inlineStr">
        <is>
          <t>legal_database</t>
        </is>
      </c>
      <c r="D20" s="4" t="inlineStr">
        <is>
          <t>93.5% of Acts are held under two id conventions</t>
        </is>
      </c>
      <c r="E20" s="4" t="inlineStr">
        <is>
          <t>1,541 of 1,648 Act subjects exist under both `UNION OF INDIA_1961_0_THE INCOME TAX ACT, 1961` and `the_income_tax_act_1961`. Every case is a convention collision; zero same-convention groups.</t>
        </is>
      </c>
      <c r="F20" s="120" t="inlineStr">
        <is>
          <t>P1</t>
        </is>
      </c>
      <c r="G20" s="30" t="n">
        <v>8</v>
      </c>
      <c r="H20" s="123" t="inlineStr">
        <is>
          <t>answered</t>
        </is>
      </c>
      <c r="I20" s="4" t="inlineStr">
        <is>
          <t>I-06 / identity is the subject, not the id string</t>
        </is>
      </c>
      <c r="J20" s="4" t="inlineStr">
        <is>
          <t>test_a_prefixed_and_snake_pair_is_certainly_a_spelling_duplicate, test_two_ids_in_the_same_convention_are_not_assumed_to_be_duplicates - a manifest keyed on subject cannot double-count a convention collision, and a same-convention pair is not assumed to be one</t>
        </is>
      </c>
    </row>
    <row r="21">
      <c r="A21" s="34" t="inlineStr">
        <is>
          <t>B-20</t>
        </is>
      </c>
      <c r="B21" s="35" t="inlineStr">
        <is>
          <t>code audit</t>
        </is>
      </c>
      <c r="C21" s="35" t="inlineStr">
        <is>
          <t>agents/intake_engine</t>
        </is>
      </c>
      <c r="D21" s="4" t="inlineStr">
        <is>
          <t>A regex discards threads and their sub-issues</t>
        </is>
      </c>
      <c r="E21" s="4" t="inlineStr">
        <is>
          <t>Consolidated threads whose LABEL matches limitation, jurisdiction, bail, maintainability, relief or procedure are dropped, and their sub_issues go with them. A file whose only matter is anticipatory bail can end triage with no threads at all.</t>
        </is>
      </c>
      <c r="F21" s="120" t="inlineStr">
        <is>
          <t>P1</t>
        </is>
      </c>
      <c r="G21" s="30" t="n">
        <v>5</v>
      </c>
      <c r="H21" s="123" t="inlineStr">
        <is>
          <t>answered</t>
        </is>
      </c>
      <c r="I21" s="4" t="inlineStr">
        <is>
          <t>GQ-02 / route, never delete</t>
        </is>
      </c>
      <c r="J21" s="4" t="inlineStr">
        <is>
          <t>nm/core/queue.py - build_queue ranks; nothing removes a thread from the file, so a sub-issue cannot be discarded by a pattern that failed to recognise it</t>
        </is>
      </c>
    </row>
    <row r="22">
      <c r="A22" s="34" t="inlineStr">
        <is>
          <t>B-21</t>
        </is>
      </c>
      <c r="B22" s="35" t="inlineStr">
        <is>
          <t>code audit</t>
        </is>
      </c>
      <c r="C22" s="35" t="inlineStr">
        <is>
          <t>agents/intake_engine</t>
        </is>
      </c>
      <c r="D22" s="4" t="inlineStr">
        <is>
          <t>Consolidation truncates to four matters, silently</t>
        </is>
      </c>
      <c r="E22" s="4" t="inlineStr">
        <is>
          <t>A file with five disputes loses the fifth with no statement. D6 records that multi-dispute files are the NORMAL case.</t>
        </is>
      </c>
      <c r="F22" s="124" t="inlineStr">
        <is>
          <t>P2</t>
        </is>
      </c>
      <c r="G22" s="30" t="n">
        <v>2</v>
      </c>
      <c r="H22" s="123" t="inlineStr">
        <is>
          <t>answered</t>
        </is>
      </c>
      <c r="I22" s="4" t="inlineStr">
        <is>
          <t>Q7 / T-06 - deferred threads are visible with a reason</t>
        </is>
      </c>
      <c r="J22" s="4" t="inlineStr">
        <is>
          <t>nm/core/queue.py::GapQueue.plan - every thread is accounted for; a deferral is a stated outcome, so nothing is capped away silently</t>
        </is>
      </c>
    </row>
    <row r="23">
      <c r="A23" s="34" t="inlineStr">
        <is>
          <t>B-22</t>
        </is>
      </c>
      <c r="B23" s="35" t="inlineStr">
        <is>
          <t>code audit</t>
        </is>
      </c>
      <c r="C23" s="35" t="inlineStr">
        <is>
          <t>agents/intake_engine</t>
        </is>
      </c>
      <c r="D23" s="4" t="inlineStr">
        <is>
          <t>Merits questions are asked before posture and limitation are settled</t>
        </is>
      </c>
      <c r="E23" s="4" t="inlineStr">
        <is>
          <t>The phase sequence has no posture gate and no limitation gate, so INGREDIENTS asks statutory-ingredient questions before either is resolved — the order-of-work defect D7 was adopted to fix, still live in the conversation layer.</t>
        </is>
      </c>
      <c r="F23" s="120" t="inlineStr">
        <is>
          <t>P1</t>
        </is>
      </c>
      <c r="G23" s="30" t="n">
        <v>5</v>
      </c>
      <c r="H23" s="123" t="inlineStr">
        <is>
          <t>answered</t>
        </is>
      </c>
      <c r="I23" s="4" t="inlineStr">
        <is>
          <t>GQ-01 / two gates block, the rest rank</t>
        </is>
      </c>
      <c r="J23" s="4" t="inlineStr">
        <is>
          <t>test_exactly_two_gates_block, test_an_open_blocking_gate_blocks_the_thread - merits work cannot begin below an open posture or limitation gate</t>
        </is>
      </c>
    </row>
    <row r="24">
      <c r="A24" s="34" t="inlineStr">
        <is>
          <t>B-23</t>
        </is>
      </c>
      <c r="B24" s="35" t="inlineStr">
        <is>
          <t>code audit</t>
        </is>
      </c>
      <c r="C24" s="35" t="inlineStr">
        <is>
          <t>agents, infra</t>
        </is>
      </c>
      <c r="D24" s="4" t="inlineStr">
        <is>
          <t>Turn timings are logged and never collected</t>
        </is>
      </c>
      <c r="E24" s="4" t="inlineStr">
        <is>
          <t>Stage timings exist as log lines. There is no sink and no comparability, so 'did this get worse' cannot be answered at all.</t>
        </is>
      </c>
      <c r="F24" s="124" t="inlineStr">
        <is>
          <t>P2</t>
        </is>
      </c>
      <c r="G24" s="30" t="n">
        <v>3</v>
      </c>
      <c r="H24" s="121" t="inlineStr">
        <is>
          <t>fixed</t>
        </is>
      </c>
      <c r="I24" s="4" t="inlineStr">
        <is>
          <t>F-08 in the new build (TurnMetrics + sink); legacy unchanged</t>
        </is>
      </c>
      <c r="J24" s="4" t="inlineStr">
        <is>
          <t>No structured metrics sink found in agents/ or infra/</t>
        </is>
      </c>
    </row>
    <row r="25">
      <c r="A25" s="34" t="inlineStr">
        <is>
          <t>B-24</t>
        </is>
      </c>
      <c r="B25" s="35" t="inlineStr">
        <is>
          <t>code audit</t>
        </is>
      </c>
      <c r="C25" s="35" t="inlineStr">
        <is>
          <t>retrieval/retriever</t>
        </is>
      </c>
      <c r="D25" s="4" t="inlineStr">
        <is>
          <t>The section-level filter is a stub</t>
        </is>
      </c>
      <c r="E25" s="4" t="inlineStr">
        <is>
          <t>Stage 2 is named in the pipeline and does nothing, so the granularity jumps from one vector per Act to one per sub-clause with nothing between.</t>
        </is>
      </c>
      <c r="F25" s="124" t="inlineStr">
        <is>
          <t>P2</t>
        </is>
      </c>
      <c r="G25" s="30" t="n">
        <v>8</v>
      </c>
      <c r="H25" s="120" t="inlineStr">
        <is>
          <t>open</t>
        </is>
      </c>
      <c r="I25" s="4" t="inlineStr">
        <is>
          <t>X-03 (section-level summaries), G20</t>
        </is>
      </c>
      <c r="J25" s="4" t="inlineStr">
        <is>
          <t>Documented as a reserved hook</t>
        </is>
      </c>
    </row>
    <row r="26">
      <c r="A26" s="34" t="inlineStr">
        <is>
          <t>B-25</t>
        </is>
      </c>
      <c r="B26" s="35" t="inlineStr">
        <is>
          <t>code audit</t>
        </is>
      </c>
      <c r="C26" s="35" t="inlineStr">
        <is>
          <t>retrieval/retriever</t>
        </is>
      </c>
      <c r="D26" s="4" t="inlineStr">
        <is>
          <t>A similarity gate can make a miss unrecoverable</t>
        </is>
      </c>
      <c r="E26" s="4" t="inlineStr">
        <is>
          <t>The coarse gate whitelists five acts from summary embeddings before atom search. If the governing Act misses the gate, nothing downstream can recover it, and the result is indistinguishable from the Act not existing.</t>
        </is>
      </c>
      <c r="F26" s="120" t="inlineStr">
        <is>
          <t>P1</t>
        </is>
      </c>
      <c r="G26" s="30" t="n">
        <v>5</v>
      </c>
      <c r="H26" s="123" t="inlineStr">
        <is>
          <t>answered</t>
        </is>
      </c>
      <c r="I26" s="4" t="inlineStr">
        <is>
          <t>S-02 / similarity may only reorder</t>
        </is>
      </c>
      <c r="J26" s="4" t="inlineStr">
        <is>
          <t>test_the_candidate_set_is_not_narrowed_by_default - no candidate is removed by a top-k or an absolute-threshold cut, so a miss stays recoverable</t>
        </is>
      </c>
    </row>
    <row r="27">
      <c r="A27" s="34" t="inlineStr">
        <is>
          <t>B-26</t>
        </is>
      </c>
      <c r="B27" s="35" t="inlineStr">
        <is>
          <t>code review</t>
        </is>
      </c>
      <c r="C27" s="35" t="inlineStr">
        <is>
          <t>nm/tools/layercheck</t>
        </is>
      </c>
      <c r="D27" s="4" t="inlineStr">
        <is>
          <t>The layer checker ignored every relative import</t>
        </is>
      </c>
      <c r="E27" s="4" t="inlineStr">
        <is>
          <t>A relative import CAN cross a layer: from nm/core/x.py, `from ..adapters.store import Store` resolves to nm.adapters.store. The checker skipped all relative imports, so the main Phase 0 boundary was bypassable while reporting clean.</t>
        </is>
      </c>
      <c r="F27" s="120" t="inlineStr">
        <is>
          <t>P1</t>
        </is>
      </c>
      <c r="G27" s="30" t="n">
        <v>3</v>
      </c>
      <c r="H27" s="121" t="inlineStr">
        <is>
          <t>fixed</t>
        </is>
      </c>
      <c r="I27" s="4" t="inlineStr">
        <is>
          <t>F-02</t>
        </is>
      </c>
      <c r="J27" s="4" t="inlineStr">
        <is>
          <t>Verified with ast; 6 new tests cover the resolution cases</t>
        </is>
      </c>
    </row>
    <row r="28">
      <c r="A28" s="34" t="inlineStr">
        <is>
          <t>B-27</t>
        </is>
      </c>
      <c r="B28" s="35" t="inlineStr">
        <is>
          <t>code review</t>
        </is>
      </c>
      <c r="C28" s="35" t="inlineStr">
        <is>
          <t>nm/tools/layercheck</t>
        </is>
      </c>
      <c r="D28" s="4" t="inlineStr">
        <is>
          <t>The first fix asserted a threat that does not exist</t>
        </is>
      </c>
      <c r="E28" s="4" t="inlineStr">
        <is>
          <t>The fix claimed `from ...agents.posture` in nm/core reaches the legacy tree. Measured against CPython's _resolve_name, that is an ImportError — a relative import climbs to the top-level package at most, so it can never leave nm/. A wrong threat model aims future work at the wrong thing.</t>
        </is>
      </c>
      <c r="F28" s="124" t="inlineStr">
        <is>
          <t>P2</t>
        </is>
      </c>
      <c r="G28" s="30" t="n">
        <v>1</v>
      </c>
      <c r="H28" s="121" t="inlineStr">
        <is>
          <t>fixed</t>
        </is>
      </c>
      <c r="I28" s="4" t="inlineStr">
        <is>
          <t>F-02</t>
        </is>
      </c>
      <c r="J28" s="4" t="inlineStr">
        <is>
          <t>package=nm.core level=3 -&gt; ImportError: beyond top-level package</t>
        </is>
      </c>
    </row>
    <row r="29">
      <c r="A29" s="34" t="inlineStr">
        <is>
          <t>B-28</t>
        </is>
      </c>
      <c r="B29" s="35" t="inlineStr">
        <is>
          <t>code review</t>
        </is>
      </c>
      <c r="C29" s="35" t="inlineStr">
        <is>
          <t>nm/core/answer</t>
        </is>
      </c>
      <c r="D29" s="4" t="inlineStr">
        <is>
          <t>A non-blocking question could displace the recommendation</t>
        </is>
      </c>
      <c r="E29" s="4" t="inlineStr">
        <is>
          <t>S3 requires an action or a BLOCKING question to lead. The check allowed any question, so an ordinary follow-up could lead — which is how 'recommendation first' quietly becomes 'whatever came to mind first'.</t>
        </is>
      </c>
      <c r="F29" s="124" t="inlineStr">
        <is>
          <t>P2</t>
        </is>
      </c>
      <c r="G29" s="30" t="n">
        <v>1</v>
      </c>
      <c r="H29" s="121" t="inlineStr">
        <is>
          <t>fixed</t>
        </is>
      </c>
      <c r="I29" s="4" t="inlineStr">
        <is>
          <t>D-01</t>
        </is>
      </c>
      <c r="J29" s="4" t="inlineStr">
        <is>
          <t>Caught by review, not by the suite</t>
        </is>
      </c>
    </row>
    <row r="30">
      <c r="A30" s="34" t="inlineStr">
        <is>
          <t>B-29</t>
        </is>
      </c>
      <c r="B30" s="35" t="inlineStr">
        <is>
          <t>code review</t>
        </is>
      </c>
      <c r="C30" s="35" t="inlineStr">
        <is>
          <t>nm/core/errors</t>
        </is>
      </c>
      <c r="D30" s="4" t="inlineStr">
        <is>
          <t>guard() defaulted to catching Exception</t>
        </is>
      </c>
      <c r="E30" s="4" t="inlineStr">
        <is>
          <t>The default expect=(Exception,) removed the only friction the function exists to create — and it was a broad catch exceptcheck CANNOT see, because there is no syntactic `except Exception` to flag. The blind spot was made by the API itself.</t>
        </is>
      </c>
      <c r="F30" s="124" t="inlineStr">
        <is>
          <t>P2</t>
        </is>
      </c>
      <c r="G30" s="30" t="n">
        <v>1</v>
      </c>
      <c r="H30" s="121" t="inlineStr">
        <is>
          <t>fixed</t>
        </is>
      </c>
      <c r="I30" s="4" t="inlineStr">
        <is>
          <t>F-10</t>
        </is>
      </c>
      <c r="J30" s="4" t="inlineStr">
        <is>
          <t>expect is now required</t>
        </is>
      </c>
    </row>
    <row r="31">
      <c r="A31" s="34" t="inlineStr">
        <is>
          <t>B-30</t>
        </is>
      </c>
      <c r="B31" s="35" t="inlineStr">
        <is>
          <t>code review</t>
        </is>
      </c>
      <c r="C31" s="35" t="inlineStr">
        <is>
          <t>nm/core/errors</t>
        </is>
      </c>
      <c r="D31" s="4" t="inlineStr">
        <is>
          <t>A named KeyboardInterrupt was swallowed</t>
        </is>
      </c>
      <c r="E31" s="4" t="inlineStr">
        <is>
          <t>Requiring `expect` was not enough: expect=(BaseException,) and even expect=(KeyboardInterrupt,) contained the interrupt. Containing one does not degrade an answer, it stops the process doing what it was told.</t>
        </is>
      </c>
      <c r="F31" s="120" t="inlineStr">
        <is>
          <t>P1</t>
        </is>
      </c>
      <c r="G31" s="30" t="n">
        <v>2</v>
      </c>
      <c r="H31" s="121" t="inlineStr">
        <is>
          <t>fixed</t>
        </is>
      </c>
      <c r="I31" s="4" t="inlineStr">
        <is>
          <t>F-10</t>
        </is>
      </c>
      <c r="J31" s="4" t="inlineStr">
        <is>
          <t>Verified by probe before and after; NEVER_CONTAIN added</t>
        </is>
      </c>
    </row>
    <row r="32">
      <c r="A32" s="34" t="inlineStr">
        <is>
          <t>B-31</t>
        </is>
      </c>
      <c r="B32" s="35" t="inlineStr">
        <is>
          <t>code review</t>
        </is>
      </c>
      <c r="C32" s="35" t="inlineStr">
        <is>
          <t>nm/tools/plan_update</t>
        </is>
      </c>
      <c r="D32" s="4" t="inlineStr">
        <is>
          <t>The coverage roll-up went stale across partial updates</t>
        </is>
      </c>
      <c r="E32" s="4" t="inlineStr">
        <is>
          <t>It read statuses from one completion payload instead of the persisted backlog, so a decision backed by A, B and C — A and B finished earlier, C today — would never advance.</t>
        </is>
      </c>
      <c r="F32" s="124" t="inlineStr">
        <is>
          <t>P2</t>
        </is>
      </c>
      <c r="G32" s="30" t="n">
        <v>2</v>
      </c>
      <c r="H32" s="121" t="inlineStr">
        <is>
          <t>fixed</t>
        </is>
      </c>
      <c r="I32" s="4" t="inlineStr">
        <is>
          <t>F-09; logic extracted to nm/tools/rollup.py so it is class-A testable</t>
        </is>
      </c>
      <c r="J32" s="4" t="inlineStr">
        <is>
          <t>7 tests on the pure roll-up</t>
        </is>
      </c>
    </row>
    <row r="33">
      <c r="A33" s="34" t="inlineStr">
        <is>
          <t>B-32</t>
        </is>
      </c>
      <c r="B33" s="35" t="inlineStr">
        <is>
          <t>self-check</t>
        </is>
      </c>
      <c r="C33" s="35" t="inlineStr">
        <is>
          <t>nm/tools/exceptcheck</t>
        </is>
      </c>
      <c r="D33" s="4" t="inlineStr">
        <is>
          <t>The lint crashed on paths outside the repo root</t>
        </is>
      </c>
      <c r="E33" s="4" t="inlineStr">
        <is>
          <t>`Path.relative_to(ROOT)` raised for a test fixture in a temp directory, so the checker could not be tested on synthetic sources.</t>
        </is>
      </c>
      <c r="F33" s="122" t="inlineStr">
        <is>
          <t>P3</t>
        </is>
      </c>
      <c r="G33" s="30" t="n">
        <v>1</v>
      </c>
      <c r="H33" s="121" t="inlineStr">
        <is>
          <t>fixed</t>
        </is>
      </c>
      <c r="I33" s="4" t="inlineStr">
        <is>
          <t>F-10</t>
        </is>
      </c>
      <c r="J33" s="4" t="inlineStr">
        <is>
          <t>6 test cases were erroring</t>
        </is>
      </c>
    </row>
    <row r="34">
      <c r="A34" s="34" t="inlineStr">
        <is>
          <t>B-33</t>
        </is>
      </c>
      <c r="B34" s="35" t="inlineStr">
        <is>
          <t>self-check</t>
        </is>
      </c>
      <c r="C34" s="35" t="inlineStr">
        <is>
          <t>nm/obs/metrics</t>
        </is>
      </c>
      <c r="D34" s="4" t="inlineStr">
        <is>
          <t>A justified broad except was in a format the lint could not read</t>
        </is>
      </c>
      <c r="E34" s="4" t="inlineStr">
        <is>
          <t>The sink swallow carried its reason as a `# noqa` comment rather than the `# fail-open:` marker exceptcheck requires. Found by the lint on its first run — against my own code.</t>
        </is>
      </c>
      <c r="F34" s="122" t="inlineStr">
        <is>
          <t>P3</t>
        </is>
      </c>
      <c r="G34" s="30" t="n">
        <v>1</v>
      </c>
      <c r="H34" s="121" t="inlineStr">
        <is>
          <t>fixed</t>
        </is>
      </c>
      <c r="I34" s="4" t="inlineStr">
        <is>
          <t>F-10</t>
        </is>
      </c>
      <c r="J34" s="4" t="inlineStr">
        <is>
          <t>exceptcheck's first run</t>
        </is>
      </c>
    </row>
    <row r="35">
      <c r="A35" s="34" t="inlineStr">
        <is>
          <t>B-34</t>
        </is>
      </c>
      <c r="B35" s="35" t="inlineStr">
        <is>
          <t>self-check</t>
        </is>
      </c>
      <c r="C35" s="35" t="inlineStr">
        <is>
          <t>docs</t>
        </is>
      </c>
      <c r="D35" s="4" t="inlineStr">
        <is>
          <t>An existing architecture document was overwritten</t>
        </is>
      </c>
      <c r="E35" s="4" t="inlineStr">
        <is>
          <t>A write to docs/ARCHITECTURE.md resolved to the existing docs/Architecture.md on a case-insensitive filesystem, clobbering 200 lines without reading them first.</t>
        </is>
      </c>
      <c r="F35" s="120" t="inlineStr">
        <is>
          <t>P1</t>
        </is>
      </c>
      <c r="G35" s="30" t="n">
        <v>1</v>
      </c>
      <c r="H35" s="121" t="inlineStr">
        <is>
          <t>fixed</t>
        </is>
      </c>
      <c r="I35" s="4" t="inlineStr">
        <is>
          <t>restored from git as ARCHITECTURE_AS_BUILT.md</t>
        </is>
      </c>
      <c r="J35" s="4" t="inlineStr">
        <is>
          <t>Content recovered intact; +6 lines of framing only</t>
        </is>
      </c>
    </row>
    <row r="36">
      <c r="A36" s="34" t="inlineStr">
        <is>
          <t>B-35</t>
        </is>
      </c>
      <c r="B36" s="35" t="inlineStr">
        <is>
          <t>doc review</t>
        </is>
      </c>
      <c r="C36" s="35" t="inlineStr">
        <is>
          <t>docs/PRD.md</t>
        </is>
      </c>
      <c r="D36" s="4" t="inlineStr">
        <is>
          <t>Twelve sections carried no test, violating the document's own rule 1</t>
        </is>
      </c>
      <c r="E36" s="4" t="inlineStr">
        <is>
          <t>D1, D2, D2A, D3, D4, D5, D6, D7, D9, D10, D11 and D13 all predate the testability rule and were never retro-fitted.</t>
        </is>
      </c>
      <c r="F36" s="124" t="inlineStr">
        <is>
          <t>P2</t>
        </is>
      </c>
      <c r="G36" s="30" t="n">
        <v>3</v>
      </c>
      <c r="H36" s="121" t="inlineStr">
        <is>
          <t>fixed</t>
        </is>
      </c>
      <c r="I36" s="4" t="inlineStr">
        <is>
          <t>PRD review pass</t>
        </is>
      </c>
      <c r="J36" s="4" t="inlineStr">
        <is>
          <t>All twelve now end in a testable rule</t>
        </is>
      </c>
    </row>
    <row r="37">
      <c r="A37" s="34" t="inlineStr">
        <is>
          <t>B-36</t>
        </is>
      </c>
      <c r="B37" s="35" t="inlineStr">
        <is>
          <t>doc review</t>
        </is>
      </c>
      <c r="C37" s="35" t="inlineStr">
        <is>
          <t>docs/PRD.md</t>
        </is>
      </c>
      <c r="D37" s="4" t="inlineStr">
        <is>
          <t>The era rule was referenced three times and never stated</t>
        </is>
      </c>
      <c r="E37" s="4" t="inlineStr">
        <is>
          <t>G1, D7B and the corresponds-to relation all relied on it. The part that goes silently wrong — the governing date is the date of the CONDUCT, not of the advice or the filing — was nowhere.</t>
        </is>
      </c>
      <c r="F37" s="120" t="inlineStr">
        <is>
          <t>P1</t>
        </is>
      </c>
      <c r="G37" s="30" t="n">
        <v>2</v>
      </c>
      <c r="H37" s="121" t="inlineStr">
        <is>
          <t>fixed</t>
        </is>
      </c>
      <c r="I37" s="4" t="inlineStr">
        <is>
          <t>new section D3B</t>
        </is>
      </c>
      <c r="J37" s="4" t="inlineStr">
        <is>
          <t>Now stated, with the savings question left to retrieved provisions</t>
        </is>
      </c>
    </row>
    <row r="38">
      <c r="A38" s="34" t="inlineStr">
        <is>
          <t>B-37</t>
        </is>
      </c>
      <c r="B38" s="35" t="inlineStr">
        <is>
          <t>doc review</t>
        </is>
      </c>
      <c r="C38" s="35" t="inlineStr">
        <is>
          <t>docs/PRD.md</t>
        </is>
      </c>
      <c r="D38" s="4" t="inlineStr">
        <is>
          <t>S2's four element kinds would have deleted D2A's audit trail</t>
        </is>
      </c>
      <c r="E38" s="4" t="inlineStr">
        <is>
          <t>A 'considered, not pursued' line is none of the four kinds as written, so a correct implementation of S2 would have trimmed the mechanism that makes selection auditable.</t>
        </is>
      </c>
      <c r="F38" s="124" t="inlineStr">
        <is>
          <t>P2</t>
        </is>
      </c>
      <c r="G38" s="30" t="n">
        <v>1</v>
      </c>
      <c r="H38" s="121" t="inlineStr">
        <is>
          <t>fixed</t>
        </is>
      </c>
      <c r="I38" s="4" t="inlineStr">
        <is>
          <t>clarified as kind FINDING</t>
        </is>
      </c>
      <c r="J38" s="4" t="inlineStr">
        <is>
          <t>Found only by reading end to end</t>
        </is>
      </c>
    </row>
    <row r="39">
      <c r="A39" s="34" t="inlineStr">
        <is>
          <t>B-38</t>
        </is>
      </c>
      <c r="B39" s="35" t="inlineStr">
        <is>
          <t>doc review</t>
        </is>
      </c>
      <c r="C39" s="35" t="inlineStr">
        <is>
          <t>docs/PRD.md</t>
        </is>
      </c>
      <c r="D39" s="4" t="inlineStr">
        <is>
          <t>Parked issues were sent to the summary and required in the answer</t>
        </is>
      </c>
      <c r="E39" s="4" t="inlineStr">
        <is>
          <t>F4 routed `parked` to the case summary while D2A requires it visible in the answer. A selection nobody can see is a selection nobody can audit.</t>
        </is>
      </c>
      <c r="F39" s="124" t="inlineStr">
        <is>
          <t>P2</t>
        </is>
      </c>
      <c r="G39" s="30" t="n">
        <v>1</v>
      </c>
      <c r="H39" s="121" t="inlineStr">
        <is>
          <t>fixed</t>
        </is>
      </c>
      <c r="I39" s="4" t="inlineStr">
        <is>
          <t>resolved per disposition</t>
        </is>
      </c>
      <c r="J39" s="4" t="inlineStr">
        <is>
          <t>F4 vs D2A</t>
        </is>
      </c>
    </row>
    <row r="40">
      <c r="A40" s="34" t="inlineStr">
        <is>
          <t>B-39</t>
        </is>
      </c>
      <c r="B40" s="35" t="inlineStr">
        <is>
          <t>doc review</t>
        </is>
      </c>
      <c r="C40" s="35" t="inlineStr">
        <is>
          <t>docs/PRD.md</t>
        </is>
      </c>
      <c r="D40" s="4" t="inlineStr">
        <is>
          <t>The manifest was called derived and asserted in the same document</t>
        </is>
      </c>
      <c r="E40" s="4" t="inlineStr">
        <is>
          <t>M5 described it as 'a derived artefact', contradicting M1's curated-not-derived — the distinction the whole three-state answer rests on.</t>
        </is>
      </c>
      <c r="F40" s="124" t="inlineStr">
        <is>
          <t>P2</t>
        </is>
      </c>
      <c r="G40" s="30" t="n">
        <v>1</v>
      </c>
      <c r="H40" s="121" t="inlineStr">
        <is>
          <t>fixed</t>
        </is>
      </c>
      <c r="I40" s="4" t="inlineStr">
        <is>
          <t>content asserted, currency checked</t>
        </is>
      </c>
      <c r="J40" s="4" t="inlineStr">
        <is>
          <t>M1 vs M5</t>
        </is>
      </c>
    </row>
    <row r="41">
      <c r="A41" s="34" t="inlineStr">
        <is>
          <t>B-40</t>
        </is>
      </c>
      <c r="B41" s="35" t="inlineStr">
        <is>
          <t>doc review</t>
        </is>
      </c>
      <c r="C41" s="35" t="inlineStr">
        <is>
          <t>docs/ARCHITECTURE.md</t>
        </is>
      </c>
      <c r="D41" s="4" t="inlineStr">
        <is>
          <t>The design was written backwards from the code</t>
        </is>
      </c>
      <c r="E41" s="4" t="inlineStr">
        <is>
          <t>Three sections were written as 'here is what exists, here is the conflict'. That anchors design to constraints that no longer apply — and every conflict documented that way disappeared once the sections were rewritten clean-slate.</t>
        </is>
      </c>
      <c r="F41" s="120" t="inlineStr">
        <is>
          <t>P1</t>
        </is>
      </c>
      <c r="G41" s="30" t="n">
        <v>5</v>
      </c>
      <c r="H41" s="121" t="inlineStr">
        <is>
          <t>fixed</t>
        </is>
      </c>
      <c r="I41" s="4" t="inlineStr">
        <is>
          <t>PRD rule 3; D8A, D10B and D9A rewritten</t>
        </is>
      </c>
      <c r="J41" s="4" t="inlineStr">
        <is>
          <t>8 documented conflicts, nearly all artefacts of designing backwards</t>
        </is>
      </c>
    </row>
    <row r="42">
      <c r="A42" s="34" t="inlineStr">
        <is>
          <t>B-41</t>
        </is>
      </c>
      <c r="B42" s="35" t="inlineStr">
        <is>
          <t>manifest reconciliation</t>
        </is>
      </c>
      <c r="C42" s="35" t="inlineStr">
        <is>
          <t>legal_database</t>
        </is>
      </c>
      <c r="D42" s="4" t="inlineStr">
        <is>
          <t>The Indian Contract Act 1872 is not in the corpus</t>
        </is>
      </c>
      <c r="E42" s="4" t="inlineStr">
        <is>
          <t>**The fix named on this row was wrong, and that matters more than the row.** It pointed at I-01 (bare Act ingestion), which is now tested - so the row read as though re-running ingestion would close it. Measured: the Indian Contract Act 1872 is not in legal_database/raw_data/BareActs at all. No ingester closes this; the Act has to be acquired first, and until it is, every contract matter is advised without the Act that governs it. That is the highest-value single gap in the corpus and it is a scrape task, not a code one.</t>
        </is>
      </c>
      <c r="F42" s="120" t="inlineStr">
        <is>
          <t>P1</t>
        </is>
      </c>
      <c r="G42" s="30" t="n">
        <v>5</v>
      </c>
      <c r="H42" s="120" t="inlineStr">
        <is>
          <t>open</t>
        </is>
      </c>
      <c r="I42" s="4" t="inlineStr">
        <is>
          <t>SCRAPE the Act; I-01 cannot ingest what is not there</t>
        </is>
      </c>
      <c r="J42" s="4" t="inlineStr">
        <is>
          <t>raw tree searched: no Indian Contract Act 1872 file exists; the only 1872 Act present is the Indian Evidence Act</t>
        </is>
      </c>
    </row>
    <row r="43">
      <c r="A43" s="34" t="inlineStr">
        <is>
          <t>B-42</t>
        </is>
      </c>
      <c r="B43" s="35" t="inlineStr">
        <is>
          <t>manifest reconciliation</t>
        </is>
      </c>
      <c r="C43" s="35" t="inlineStr">
        <is>
          <t>legal_database</t>
        </is>
      </c>
      <c r="D43" s="4" t="inlineStr">
        <is>
          <t>Five act_ids carry encoding artefacts</t>
        </is>
      </c>
      <c r="E43" s="4" t="inlineStr">
        <is>
          <t>Two measurements corrected the record. First, `subject.subject_key` already strips non-alphanumeric characters, so the artefact never split a subject - the identity effect this row implied was not happening. Second, the artefact did survive into the TITLE, where it is invisible: two titles differing only by a byte-order mark look identical and compare unequal, which is the act_id convention collision in a character nobody can see. A BOM is an encoding artefact and not text, so it is stripped wherever a value is read from a raw document. The five stored act_ids still carry it until the corpus is re-ingested.</t>
        </is>
      </c>
      <c r="F43" s="122" t="inlineStr">
        <is>
          <t>P3</t>
        </is>
      </c>
      <c r="G43" s="30" t="n">
        <v>1</v>
      </c>
      <c r="H43" s="121" t="inlineStr">
        <is>
          <t>fixed</t>
        </is>
      </c>
      <c r="I43" s="4" t="inlineStr">
        <is>
          <t>I-01 / _clean strips zero-width artefacts</t>
        </is>
      </c>
      <c r="J43" s="4" t="inlineStr">
        <is>
          <t>test_an_encoding_artefact_is_not_part_of_a_title; 0 of 1,655 titles carry one</t>
        </is>
      </c>
    </row>
    <row r="44">
      <c r="A44" s="34" t="inlineStr">
        <is>
          <t>B-43</t>
        </is>
      </c>
      <c r="B44" s="35" t="inlineStr">
        <is>
          <t>manifest reconciliation</t>
        </is>
      </c>
      <c r="C44" s="35" t="inlineStr">
        <is>
          <t>legal_database</t>
        </is>
      </c>
      <c r="D44" s="4" t="inlineStr">
        <is>
          <t>The corpus could not say what it is</t>
        </is>
      </c>
      <c r="E44" s="4" t="inlineStr">
        <is>
          <t>The vector store had no VERSION stamp, so any measurement against it was uncomparable with any other and class-C tests could not identify the snapshot they ran on.</t>
        </is>
      </c>
      <c r="F44" s="124" t="inlineStr">
        <is>
          <t>P2</t>
        </is>
      </c>
      <c r="G44" s="30" t="n">
        <v>1</v>
      </c>
      <c r="H44" s="121" t="inlineStr">
        <is>
          <t>fixed</t>
        </is>
      </c>
      <c r="I44" s="4" t="inlineStr">
        <is>
          <t>VERSION stamp added; required by the class-C corpus fixture (G21)</t>
        </is>
      </c>
      <c r="J44" s="4" t="inlineStr">
        <is>
          <t>Blocked M-07 until fixed</t>
        </is>
      </c>
    </row>
    <row r="45">
      <c r="A45" s="34" t="inlineStr">
        <is>
          <t>B-44</t>
        </is>
      </c>
      <c r="B45" s="35" t="inlineStr">
        <is>
          <t>self-check</t>
        </is>
      </c>
      <c r="C45" s="35" t="inlineStr">
        <is>
          <t>nm/knowledge/manifest.json</t>
        </is>
      </c>
      <c r="D45" s="4" t="inlineStr">
        <is>
          <t>A curated key did not match the corpus spelling</t>
        </is>
      </c>
      <c r="E45" s="4" t="inlineStr">
        <is>
          <t>The Telangana Land Revenue Act was curated as '...act 1317f' while the corpus spells the Fasli year '1317 f'. It reported as an ingestion gap when the Act is present.</t>
        </is>
      </c>
      <c r="F45" s="124" t="inlineStr">
        <is>
          <t>P2</t>
        </is>
      </c>
      <c r="G45" s="30" t="n">
        <v>1</v>
      </c>
      <c r="H45" s="121" t="inlineStr">
        <is>
          <t>fixed</t>
        </is>
      </c>
      <c r="I45" s="4" t="inlineStr">
        <is>
          <t>M-02 key corrected</t>
        </is>
      </c>
      <c r="J45" s="4" t="inlineStr">
        <is>
          <t>Distinguishing this from the real Contract Act gap required looking at both</t>
        </is>
      </c>
    </row>
    <row r="46">
      <c r="A46" s="34" t="inlineStr">
        <is>
          <t>B-45</t>
        </is>
      </c>
      <c r="B46" s="35" t="inlineStr">
        <is>
          <t>legal graph build</t>
        </is>
      </c>
      <c r="C46" s="35" t="inlineStr">
        <is>
          <t>legal_database</t>
        </is>
      </c>
      <c r="D46" s="4" t="inlineStr">
        <is>
          <t>WITHDRAWN: the BNS is under half ingested and its repeal section is absent</t>
        </is>
      </c>
      <c r="E46" s="4" t="inlineStr">
        <is>
          <t>Claimed the BNS held 168 of 358 sections and lacked s.358. Measured across BOTH bare-act stores, it holds all 358 including s.358. The original measurement read only `bareacts_v3_chunks.json`, which holds child atoms and only those section heads that had no children. Root cause recorded as B-57.</t>
        </is>
      </c>
      <c r="F46" s="120" t="inlineStr">
        <is>
          <t>P1</t>
        </is>
      </c>
      <c r="G46" s="30" t="n">
        <v>8</v>
      </c>
      <c r="H46" s="125" t="inlineStr">
        <is>
          <t>withdrawn</t>
        </is>
      </c>
      <c r="I46" s="4" t="inlineStr">
        <is>
          <t>not a defect; the measurement was (B-57)</t>
        </is>
      </c>
      <c r="J46" s="4" t="inlineStr">
        <is>
          <t>bareacts_v3_parents.json: 358 section heads, max 358</t>
        </is>
      </c>
    </row>
    <row r="47">
      <c r="A47" s="34" t="inlineStr">
        <is>
          <t>B-46</t>
        </is>
      </c>
      <c r="B47" s="35" t="inlineStr">
        <is>
          <t>legal graph build</t>
        </is>
      </c>
      <c r="C47" s="35" t="inlineStr">
        <is>
          <t>legal_database</t>
        </is>
      </c>
      <c r="D47" s="4" t="inlineStr">
        <is>
          <t>WITHDRAWN: the old codes the era rule depends on are partially ingested</t>
        </is>
      </c>
      <c r="E47" s="4" t="inlineStr">
        <is>
          <t>Claimed CrPC 154 of 506, Evidence Act 82 of 167, IPC 396 of 510, and that the Evidence Act was missing s.65B and the burden-of-proof group. Measured across both stores: IPC 510 of 511, CrPC 495, Evidence Act 167 of 167, and every probed section present. Same root cause as B-45 (see B-57).</t>
        </is>
      </c>
      <c r="F47" s="120" t="inlineStr">
        <is>
          <t>P1</t>
        </is>
      </c>
      <c r="G47" s="30" t="n">
        <v>8</v>
      </c>
      <c r="H47" s="125" t="inlineStr">
        <is>
          <t>withdrawn</t>
        </is>
      </c>
      <c r="I47" s="4" t="inlineStr">
        <is>
          <t>not a defect; the measurement was (B-57)</t>
        </is>
      </c>
      <c r="J47" s="4" t="inlineStr">
        <is>
          <t>IPC 498A/376/307, CrPC 437/438/439/125/154, IEA 65B/45/114 all present</t>
        </is>
      </c>
    </row>
    <row r="48">
      <c r="A48" s="34" t="inlineStr">
        <is>
          <t>B-47</t>
        </is>
      </c>
      <c r="B48" s="35" t="inlineStr">
        <is>
          <t>legal graph build</t>
        </is>
      </c>
      <c r="C48" s="35" t="inlineStr">
        <is>
          <t>legal_database</t>
        </is>
      </c>
      <c r="D48" s="4" t="inlineStr">
        <is>
          <t>A complete copy of an Act may exist under only one naming convention</t>
        </is>
      </c>
      <c r="E48" s="4" t="inlineStr">
        <is>
          <t>Measured: the BNSS has 531 section heads under the jurisdiction-prefixed id and 162 under the snake_case one; the BSA 170 against 64. Deduplicating by preferring a convention would delete 369 BNSS sections. This is the second independent confirmation that I-06 must keep the UNION, after the Income Tax measurement.</t>
        </is>
      </c>
      <c r="F48" s="124" t="inlineStr">
        <is>
          <t>P2</t>
        </is>
      </c>
      <c r="G48" s="30" t="n">
        <v>3</v>
      </c>
      <c r="H48" s="123" t="inlineStr">
        <is>
          <t>answered</t>
        </is>
      </c>
      <c r="I48" s="4" t="inlineStr">
        <is>
          <t>I-06 / a collision is reported, never silently resolved</t>
        </is>
      </c>
      <c r="J48" s="4" t="inlineStr">
        <is>
          <t>nm/knowledge/subject.py::collisions reports; which copy is better varies per Act, so a merge is a decision with evidence rather than a sweep that destroys real law</t>
        </is>
      </c>
    </row>
    <row r="49">
      <c r="A49" s="34" t="inlineStr">
        <is>
          <t>B-48</t>
        </is>
      </c>
      <c r="B49" s="35" t="inlineStr">
        <is>
          <t>legal graph build</t>
        </is>
      </c>
      <c r="C49" s="35" t="inlineStr">
        <is>
          <t>legal_database</t>
        </is>
      </c>
      <c r="D49" s="4" t="inlineStr">
        <is>
          <t>The commencement date is in the raw source and discarded on ingest</t>
        </is>
      </c>
      <c r="E49" s="4" t="inlineStr">
        <is>
          <t>A provision's validity window is read from its Act's commencement clause, which yields a date for 250 of 1,648 subjects (15.2%); the rest are UNKNOWN with a stated reason - used and disclosed, never silently excluded. But the window should not have to be parsed out of section 1 at all: 1,555 of the 1,655 RAW Act files (94.0%) carry an explicit `Commenced on &lt;date&gt;` header line, and ingestion keeps no field for it. So this is not a corpus-acquisition gap, it is metadata thrown away at the door.</t>
        </is>
      </c>
      <c r="F49" s="120" t="inlineStr">
        <is>
          <t>P1</t>
        </is>
      </c>
      <c r="G49" s="30" t="n">
        <v>5</v>
      </c>
      <c r="H49" s="123" t="inlineStr">
        <is>
          <t>answered</t>
        </is>
      </c>
      <c r="I49" s="4" t="inlineStr">
        <is>
          <t>I-05 / era metadata read from the document</t>
        </is>
      </c>
      <c r="J49" s="4" t="inlineStr">
        <is>
          <t>test_commencement_is_read_from_the_document_never_inferred_from_its_year, test_assent_is_never_substituted_for_commencement - 1,558 of 1,655 raw files state a commencement, four times what section 1 yields</t>
        </is>
      </c>
    </row>
    <row r="50">
      <c r="A50" s="34" t="inlineStr">
        <is>
          <t>B-49</t>
        </is>
      </c>
      <c r="B50" s="35" t="inlineStr">
        <is>
          <t>legal graph build</t>
        </is>
      </c>
      <c r="C50" s="35" t="inlineStr">
        <is>
          <t>legal_database</t>
        </is>
      </c>
      <c r="D50" s="4" t="inlineStr">
        <is>
          <t>Law that is ingested points at law that is not</t>
        </is>
      </c>
      <c r="E50" s="4" t="inlineStr">
        <is>
          <t>The build records a reference it cannot satisfy rather than dropping it, which turns the gap into a list: 203 Acts are named as repealed by a provision in the corpus but are absent from it, and 6,917 distinct cross-references point at a provision the corpus does not hold. This is a priority-ordered ingestion backlog, derived rather than guessed.</t>
        </is>
      </c>
      <c r="F50" s="124" t="inlineStr">
        <is>
          <t>P2</t>
        </is>
      </c>
      <c r="G50" s="30" t="n">
        <v>5</v>
      </c>
      <c r="H50" s="120" t="inlineStr">
        <is>
          <t>open</t>
        </is>
      </c>
      <c r="I50" s="4" t="inlineStr">
        <is>
          <t>I-01 (ingest the named targets)</t>
        </is>
      </c>
      <c r="J50" s="4" t="inlineStr">
        <is>
          <t>CandidateEdge counts from the full-corpus build across both stores</t>
        </is>
      </c>
    </row>
    <row r="51">
      <c r="A51" s="34" t="inlineStr">
        <is>
          <t>B-50</t>
        </is>
      </c>
      <c r="B51" s="35" t="inlineStr">
        <is>
          <t>code read</t>
        </is>
      </c>
      <c r="C51" s="35" t="inlineStr">
        <is>
          <t>retrieval/act_equivalence.py</t>
        </is>
      </c>
      <c r="D51" s="4" t="inlineStr">
        <is>
          <t>Old-code queries are rewritten onto the new numbering</t>
        </is>
      </c>
      <c r="E51" s="4" t="inlineStr">
        <is>
          <t>The legacy mapping rewrites 'indian penal code' to 'Bharatiya Nyaya Sanhita, 2023', on the stated ground that 'Old acts are NOT in the bare-acts index'. Measured, that ground has expired: the corpus holds the IPC (1,008 chunks), CrPC (2,670) and Evidence Act (462). Rewriting a pre-2024 matter onto the new codes is the D3B failure itself — wrong on the whole file rather than in one citation. The mapping is also one-way, undated, and carries no span.</t>
        </is>
      </c>
      <c r="F51" s="120" t="inlineStr">
        <is>
          <t>P1</t>
        </is>
      </c>
      <c r="G51" s="30" t="n">
        <v>8</v>
      </c>
      <c r="H51" s="123" t="inlineStr">
        <is>
          <t>answered</t>
        </is>
      </c>
      <c r="I51" s="4" t="inlineStr">
        <is>
          <t>K-04 / corresponds-to is symmetric, dated and evidenced</t>
        </is>
      </c>
      <c r="J51" s="4" t="inlineStr">
        <is>
          <t>nm/tests/a_logic/test_correspondence.py - the era question is answered from the savings text, and refused rather than guessed where there is none</t>
        </is>
      </c>
    </row>
    <row r="52">
      <c r="A52" s="34" t="inlineStr">
        <is>
          <t>B-51</t>
        </is>
      </c>
      <c r="B52" s="35" t="inlineStr">
        <is>
          <t>code read</t>
        </is>
      </c>
      <c r="C52" s="35" t="inlineStr">
        <is>
          <t>retrieval/legal_graph.py</t>
        </is>
      </c>
      <c r="D52" s="4" t="inlineStr">
        <is>
          <t>The judgment-to-section table is empty and fails silently</t>
        </is>
      </c>
      <c r="E52" s="4" t="inlineStr">
        <is>
          <t>`case_section_links` holds 0 rows while `get_cases_interpreting_section()` queries it and returns []. G14's highest-value lookup — the authorities on a provision — is unbuilt, and its emptiness is indistinguishable from 'no authority on this provision'.</t>
        </is>
      </c>
      <c r="F52" s="120" t="inlineStr">
        <is>
          <t>P1</t>
        </is>
      </c>
      <c r="G52" s="30" t="n">
        <v>8</v>
      </c>
      <c r="H52" s="123" t="inlineStr">
        <is>
          <t>answered</t>
        </is>
      </c>
      <c r="I52" s="4" t="inlineStr">
        <is>
          <t>K-06 / judgment-interprets-section edges</t>
        </is>
      </c>
      <c r="J52" s="4" t="inlineStr">
        <is>
          <t>nm/tests/a_logic/test_interprets.py - a reference the graph cannot resolve is a CANDIDATE, not an edge and not silence</t>
        </is>
      </c>
    </row>
    <row r="53">
      <c r="A53" s="34" t="inlineStr">
        <is>
          <t>B-52</t>
        </is>
      </c>
      <c r="B53" s="35" t="inlineStr">
        <is>
          <t>self-check</t>
        </is>
      </c>
      <c r="C53" s="35" t="inlineStr">
        <is>
          <t>nm/knowledge/graph_build.py</t>
        </is>
      </c>
      <c r="D53" s="4" t="inlineStr">
        <is>
          <t>The build report disagreed with the graph it described</t>
        </is>
      </c>
      <c r="E53" s="4" t="inlineStr">
        <is>
          <t>The report counted how many times the extraction fired, while the graph stores distinct edges — overstating cross-references by 13% (47,673 against 41,388), because one reference recurs across a section's sub-clauses. A report that disagrees with its artefact is worse than none, since it is the number people quote. The row count in the source digest had the same shape of defect: markers straddling a read boundary were lost, so a recorded quantity moved with the block size.</t>
        </is>
      </c>
      <c r="F53" s="124" t="inlineStr">
        <is>
          <t>P2</t>
        </is>
      </c>
      <c r="G53" s="30" t="n">
        <v>2</v>
      </c>
      <c r="H53" s="121" t="inlineStr">
        <is>
          <t>fixed</t>
        </is>
      </c>
      <c r="I53" s="4" t="inlineStr">
        <is>
          <t>counts derived from the graph; invariant test added</t>
        </is>
      </c>
      <c r="J53" s="4" t="inlineStr">
        <is>
          <t>Caught by comparing the report against len(graph.edges) on the full build</t>
        </is>
      </c>
    </row>
    <row r="54">
      <c r="A54" s="34" t="inlineStr">
        <is>
          <t>B-53</t>
        </is>
      </c>
      <c r="B54" s="35" t="inlineStr">
        <is>
          <t>coverage measurement</t>
        </is>
      </c>
      <c r="C54" s="35" t="inlineStr">
        <is>
          <t>legal_database</t>
        </is>
      </c>
      <c r="D54" s="4" t="inlineStr">
        <is>
          <t>WITHDRAWN: an Act complete in one atom type and thin in another</t>
        </is>
      </c>
      <c r="E54" s="4" t="inlineStr">
        <is>
          <t>The generalisation was sound but its only evidence was wrong: the Limitation Act was said to hold 137 of 137 schedule articles and 8 of 32 sections. It holds all 32, contiguous, including s.3, s.5, s.12, s.14 and s.18. With no instance behind it the rule was a hypothesis, and a hypothesis does not belong in a defect register.</t>
        </is>
      </c>
      <c r="F54" s="120" t="inlineStr">
        <is>
          <t>P1</t>
        </is>
      </c>
      <c r="G54" s="30" t="n">
        <v>8</v>
      </c>
      <c r="H54" s="125" t="inlineStr">
        <is>
          <t>withdrawn</t>
        </is>
      </c>
      <c r="I54" s="4" t="inlineStr">
        <is>
          <t>not a defect; the measurement was (B-57)</t>
        </is>
      </c>
      <c r="J54" s="4" t="inlineStr">
        <is>
          <t>Limitation Act 1963: 32 sections, 1-32, contiguous, across both stores</t>
        </is>
      </c>
    </row>
    <row r="55">
      <c r="A55" s="34" t="inlineStr">
        <is>
          <t>B-54</t>
        </is>
      </c>
      <c r="B55" s="35" t="inlineStr">
        <is>
          <t>coverage measurement</t>
        </is>
      </c>
      <c r="C55" s="35" t="inlineStr">
        <is>
          <t>legal_database</t>
        </is>
      </c>
      <c r="D55" s="4" t="inlineStr">
        <is>
          <t>11 of 27 intended Acts have holes in their section numbering</t>
        </is>
      </c>
      <c r="E55" s="4" t="inlineStr">
        <is>
          <t>Corrected figure, measured across both bare-act stores and ranked by the manifest: an Act NM has said it needs outranks one it has not, whatever the hole counts. Six of the eleven are mis-numbering rather than missing law (B-55): the Registration Act reads as running to section 2001, the Constitution to 1971. The genuinely thin remainder is small - CrPC 13 numbers absent of 508, Telangana Land Revenue 11, Parsi Marriage 6, Transfer of Property 3, IPC 1 - and at that scale is as likely to be omitted and repealed sections as missing ingestion, which is why a hole is reported and never resolved.</t>
        </is>
      </c>
      <c r="F55" s="124" t="inlineStr">
        <is>
          <t>P2</t>
        </is>
      </c>
      <c r="G55" s="30" t="n">
        <v>5</v>
      </c>
      <c r="H55" s="123" t="inlineStr">
        <is>
          <t>answered</t>
        </is>
      </c>
      <c r="I55" s="4" t="inlineStr">
        <is>
          <t>I-09 / a coverage claim states what it can see</t>
        </is>
      </c>
      <c r="J55" s="4" t="inlineStr">
        <is>
          <t>nm/tests/c_corpus/test_ingest_corpus.py::test_no_act_holds_a_numbering_gap_wider_than_its_own_section_count, test_an_act_holding_one_provision_makes_no_claim_about_holes</t>
        </is>
      </c>
    </row>
    <row r="56">
      <c r="A56" s="34" t="inlineStr">
        <is>
          <t>B-55</t>
        </is>
      </c>
      <c r="B56" s="35" t="inlineStr">
        <is>
          <t>coverage measurement</t>
        </is>
      </c>
      <c r="C56" s="35" t="inlineStr">
        <is>
          <t>legal_database</t>
        </is>
      </c>
      <c r="D56" s="4" t="inlineStr">
        <is>
          <t>312 Acts carry a section number that is not a section number</t>
        </is>
      </c>
      <c r="E56" s="4" t="inlineStr">
        <is>
          <t>A year or a date is captured as `section_number`, so an Act reads as running to section 999999 or 15105. Detected scale-free rather than by a threshold: one gap in the numbering wider than every section actually held is a different defect from thin ingestion, and the two need different fixes.</t>
        </is>
      </c>
      <c r="F56" s="124" t="inlineStr">
        <is>
          <t>P2</t>
        </is>
      </c>
      <c r="G56" s="30" t="n">
        <v>3</v>
      </c>
      <c r="H56" s="123" t="inlineStr">
        <is>
          <t>answered</t>
        </is>
      </c>
      <c r="I56" s="4" t="inlineStr">
        <is>
          <t>I-01 / an identifier the Act's numbering cannot hold is refused</t>
        </is>
      </c>
      <c r="J56" s="4" t="inlineStr">
        <is>
          <t>test_an_identifier_the_acts_own_numbering_cannot_hold_is_refused, test_a_refused_identifier_carries_its_reason_and_its_locator - refused WITH a reason and a locator, so the residue is countable rather than absent</t>
        </is>
      </c>
    </row>
    <row r="57">
      <c r="A57" s="34" t="inlineStr">
        <is>
          <t>B-56</t>
        </is>
      </c>
      <c r="B57" s="35" t="inlineStr">
        <is>
          <t>self-check</t>
        </is>
      </c>
      <c r="C57" s="35" t="inlineStr">
        <is>
          <t>nm/knowledge/observe.py</t>
        </is>
      </c>
      <c r="D57" s="4" t="inlineStr">
        <is>
          <t>The manifest reconciled presence and called it coverage</t>
        </is>
      </c>
      <c r="E57" s="4" t="inlineStr">
        <is>
          <t>Observation asked only whether a subject had any chunks, so an Act holding a fraction of its sections would report as HELD and M4's nameable gap would never fire. Fixed by observing the integrity of each Act's own numbering, which needs no external truth about how long an Act is and so does not reintroduce the assumption the manifest deliberately refused to make. The rule stands; note that the incident which appeared to prove it did not — that measurement was itself wrong (B-57), and the corrected numbering measure is what showed it.</t>
        </is>
      </c>
      <c r="F57" s="120" t="inlineStr">
        <is>
          <t>P1</t>
        </is>
      </c>
      <c r="G57" s="30" t="n">
        <v>5</v>
      </c>
      <c r="H57" s="121" t="inlineStr">
        <is>
          <t>fixed</t>
        </is>
      </c>
      <c r="I57" s="4" t="inlineStr">
        <is>
          <t>M-03 extended; class-A and class-C invariants added</t>
        </is>
      </c>
      <c r="J57" s="4" t="inlineStr">
        <is>
          <t>Rule holds on constructed data and on the corpus; the original motivating instance was withdrawn</t>
        </is>
      </c>
    </row>
    <row r="58">
      <c r="A58" s="34" t="inlineStr">
        <is>
          <t>B-57</t>
        </is>
      </c>
      <c r="B58" s="35" t="inlineStr">
        <is>
          <t>self-check</t>
        </is>
      </c>
      <c r="C58" s="35" t="inlineStr">
        <is>
          <t>nm/knowledge/observe.py, graph_build.py</t>
        </is>
      </c>
      <c r="D58" s="4" t="inlineStr">
        <is>
          <t>Coverage was measured from one of the two bare-act stores</t>
        </is>
      </c>
      <c r="E58" s="4" t="inlineStr">
        <is>
          <t>The bare Acts live across `bareacts_v3_parents.json` (50,800 section heads) and `bareacts_v3_chunks.json` (child atoms, plus those section heads that had no children). Every coverage measurement read only the second, and so reported Acts as two-thirds missing when they were complete - producing four wrong P1 defects, a wrong recommendation to reorder the plan, and a graph short by 50,800 provisions. It failed in the worst direction: confident bad news, internally consistent, with no symptom. This is the same defect class the register already holds against the legacy tree - one fact with two owners and only one of them consulted. Fixed by making `nm/knowledge/corpus.py` the only module that knows the layout, and by having it RAISE on a missing store rather than tolerate a partial read.</t>
        </is>
      </c>
      <c r="F58" s="120" t="inlineStr">
        <is>
          <t>P1</t>
        </is>
      </c>
      <c r="G58" s="30" t="n">
        <v>5</v>
      </c>
      <c r="H58" s="121" t="inlineStr">
        <is>
          <t>fixed</t>
        </is>
      </c>
      <c r="I58" s="4" t="inlineStr">
        <is>
          <t>nm/knowledge/corpus.py; observe and graph_build both routed through it</t>
        </is>
      </c>
      <c r="J58" s="4" t="inlineStr">
        <is>
          <t>Provisions 122,762 -&gt; 173,562; three defects withdrawn (B-45, B-46, B-53) and two corrected (B-48, B-54)</t>
        </is>
      </c>
    </row>
    <row r="59">
      <c r="A59" s="34" t="inlineStr">
        <is>
          <t>B-58</t>
        </is>
      </c>
      <c r="B59" s="35" t="inlineStr">
        <is>
          <t>coverage measurement</t>
        </is>
      </c>
      <c r="C59" s="35" t="inlineStr">
        <is>
          <t>legal_database</t>
        </is>
      </c>
      <c r="D59" s="4" t="inlineStr">
        <is>
          <t>The section-head store holds 14,731 duplicate rows</t>
        </is>
      </c>
      <c r="E59" s="4" t="inlineStr">
        <is>
          <t>465 Acts carry the same section number more than once in `bareacts_v3_parents.json` - the CPC 2,027 times over, the Prevention of Food Adulteration Rules 1,948, the Central Motor Vehicles Rules 1,154. Sibling `.pre_dedup.bak` files show a deduplication pass ran and left residue. A duplicated parent means the same provision is retrieved several times and crowds a result set it should occupy once.</t>
        </is>
      </c>
      <c r="F59" s="124" t="inlineStr">
        <is>
          <t>P2</t>
        </is>
      </c>
      <c r="G59" s="30" t="n">
        <v>5</v>
      </c>
      <c r="H59" s="123" t="inlineStr">
        <is>
          <t>answered</t>
        </is>
      </c>
      <c r="I59" s="4" t="inlineStr">
        <is>
          <t>I-06 / ingestion is idempotent</t>
        </is>
      </c>
      <c r="J59" s="4" t="inlineStr">
        <is>
          <t>test_the_same_source_yields_the_same_provisions; nm/tests/c_corpus/test_ingest_corpus.py::test_re_running_ingestion_over_the_same_source_changes_nothing - re-running cannot accumulate a second copy</t>
        </is>
      </c>
    </row>
    <row r="60">
      <c r="A60" s="34" t="inlineStr">
        <is>
          <t>B-59</t>
        </is>
      </c>
      <c r="B60" s="35" t="inlineStr">
        <is>
          <t>I-01 ingestion</t>
        </is>
      </c>
      <c r="C60" s="35" t="inlineStr">
        <is>
          <t>nm/knowledge/ingest.py</t>
        </is>
      </c>
      <c r="D60" s="4" t="inlineStr">
        <is>
          <t>A procedural code's Orders are read as a listing, not as the code</t>
        </is>
      </c>
      <c r="E60" s="4" t="inlineStr">
        <is>
          <t>Not what this row recorded, and the correction is the point. The Orders WERE being segmented - 106 scopes opened. `_real_scopes` then dissolved 105 of them, because it split the scopes by text density at the WIDEST GAP in the sorted densities. The two populations are real (0-15 for the listing, 143-1,299 for the code) but the widest gap in the whole set is 394 and sits INSIDE the upper one, between two unusually long Orders, so the split landed at 905. The general lesson: the largest gap in a distribution is not the boundary between two populations - it migrates to the sparse tail, and a tail is sparse by definition. Replaced by the structural fact the document supplies: a code prints Orders I to LI and then starts again at Order I, so a run that another run reprints is the listing. Measured: 18 Order provisions to 592, and the Act's own sections went 134 to 146 rather than being lost with the listing.</t>
        </is>
      </c>
      <c r="F60" s="124" t="inlineStr">
        <is>
          <t>P2</t>
        </is>
      </c>
      <c r="G60" s="30" t="n">
        <v>5</v>
      </c>
      <c r="H60" s="121" t="inlineStr">
        <is>
          <t>fixed</t>
        </is>
      </c>
      <c r="I60" s="4" t="inlineStr">
        <is>
          <t>I-01 / the run-restart rule in _real_scopes</t>
        </is>
      </c>
      <c r="J60" s="4" t="inlineStr">
        <is>
          <t>CPC now yields 146 sections and 592 rules across 51 Orders; Order VII Rule 11 resolves</t>
        </is>
      </c>
    </row>
    <row r="61">
      <c r="A61" s="34" t="inlineStr">
        <is>
          <t>B-60</t>
        </is>
      </c>
      <c r="B61" s="35" t="inlineStr">
        <is>
          <t>I-01 ingestion</t>
        </is>
      </c>
      <c r="C61" s="35" t="inlineStr">
        <is>
          <t>legal_database/raw_data</t>
        </is>
      </c>
      <c r="D61" s="4" t="inlineStr">
        <is>
          <t>A source file is named from a definition clause, not from the Act</t>
        </is>
      </c>
      <c r="E61" s="4" t="inlineStr">
        <is>
          <t>Sixty times larger than recorded, and the mechanism is more general than one bad scrape. A filename is a LOSSY rendering of a title: the filesystem cannot hold a slash, so `Municipal Councils/Nagar Panchayats` is filed as `CouncilsNagar` and keys to a different subject. Measured, 60 of 1,655 raw files carry a filename naming a different Act than the document does. The title is now read structurally - the line above the instrument-number line, which is where both scrape templates put it - rather than by pattern: the worst-keyed Act is titled `... Professional Courses 2003`, which ends in a bare year and matches no reasonable title regex, and it is exactly the file whose name came from a definition clause.</t>
        </is>
      </c>
      <c r="F61" s="122" t="inlineStr">
        <is>
          <t>P3</t>
        </is>
      </c>
      <c r="G61" s="30" t="n">
        <v>3</v>
      </c>
      <c r="H61" s="121" t="inlineStr">
        <is>
          <t>fixed</t>
        </is>
      </c>
      <c r="I61" s="4" t="inlineStr">
        <is>
          <t>I-05 / RawAct.title reads the document</t>
        </is>
      </c>
      <c r="J61" s="4" t="inlineStr">
        <is>
          <t>test_the_act_named_from_a_definition_clause_is_keyed_on_its_real_title; 60 of 1,655 filenames name a different Act</t>
        </is>
      </c>
    </row>
    <row r="62">
      <c r="A62" s="34" t="inlineStr">
        <is>
          <t>B-61</t>
        </is>
      </c>
      <c r="B62" s="35" t="inlineStr">
        <is>
          <t>C-04 gold set draw</t>
        </is>
      </c>
      <c r="C62" s="35" t="inlineStr">
        <is>
          <t>nm/knowledge/citations.py</t>
        </is>
      </c>
      <c r="D62" s="4" t="inlineStr">
        <is>
          <t>A citation span was the paragraph's opening, not the words around the citation</t>
        </is>
      </c>
      <c r="E62" s="4" t="inlineStr">
        <is>
          <t>`mentions_in` gave every mention in a paragraph the same span: the paragraph's first 320 characters. A citation usually sits later in the paragraph, so the span was evidence of a different passage - and it read as perfectly well-formed. Measured on the drawn gold set: 184 of 200 items did not contain the case they were drawn for, which made the set unvettable by a person and by a model alike. Fixed generally: a span is a window anchored ON its match, whitespace is normalised once so every pattern and every offset agree, and CitationMention REFUSES construction when its span does not contain the mention it is evidence of.</t>
        </is>
      </c>
      <c r="F62" s="120" t="inlineStr">
        <is>
          <t>P1</t>
        </is>
      </c>
      <c r="G62" s="30" t="n">
        <v>3</v>
      </c>
      <c r="H62" s="121" t="inlineStr">
        <is>
          <t>fixed</t>
        </is>
      </c>
      <c r="I62" s="4" t="inlineStr">
        <is>
          <t>nm/knowledge/citations.py::_window and CitationMention.__post_init__</t>
        </is>
      </c>
      <c r="J62" s="4" t="inlineStr">
        <is>
          <t>gold-set items whose span carries their own mention: 16 of 200 -&gt; 200 of 200; paragraph-level candidate recall unchanged at 21.0%</t>
        </is>
      </c>
    </row>
    <row r="63">
      <c r="A63" s="34" t="inlineStr">
        <is>
          <t>B-62</t>
        </is>
      </c>
      <c r="B63" s="35" t="inlineStr">
        <is>
          <t>C-04 gold set draw</t>
        </is>
      </c>
      <c r="C63" s="35" t="inlineStr">
        <is>
          <t>nm/knowledge/judgments.py</t>
        </is>
      </c>
      <c r="D63" s="4" t="inlineStr">
        <is>
          <t>A missed paragraph marker collapsed the rest of the judgment into one block</t>
        </is>
      </c>
      <c r="E63" s="4" t="inlineStr">
        <is>
          <t>`paragraphs_of` took the longest run of markers counting 1,2,3 without a break, so a single marker the reflowed text hid truncated the chain and everything after it became the last paragraph. Measured over 139 sampled judgments: the last paragraph held more than half its judgment's text in 54 of them and all of it at the ninetieth percentile, the largest a 598,188-character 'paragraph' carrying one kind and one attribution. Nothing errored - the counts came out low, and a low count reads as a short judgment. Fixed generally by the rule already proven in Act ingestion: the body is the ASCENDING selection of markers governing the most text, weighted locally so the weight does not depend on the selection.</t>
        </is>
      </c>
      <c r="F63" s="120" t="inlineStr">
        <is>
          <t>P1</t>
        </is>
      </c>
      <c r="G63" s="30" t="n">
        <v>5</v>
      </c>
      <c r="H63" s="121" t="inlineStr">
        <is>
          <t>fixed</t>
        </is>
      </c>
      <c r="I63" s="4" t="inlineStr">
        <is>
          <t>nm/knowledge/judgments.py::_ascending_run</t>
        </is>
      </c>
      <c r="J63" s="4" t="inlineStr">
        <is>
          <t>paragraphs 351,966 -&gt; 489,207; per judgment 10.3 -&gt; 14.4; attributable 14.8% -&gt; 16.9%; dominant-tail judgments 54 -&gt; 33 of 139</t>
        </is>
      </c>
    </row>
    <row r="64">
      <c r="A64" s="34" t="inlineStr">
        <is>
          <t>B-63</t>
        </is>
      </c>
      <c r="B64" s="35" t="inlineStr">
        <is>
          <t>C-04 gold set draw</t>
        </is>
      </c>
      <c r="C64" s="35" t="inlineStr">
        <is>
          <t>nm/knowledge/judgments.py</t>
        </is>
      </c>
      <c r="D64" s="4" t="inlineStr">
        <is>
          <t>Some judgments show no usable paragraph numbering and become one block</t>
        </is>
      </c>
      <c r="E64" s="4" t="inlineStr">
        <is>
          <t>Characterised correctly and diagnosed here: a 2022 Supreme Court judgment offered the markers 1, 2, 3, 366, 4 - the 366 a citation fragment - and 366's span ran 4,251 characters to the next marker while the true paragraph 4 held 576. So the chain 1,2,3,366 outweighed 1,2,3,4 and 60% of the judgment became one 'paragraph 366' carrying one kind and one attribution, which is a C3 problem rather than a tidiness one. A document with five markers has no paragraphs 4 to 365, so a number larger than the count of markers cannot be a paragraph index: it is not rejected, it is simply not credited with the text it swallowed. The cap is narrow on purpose - requiring 1, 2, 3 was tried (B-62) and one hidden marker truncated the whole chain. Residue: judgments with no numbering at all, where one block is an honest reading of an unnumbered document.</t>
        </is>
      </c>
      <c r="F64" s="124" t="inlineStr">
        <is>
          <t>P2</t>
        </is>
      </c>
      <c r="G64" s="30" t="n">
        <v>5</v>
      </c>
      <c r="H64" s="121" t="inlineStr">
        <is>
          <t>fixed</t>
        </is>
      </c>
      <c r="I64" s="4" t="inlineStr">
        <is>
          <t>I-02 / _ascending_run does not pay a marker for what it swallowed</t>
        </is>
      </c>
      <c r="J64" s="4" t="inlineStr">
        <is>
          <t>389,262 characters released from over-long final paragraphs across 300 judgments; shrank in 37, grew in 2</t>
        </is>
      </c>
    </row>
    <row r="65">
      <c r="A65" s="34" t="inlineStr">
        <is>
          <t>B-64</t>
        </is>
      </c>
      <c r="B65" s="35" t="inlineStr">
        <is>
          <t>Phase 3 review</t>
        </is>
      </c>
      <c r="C65" s="35" t="inlineStr">
        <is>
          <t>nm/core/facts.py, edge/intake.py, edge/phase3.py</t>
        </is>
      </c>
      <c r="D65" s="4" t="inlineStr">
        <is>
          <t>Removing an unmeasured default left nine call sites broken</t>
        </is>
      </c>
      <c r="E65" s="4" t="inlineStr">
        <is>
          <t>Making the confirmation threshold a required argument was right - an unmeasured constant should not sit invisibly in a signature deciding whether a fact may support a conclusion. But only the production call sites were swept. Five previously-passing Phase 0/1 tests and four Phase 3 tests broke, and layercheck, exceptcheck, pylint E0601/E0606 and pyflakes were ALL clean while they were red. This is scar 5 exactly: a signature change is a rename, and static checks do not catch it. Fixed by sweeping every call site and giving the threshold one named owner in nm/core/policy.py that records it as unmeasured and says what would settle it.</t>
        </is>
      </c>
      <c r="F65" s="120" t="inlineStr">
        <is>
          <t>P1</t>
        </is>
      </c>
      <c r="G65" s="30" t="n">
        <v>3</v>
      </c>
      <c r="H65" s="121" t="inlineStr">
        <is>
          <t>fixed</t>
        </is>
      </c>
      <c r="I65" s="4" t="inlineStr">
        <is>
          <t>nm/core/policy.py::UNMEASURED; call sites swept</t>
        </is>
      </c>
      <c r="J65" s="4" t="inlineStr">
        <is>
          <t>class-A 7 failures -&gt; 0; class-C 2 -&gt; 0</t>
        </is>
      </c>
    </row>
    <row r="66">
      <c r="A66" s="34" t="inlineStr">
        <is>
          <t>B-65</t>
        </is>
      </c>
      <c r="B66" s="35" t="inlineStr">
        <is>
          <t>Phase 3 review</t>
        </is>
      </c>
      <c r="C66" s="35" t="inlineStr">
        <is>
          <t>nm/core/analysis.py</t>
        </is>
      </c>
      <c r="D66" s="4" t="inlineStr">
        <is>
          <t>A limitation period was counted as days, not by the calendar</t>
        </is>
      </c>
      <c r="E66" s="4" t="inlineStr">
        <is>
          <t>The Schedule says 'three years'; the code computed accrual + 1095 days. Those are different dates whenever a leap day falls inside the window: three years from 2023-03-01 is 2026-03-01, and the day arithmetic gave 2026-02-28. Wrong by one day, in the direction that loses the suit, and invisible because the arithmetic looks performed. Fixed by a Period stating years/months/days as the statute does, added by the calendar with the day clamped inside the month the statute names; excluded time under a suspension provision stays in days, because that is how those provisions are written.</t>
        </is>
      </c>
      <c r="F66" s="120" t="inlineStr">
        <is>
          <t>P1</t>
        </is>
      </c>
      <c r="G66" s="30" t="n">
        <v>5</v>
      </c>
      <c r="H66" s="121" t="inlineStr">
        <is>
          <t>fixed</t>
        </is>
      </c>
      <c r="I66" s="4" t="inlineStr">
        <is>
          <t>nm/core/analysis.py::Period and add_period</t>
        </is>
      </c>
      <c r="J66" s="4" t="inlineStr">
        <is>
          <t>3 years from 2023-03-01: 2026-03-01 (was 2026-02-28); 1 month from 31 Jan clamps to 28/29 Feb</t>
        </is>
      </c>
    </row>
    <row r="67">
      <c r="A67" s="34" t="inlineStr">
        <is>
          <t>B-66</t>
        </is>
      </c>
      <c r="B67" s="35" t="inlineStr">
        <is>
          <t>Phase 3 review</t>
        </is>
      </c>
      <c r="C67" s="35" t="inlineStr">
        <is>
          <t>nm/core/analysis.py</t>
        </is>
      </c>
      <c r="D67" s="4" t="inlineStr">
        <is>
          <t>The one-sentence theory rule rejected ordinary legal abbreviations</t>
        </is>
      </c>
      <c r="E67" s="4" t="inlineStr">
        <is>
          <t>T1's check treated ANY full stop as a sentence break. Measured on four realistic theory sentences, three were refused: 'M/s. Rao Traders...', '...barred by Art. 59...', '...in the S.T. No. 44 proceeding'. A check that rejects correct input is worse than no check, because the advocate's only route past it is to write worse English. Fixed generally, with no abbreviation list to maintain: a break is a terminator following at least five lowercase letters and preceding a capitalised word. It cannot catch 'He paid. The bank refused.' - the safe direction, since TH-02 is a Class D criterion precisely because one coherent theory is a judgement.</t>
        </is>
      </c>
      <c r="F67" s="124" t="inlineStr">
        <is>
          <t>P2</t>
        </is>
      </c>
      <c r="G67" s="30" t="n">
        <v>3</v>
      </c>
      <c r="H67" s="121" t="inlineStr">
        <is>
          <t>fixed</t>
        </is>
      </c>
      <c r="I67" s="4" t="inlineStr">
        <is>
          <t>nm/core/analysis.py::_SECOND_SENTENCE</t>
        </is>
      </c>
      <c r="J67" s="4" t="inlineStr">
        <is>
          <t>4 of 4 realistic sentences now accepted (was 1 of 4); a genuine two-sentence theory still refused</t>
        </is>
      </c>
    </row>
    <row r="68">
      <c r="A68" s="34" t="inlineStr">
        <is>
          <t>B-67</t>
        </is>
      </c>
      <c r="B68" s="35" t="inlineStr">
        <is>
          <t>Phase 3 review</t>
        </is>
      </c>
      <c r="C68" s="35" t="inlineStr">
        <is>
          <t>nm/edge/phase3.py</t>
        </is>
      </c>
      <c r="D68" s="4" t="inlineStr">
        <is>
          <t>The confirmation gate recorded a violation every time it worked</t>
        </is>
      </c>
      <c r="E68" s="4" t="inlineStr">
        <is>
          <t>usable_facts called require('D10') for each fact it filtered, so withholding an unconfirmed fact - the gate working - was recorded as a defect. nm.obs.invariants names this as its own bound: an assertion on every uncertainty produces a violation stream nobody reads, and a signal indistinguishable from its absence is D0A's failure. Fixed by splitting the filter from the assertion: usable_facts filters silently, and assert_conclusions_rest_on_usable_facts fires where an unusable fact is actually said to support something.</t>
        </is>
      </c>
      <c r="F68" s="124" t="inlineStr">
        <is>
          <t>P2</t>
        </is>
      </c>
      <c r="G68" s="30" t="n">
        <v>2</v>
      </c>
      <c r="H68" s="121" t="inlineStr">
        <is>
          <t>fixed</t>
        </is>
      </c>
      <c r="I68" s="4" t="inlineStr">
        <is>
          <t>nm/edge/phase3.py::assert_conclusions_rest_on_usable_facts</t>
        </is>
      </c>
      <c r="J68" s="4" t="inlineStr">
        <is>
          <t>violations recorded when filtering an unconfirmed fact: 1 -&gt; 0; still 1 when it is used</t>
        </is>
      </c>
    </row>
    <row r="69">
      <c r="A69" s="34" t="inlineStr">
        <is>
          <t>B-68</t>
        </is>
      </c>
      <c r="B69" s="35" t="inlineStr">
        <is>
          <t>Phase 3 review</t>
        </is>
      </c>
      <c r="C69" s="35" t="inlineStr">
        <is>
          <t>nm/edge/phase3.py</t>
        </is>
      </c>
      <c r="D69" s="4" t="inlineStr">
        <is>
          <t>A runtime assertion whose condition could not fail</t>
        </is>
      </c>
      <c r="E69" s="4" t="inlineStr">
        <is>
          <t>assert_proof checked that a MaterialStatus was one of held/obtainable/absent - the only three members the enum has. The assertion could never fire. Same class as a resolution-confidence gate whose confidence is a constant: it looks like enforcement and enforces nothing, while spending the violation stream's credibility. Removed, with a note that the enum enforces P2 structurally, which is the stronger form.</t>
        </is>
      </c>
      <c r="F69" s="122" t="inlineStr">
        <is>
          <t>P3</t>
        </is>
      </c>
      <c r="G69" s="30" t="n">
        <v>1</v>
      </c>
      <c r="H69" s="121" t="inlineStr">
        <is>
          <t>fixed</t>
        </is>
      </c>
      <c r="I69" s="4" t="inlineStr">
        <is>
          <t>nm/edge/phase3.py::assert_proof</t>
        </is>
      </c>
      <c r="J69" s="4" t="inlineStr">
        <is>
          <t>P2 asserted by type; PF-03 covered by a class-A test on the closed set</t>
        </is>
      </c>
    </row>
    <row r="70">
      <c r="A70" s="34" t="inlineStr">
        <is>
          <t>B-69</t>
        </is>
      </c>
      <c r="B70" s="35" t="inlineStr">
        <is>
          <t>Phase 3 review</t>
        </is>
      </c>
      <c r="C70" s="35" t="inlineStr">
        <is>
          <t>nm/core/answer.py</t>
        </is>
      </c>
      <c r="D70" s="4" t="inlineStr">
        <is>
          <t>A deadline could never become NEAR</t>
        </is>
      </c>
      <c r="E70" s="4" t="inlineStr">
        <is>
          <t>Replacing the unmeasured 14-day near window with a semantic near_on date was right - when a deadline becomes near depends on the deadline, not on a global constant. But near_on defaulted to None and nothing produced it, so status() returned FUTURE until the day it returned PASSED and Q12's far-to-near transition - the resumption trigger - could never fire on any real deadline. Fixed by making the question unavoidable: a deadline states its near date or says why it has no near phase, mirroring the by-when/none-applies pattern the same module already uses for actions.</t>
        </is>
      </c>
      <c r="F70" s="124" t="inlineStr">
        <is>
          <t>P2</t>
        </is>
      </c>
      <c r="G70" s="30" t="n">
        <v>2</v>
      </c>
      <c r="H70" s="121" t="inlineStr">
        <is>
          <t>fixed</t>
        </is>
      </c>
      <c r="I70" s="4" t="inlineStr">
        <is>
          <t>nm/core/answer.py::Deadline</t>
        </is>
      </c>
      <c r="J70" s="4" t="inlineStr">
        <is>
          <t>a deadline with no near answer is now refused at construction</t>
        </is>
      </c>
    </row>
    <row r="71">
      <c r="A71" s="34" t="inlineStr">
        <is>
          <t>B-70</t>
        </is>
      </c>
      <c r="B71" s="35" t="inlineStr">
        <is>
          <t>Phase 4 build</t>
        </is>
      </c>
      <c r="C71" s="35" t="inlineStr">
        <is>
          <t>nm/core/answer.py</t>
        </is>
      </c>
      <c r="D71" s="4" t="inlineStr">
        <is>
          <t>No valid no-change answer could be constructed</t>
        </is>
      </c>
      <c r="E71" s="4" t="inlineStr">
        <is>
          <t>S7 requires a turn that changes nothing to produce a LINE, and Answer enforced that by refusing more than one element when no_change is set. But S3's lead rule ran unconditionally, so the single element also had to be an action or a blocking question - i.e. the turn had to have changed something. The two rules could not both be satisfied and the S7 path was unreachable, while every static gate stayed green because nothing had exercised it. S3 now exempts a no-change turn, on the reading that it governs an answer that HAS content.</t>
        </is>
      </c>
      <c r="F71" s="124" t="inlineStr">
        <is>
          <t>P2</t>
        </is>
      </c>
      <c r="G71" s="30" t="n">
        <v>1</v>
      </c>
      <c r="H71" s="121" t="inlineStr">
        <is>
          <t>fixed</t>
        </is>
      </c>
      <c r="I71" s="4" t="inlineStr">
        <is>
          <t>nm/core/answer.py::Answer, story AN-05</t>
        </is>
      </c>
      <c r="J71" s="4" t="inlineStr">
        <is>
          <t>test_a_turn_that_changes_nothing_produces_a_line_not_a_document</t>
        </is>
      </c>
    </row>
    <row r="72">
      <c r="A72" s="34" t="inlineStr">
        <is>
          <t>B-71</t>
        </is>
      </c>
      <c r="B72" s="35" t="inlineStr">
        <is>
          <t>Phase 4 build</t>
        </is>
      </c>
      <c r="C72" s="35" t="inlineStr">
        <is>
          <t>nm/core/summary.py</t>
        </is>
      </c>
      <c r="D72" s="4" t="inlineStr">
        <is>
          <t>The CS5 guard fired on correct case-note output</t>
        </is>
      </c>
      <c r="E72" s="4" t="inlineStr">
        <is>
          <t>The no-identifiers check for the case note read the same set the answer may CITE, which holds elements of a cause of action and leading case names. Those are content the note is supposed to print, so the guard flagged a correct note and the only route past it would have been to write a worse one - the same failure shape as the one-sentence theory rule rejecting ordinary legal abbreviations. Split into internal_ids (machine identifiers) and known_refs (what may be cited); CS5 reads the first, CS1 the second. Found in the same pass: render_case_note printed provenance as 'advocate, turn t3', putting a turn id in the advocate's work product.</t>
        </is>
      </c>
      <c r="F72" s="124" t="inlineStr">
        <is>
          <t>P2</t>
        </is>
      </c>
      <c r="G72" s="30" t="n">
        <v>2</v>
      </c>
      <c r="H72" s="121" t="inlineStr">
        <is>
          <t>fixed</t>
        </is>
      </c>
      <c r="I72" s="4" t="inlineStr">
        <is>
          <t>nm/core/summary.py::internal_ids, story AN-10</t>
        </is>
      </c>
      <c r="J72" s="4" t="inlineStr">
        <is>
          <t>test_the_case_note_carries_no_internal_identifier and its failing counterpart</t>
        </is>
      </c>
    </row>
    <row r="73">
      <c r="A73" s="34" t="inlineStr">
        <is>
          <t>B-72</t>
        </is>
      </c>
      <c r="B73" s="35" t="inlineStr">
        <is>
          <t>Phase 5 legacy read</t>
        </is>
      </c>
      <c r="C73" s="35" t="inlineStr">
        <is>
          <t>agents/verification/agent.py</t>
        </is>
      </c>
      <c r="D73" s="4" t="inlineStr">
        <is>
          <t>A draft with no fact pool passed verification</t>
        </is>
      </c>
      <c r="E73" s="4" t="inlineStr">
        <is>
          <t>fact_trace returned status='skipped_no_fact_pool' when it could not find the facts, and _verify_draft computed overall_ok only over checks whose status was not 'not_implemented' - which counted a SKIPPED check among those that ran. So the single most important check disappeared exactly when its input was missing, and the draft reported ok=True. Five of the eight checks, including limitation_pleaded and relief_mapped, returned {'ok': True, 'status': 'not_implemented'}. Reimplemented in nm/drafting/verify.py with a three-state outcome: passed, failed, could-not-run - and could-not-run BLOCKS, because a check with nothing to check has established nothing.</t>
        </is>
      </c>
      <c r="F73" s="120" t="inlineStr">
        <is>
          <t>P1</t>
        </is>
      </c>
      <c r="G73" s="30" t="n">
        <v>8</v>
      </c>
      <c r="H73" s="121" t="inlineStr">
        <is>
          <t>fixed</t>
        </is>
      </c>
      <c r="I73" s="4" t="inlineStr">
        <is>
          <t>legacy defect; reimplemented as story DF-06</t>
        </is>
      </c>
      <c r="J73" s="4" t="inlineStr">
        <is>
          <t>test_a_brief_with_no_pleadable_fact_cannot_pass_verification, test_a_check_that_could_not_run_does_not_clear</t>
        </is>
      </c>
    </row>
    <row r="74">
      <c r="A74" s="34" t="inlineStr">
        <is>
          <t>B-73</t>
        </is>
      </c>
      <c r="B74" s="35" t="inlineStr">
        <is>
          <t>Phase 5 build</t>
        </is>
      </c>
      <c r="C74" s="35" t="inlineStr">
        <is>
          <t>nm/tests/a_logic/test_layering.py</t>
        </is>
      </c>
      <c r="D74" s="4" t="inlineStr">
        <is>
          <t>A layering test asserted its own membership list rather than the rule</t>
        </is>
      </c>
      <c r="E74" s="4" t="inlineStr">
        <is>
          <t>test_pure_layers_are_actually_pure pinned layercheck.PURE to a literal three-element set, so adding a fourth genuinely-pure layer failed the test. That teaches the reader to widen the literal rather than to ask whether the layer really is pure - the test named the incident, not the rule. Restated: the three original layers may never LEAVE the set, every layer claiming purity declares a layer rule, and the property is checked over the real tree, which is the part that can actually fail.</t>
        </is>
      </c>
      <c r="F74" s="122" t="inlineStr">
        <is>
          <t>P3</t>
        </is>
      </c>
      <c r="G74" s="30" t="n">
        <v>1</v>
      </c>
      <c r="H74" s="121" t="inlineStr">
        <is>
          <t>fixed</t>
        </is>
      </c>
      <c r="I74" s="4" t="inlineStr">
        <is>
          <t>nm/tests/a_logic/test_layering.py, story DF-03</t>
        </is>
      </c>
      <c r="J74" s="4" t="inlineStr">
        <is>
          <t>test_pure_layers_are_actually_pure now checks the property over layercheck.check()</t>
        </is>
      </c>
    </row>
    <row r="75">
      <c r="A75" s="34" t="inlineStr">
        <is>
          <t>B-74</t>
        </is>
      </c>
      <c r="B75" s="35" t="inlineStr">
        <is>
          <t>Phase 6 legacy read</t>
        </is>
      </c>
      <c r="C75" s="35" t="inlineStr">
        <is>
          <t>infra/crypto.py</t>
        </is>
      </c>
      <c r="D75" s="4" t="inlineStr">
        <is>
          <t>Encryption was a silent no-op when unconfigured, and returned ciphertext as plaintext</t>
        </is>
      </c>
      <c r="E75" s="4" t="inlineStr">
        <is>
          <t>The port reported protection honestly from Phase 6 and nothing implemented it, so PROTECTED was a state nothing could be in. `EncryptedMatterStore` inverts each of the three documented legacy behaviours: it cannot exist without a key (no silent no-op), a failed decryption RAISES rather than returning the ciphertext as though it were the client's facts, and plaintext residue is counted and refused rather than passed through - so 'the data is encrypted' is a number instead of a claim. AES-256-GCM with the matter id as authenticated data, so a record moved between matters fails instead of decrypting into the wrong file. The bound sits at `open_matter_store`, where `require_encryption` has no default: an unencrypted deployment needs someone's `require_encryption=False` in a diff rather than an absent environment variable.</t>
        </is>
      </c>
      <c r="F75" s="120" t="inlineStr">
        <is>
          <t>P1</t>
        </is>
      </c>
      <c r="G75" s="30" t="n">
        <v>5</v>
      </c>
      <c r="H75" s="121" t="inlineStr">
        <is>
          <t>fixed</t>
        </is>
      </c>
      <c r="I75" s="4" t="inlineStr">
        <is>
          <t>EN-05 / nm/adapters/crypto.py</t>
        </is>
      </c>
      <c r="J75" s="4" t="inlineStr">
        <is>
          <t>nm/tests/a_logic/test_crypto.py - 14 tests, one per inverted legacy behaviour</t>
        </is>
      </c>
    </row>
    <row r="76">
      <c r="A76" s="34" t="inlineStr">
        <is>
          <t>B-75</t>
        </is>
      </c>
      <c r="B76" s="35" t="inlineStr">
        <is>
          <t>Phase 6 legacy read</t>
        </is>
      </c>
      <c r="C76" s="35" t="inlineStr">
        <is>
          <t>infra/audit.py</t>
        </is>
      </c>
      <c r="D76" s="4" t="inlineStr">
        <is>
          <t>The audit trail swallowed every write failure</t>
        </is>
      </c>
      <c r="E76" s="4" t="inlineStr">
        <is>
          <t>The module docstring states it: 'Auditing must never break a request - all failures are swallowed.' An audit trail whose writes can silently fail is not an audit trail; it is a log that is usually right, and nobody can say which entries are missing. EN-04's acceptance - every access to a matter is recorded - is unfalsifiable against it. Separately, the fingerprint salt defaults to the literal 'nm-audit' in the source, and a known salt over short guessable text (a date, an amount, a party name) is reversible by enumeration. Answered by nm/core/identity.py::authorise, where a failure to record DENIES the access, and nm/obs/privacy.py::fingerprint, which requires a per-deployment secret salt.</t>
        </is>
      </c>
      <c r="F76" s="120" t="inlineStr">
        <is>
          <t>P1</t>
        </is>
      </c>
      <c r="G76" s="30" t="n">
        <v>5</v>
      </c>
      <c r="H76" s="121" t="inlineStr">
        <is>
          <t>fixed</t>
        </is>
      </c>
      <c r="I76" s="4" t="inlineStr">
        <is>
          <t>EN-04 / EN-10</t>
        </is>
      </c>
      <c r="J76" s="4" t="inlineStr">
        <is>
          <t>test_a_failure_to_record_denies_the_access, test_a_fingerprint_needs_a_secret_salt</t>
        </is>
      </c>
    </row>
    <row r="77">
      <c r="A77" s="34" t="inlineStr">
        <is>
          <t>B-76</t>
        </is>
      </c>
      <c r="B77" s="35" t="inlineStr">
        <is>
          <t>Phase 6 build</t>
        </is>
      </c>
      <c r="C77" s="35" t="inlineStr">
        <is>
          <t>nm/tools/copycheck.py</t>
        </is>
      </c>
      <c r="D77" s="4" t="inlineStr">
        <is>
          <t>A copy checker written against an idea of the copy rather than the copy</t>
        </is>
      </c>
      <c r="E77" s="4" t="inlineStr">
        <is>
          <t>The first version's phrase list was guessed at marketing wording ('research assistant', 'here are some options') and reported CLEAN across every product surface. Reading the copy found prompts/intake.py 'You are a senior Indian advocate's intake clerk' and prompts/research.py 'You are a legal researcher synthesising retrieval output' - exactly what D1 rejects. A checker that passes them is worse than none, because it converts an unexamined surface into a verified one. Two further defects in the same tool, both found by RUNNING it: it filtered skip-directories after rglob so it stat'd every file under node_modules and crashed on a Windows link stub, and '.py' was missing from its extension set, so the prompt files where the copy actually lives were never opened. Generalised rule: a checker keyed to specific text must be written against the text.</t>
        </is>
      </c>
      <c r="F77" s="124" t="inlineStr">
        <is>
          <t>P2</t>
        </is>
      </c>
      <c r="G77" s="30" t="n">
        <v>3</v>
      </c>
      <c r="H77" s="121" t="inlineStr">
        <is>
          <t>fixed</t>
        </is>
      </c>
      <c r="I77" s="4" t="inlineStr">
        <is>
          <t>EN-26</t>
        </is>
      </c>
      <c r="J77" s="4" t="inlineStr">
        <is>
          <t>test_the_copy_checker_finds_copy_that_calls_nm_a_junior, test_the_checker_reads_python_because_prompts_are_python</t>
        </is>
      </c>
    </row>
    <row r="78">
      <c r="A78" s="34" t="inlineStr">
        <is>
          <t>B-77</t>
        </is>
      </c>
      <c r="B78" s="35" t="inlineStr">
        <is>
          <t>Phase 4/5 review</t>
        </is>
      </c>
      <c r="C78" s="35" t="inlineStr">
        <is>
          <t>nm/core/assembly.py</t>
        </is>
      </c>
      <c r="D78" s="4" t="inlineStr">
        <is>
          <t>A D0A signal could be hidden while the S5 assertion passed</t>
        </is>
      </c>
      <c r="E78" s="4" t="inlineStr">
        <is>
          <t>Assembly deduplicated signals on TEXT alone: if any element already carried the signal's words, the loud element was not inserted. The edge assertion also matched on text. So an element with the signal's text and loud=False, collapsible=True suppressed the signal AND satisfied the check - a confirmed counterexample put an unresolved-posture warning inside collapsed content with every gate green, which is precisely the outcome S5 exists to prevent. Matching on text was right; treating a match as SATISFACTION was the error. Assembly now upgrades a matching element to loud and uncollapsed, and the assertion reads loudness rather than text presence.</t>
        </is>
      </c>
      <c r="F78" s="120" t="inlineStr">
        <is>
          <t>P1</t>
        </is>
      </c>
      <c r="G78" s="30" t="n">
        <v>3</v>
      </c>
      <c r="H78" s="121" t="inlineStr">
        <is>
          <t>fixed</t>
        </is>
      </c>
      <c r="I78" s="4" t="inlineStr">
        <is>
          <t>AN-03</t>
        </is>
      </c>
      <c r="J78" s="4" t="inlineStr">
        <is>
          <t>test_an_element_carrying_a_signals_text_is_upgraded_not_treated_as_satisfying_it, test_the_s5_assertion_reads_loudness_not_merely_text</t>
        </is>
      </c>
    </row>
    <row r="79">
      <c r="A79" s="34" t="inlineStr">
        <is>
          <t>B-78</t>
        </is>
      </c>
      <c r="B79" s="35" t="inlineStr">
        <is>
          <t>Phase 4/5 review</t>
        </is>
      </c>
      <c r="C79" s="35" t="inlineStr">
        <is>
          <t>nm/drafting/verify.py</t>
        </is>
      </c>
      <c r="D79" s="4" t="inlineStr">
        <is>
          <t>The drafting gate produced four confirmed false passes</t>
        </is>
      </c>
      <c r="E79" s="4" t="inlineStr">
        <is>
          <t>_discloses asked whether an authority's reference appeared anywhere in the draft's prose. So an averment that merely CITED a persuasive authority counted as disclosing that it was persuasive; one citing an overruled judgment counted as disclosing the treatment; naming the limitation Article in any sentence counted as pleading compliance; and Prayer accepted empty text, so a prayer asking for nothing satisfied the ranking comparison. All four returned may_be_shown=True on filed-output material. Substring presence was standing in for a statement nobody had made. Fixed by changing the MODEL: a fifth node kind, Disclosure, names its subject and kind, so the question is an exact lookup. A check that has to guess what a sentence means will guess wrong in the direction of passing.</t>
        </is>
      </c>
      <c r="F79" s="120" t="inlineStr">
        <is>
          <t>P1</t>
        </is>
      </c>
      <c r="G79" s="30" t="n">
        <v>5</v>
      </c>
      <c r="H79" s="121" t="inlineStr">
        <is>
          <t>fixed</t>
        </is>
      </c>
      <c r="I79" s="4" t="inlineStr">
        <is>
          <t>DF-06 / DF-08</t>
        </is>
      </c>
      <c r="J79" s="4" t="inlineStr">
        <is>
          <t>test_a_citation_is_not_a_disclosure_of_what_is_being_cited, test_naming_the_article_is_not_pleading_the_compliance_plea, test_a_prayer_must_carry_the_text_that_is_actually_filed</t>
        </is>
      </c>
    </row>
    <row r="80">
      <c r="A80" s="34" t="inlineStr">
        <is>
          <t>B-79</t>
        </is>
      </c>
      <c r="B80" s="35" t="inlineStr">
        <is>
          <t>Phase 4/5 review</t>
        </is>
      </c>
      <c r="C80" s="35" t="inlineStr">
        <is>
          <t>nm/core/brief.py</t>
        </is>
      </c>
      <c r="D80" s="4" t="inlineStr">
        <is>
          <t>Brief assembly was not actually derived from safe summary state</t>
        </is>
      </c>
      <c r="E80" s="4" t="inlineStr">
        <is>
          <t>'Derives from the case summary' was a claim about intent, not a property of the code. Three ways: findings was an arbitrary iterable, so the brief could cite authority the summary never held (CS1); facts came straight off the chronology, so an UNCONFIRMED fact - one Fact.can_support_a_conclusion rejects - became a pleadable averment (D10), and a pleading is the heaviest thing that can rest on one; and the cause title INVENTED 'the applicant' and 'the respondent' when parties were absent, which is fluent completion arriving before the drafter runs, in the one part of a pleading no later paragraph repairs. Findings are now checked against known_refs, unconfirmed facts are refused by name, and ours/theirs/confirmation_threshold are required arguments.</t>
        </is>
      </c>
      <c r="F80" s="120" t="inlineStr">
        <is>
          <t>P1</t>
        </is>
      </c>
      <c r="G80" s="30" t="n">
        <v>5</v>
      </c>
      <c r="H80" s="121" t="inlineStr">
        <is>
          <t>fixed</t>
        </is>
      </c>
      <c r="I80" s="4" t="inlineStr">
        <is>
          <t>DF-02</t>
        </is>
      </c>
      <c r="J80" s="4" t="inlineStr">
        <is>
          <t>test_the_brief_refuses_an_authority_the_summary_does_not_hold, test_an_unconfirmed_fact_cannot_be_pleaded, test_the_cause_title_parties_cannot_be_invented</t>
        </is>
      </c>
    </row>
    <row r="81">
      <c r="A81" s="34" t="inlineStr">
        <is>
          <t>B-80</t>
        </is>
      </c>
      <c r="B81" s="35" t="inlineStr">
        <is>
          <t>Phase 4/5 review</t>
        </is>
      </c>
      <c r="C81" s="35" t="inlineStr">
        <is>
          <t>nm/drafting/agent.py</t>
        </is>
      </c>
      <c r="D81" s="4" t="inlineStr">
        <is>
          <t>The composer was a hole in the DR2 boundary layercheck could not see</t>
        </is>
      </c>
      <c r="E81" s="4" t="inlineStr">
        <is>
          <t>draft() invokes a caller-supplied callable IN-PROCESS. It can close over a retrieval client, or reach one through its defining module's globals, without importing anything inside nm.drafting - so the layer rule constrained only the code it could see. Added retrieval_in_reach(), which inspects the composer's closure cells and module globals before it runs and refuses rather than reports, because by the time a draft exists the second grounding path has been used. NOTE: this catches mistakes, not intent - a dynamic import inside the call defeats it. ADR-8's separate process is what would enforce DR2 against intent; DF-03 is recorded as BUILT for that reason.</t>
        </is>
      </c>
      <c r="F81" s="120" t="inlineStr">
        <is>
          <t>P1</t>
        </is>
      </c>
      <c r="G81" s="30" t="n">
        <v>3</v>
      </c>
      <c r="H81" s="121" t="inlineStr">
        <is>
          <t>fixed</t>
        </is>
      </c>
      <c r="I81" s="4" t="inlineStr">
        <is>
          <t>DF-03 (status downgraded to built)</t>
        </is>
      </c>
      <c r="J81" s="4" t="inlineStr">
        <is>
          <t>test_a_composer_that_can_reach_retrieval_is_refused_before_it_runs</t>
        </is>
      </c>
    </row>
    <row r="82">
      <c r="A82" s="34" t="inlineStr">
        <is>
          <t>B-81</t>
        </is>
      </c>
      <c r="B82" s="35" t="inlineStr">
        <is>
          <t>Phase 4/5 review</t>
        </is>
      </c>
      <c r="C82" s="35" t="inlineStr">
        <is>
          <t>nm/drafting/agent.py</t>
        </is>
      </c>
      <c r="D82" s="4" t="inlineStr">
        <is>
          <t>The composition was lossy, so a compliant pleading could not be drafted from it</t>
        </is>
      </c>
      <c r="E82" s="4" t="inlineStr">
        <is>
          <t>Composition.of dropped the parties and their roles, every fact date, the limitation plea, each authority's locator, binding status and treatment, the burden and standard on each proof position, the parked arguments and why each gap mattered - all of which the brief carried. There is no cause title without parties and no chronology without dates, and verify() would then fail the draft for omissions the composer was never given the material to avoid. A narrow waist and a lossy one are different things: covers_the_brief() now asserts the difference, because 'it cannot exceed the brief' is easy to satisfy by passing almost nothing.</t>
        </is>
      </c>
      <c r="F82" s="120" t="inlineStr">
        <is>
          <t>P1</t>
        </is>
      </c>
      <c r="G82" s="30" t="n">
        <v>3</v>
      </c>
      <c r="H82" s="121" t="inlineStr">
        <is>
          <t>fixed</t>
        </is>
      </c>
      <c r="I82" s="4" t="inlineStr">
        <is>
          <t>DF-03</t>
        </is>
      </c>
      <c r="J82" s="4" t="inlineStr">
        <is>
          <t>test_a_narrow_waist_must_not_be_a_lossy_one</t>
        </is>
      </c>
    </row>
    <row r="83">
      <c r="A83" s="34" t="inlineStr">
        <is>
          <t>B-82</t>
        </is>
      </c>
      <c r="B83" s="35" t="inlineStr">
        <is>
          <t>Phase 4/5 review</t>
        </is>
      </c>
      <c r="C83" s="35" t="inlineStr">
        <is>
          <t>nm/core/assembly.py</t>
        </is>
      </c>
      <c r="D83" s="4" t="inlineStr">
        <is>
          <t>Cross-thread exposure was emitted twice</t>
        </is>
      </c>
      <c r="E83" s="4" t="inlineStr">
        <is>
          <t>Passing exposures to both d0a_signals and assemble put the exposure in the answer as a loud element AND in Answer.cross_thread. S4 requires it once, at the end, and cross_thread is the field that place is made of.</t>
        </is>
      </c>
      <c r="F83" s="124" t="inlineStr">
        <is>
          <t>P2</t>
        </is>
      </c>
      <c r="G83" s="30" t="n">
        <v>1</v>
      </c>
      <c r="H83" s="121" t="inlineStr">
        <is>
          <t>fixed</t>
        </is>
      </c>
      <c r="I83" s="4" t="inlineStr">
        <is>
          <t>AN-02</t>
        </is>
      </c>
      <c r="J83" s="4" t="inlineStr">
        <is>
          <t>test_cross_thread_exposure_appears_once_even_when_it_is_also_a_signal</t>
        </is>
      </c>
    </row>
    <row r="84">
      <c r="A84" s="34" t="inlineStr">
        <is>
          <t>B-83</t>
        </is>
      </c>
      <c r="B84" s="35" t="inlineStr">
        <is>
          <t>Phase 4/5 review</t>
        </is>
      </c>
      <c r="C84" s="35" t="inlineStr">
        <is>
          <t>nm/obs/length.py</t>
        </is>
      </c>
      <c r="D84" s="4" t="inlineStr">
        <is>
          <t>The length metric reported success after refusing to measure</t>
        </is>
      </c>
      <c r="E84" s="4" t="inlineStr">
        <is>
          <t>scales_with_content returned True when the sample could not separate content from turn number - the same 'could not run means pass' shape that nm/drafting/verify.py rejects three modules away, and that the legacy draft verifier shipped (B-72). Now three-valued, with a strict `holds` for gate use. Worth recording because the same build got this right and wrong simultaneously: a rule stated in one module is not a rule applied in the next.</t>
        </is>
      </c>
      <c r="F84" s="124" t="inlineStr">
        <is>
          <t>P2</t>
        </is>
      </c>
      <c r="G84" s="30" t="n">
        <v>1</v>
      </c>
      <c r="H84" s="121" t="inlineStr">
        <is>
          <t>fixed</t>
        </is>
      </c>
      <c r="I84" s="4" t="inlineStr">
        <is>
          <t>AN-06</t>
        </is>
      </c>
      <c r="J84" s="4" t="inlineStr">
        <is>
          <t>test_a_refused_length_measurement_does_not_report_success, test_a_measured_pass_still_holds</t>
        </is>
      </c>
    </row>
    <row r="85">
      <c r="A85" s="34" t="inlineStr">
        <is>
          <t>B-84</t>
        </is>
      </c>
      <c r="B85" s="35" t="inlineStr">
        <is>
          <t>Phase 7 wiring</t>
        </is>
      </c>
      <c r="C85" s="35" t="inlineStr">
        <is>
          <t>nm/core/turn.py</t>
        </is>
      </c>
      <c r="D85" s="4" t="inlineStr">
        <is>
          <t>The no-change path swallowed a real answer</t>
        </is>
      </c>
      <c r="E85" s="4" t="inlineStr">
        <is>
          <t>S7's condition asked only whether there were gaps or incoming facts. A turn on a settled thread has no open gates and therefore no gaps, so a turn that retrieved findings and had a recommendation to give was declared 'nothing changed' and its answer replaced by the one-line S7 response - the exact inverse of what S7 is for. Found on the first end-to-end run, by two tests failing at once; every component involved passed its own tests throughout. A turn now changes nothing only when it PRODUCED nothing: no elements, no findings, no gaps, no facts.</t>
        </is>
      </c>
      <c r="F85" s="120" t="inlineStr">
        <is>
          <t>P1</t>
        </is>
      </c>
      <c r="G85" s="30" t="n">
        <v>2</v>
      </c>
      <c r="H85" s="121" t="inlineStr">
        <is>
          <t>fixed</t>
        </is>
      </c>
      <c r="I85" s="4" t="inlineStr">
        <is>
          <t>IN-04</t>
        </is>
      </c>
      <c r="J85" s="4" t="inlineStr">
        <is>
          <t>test_a_turn_runs_end_to_end_and_produces_an_answer, test_a_d0a_signal_survives_the_whole_turn</t>
        </is>
      </c>
    </row>
    <row r="86">
      <c r="A86" s="34" t="inlineStr">
        <is>
          <t>B-85</t>
        </is>
      </c>
      <c r="B86" s="35" t="inlineStr">
        <is>
          <t>Phase 7 wiring</t>
        </is>
      </c>
      <c r="C86" s="35" t="inlineStr">
        <is>
          <t>nm/edge/session.py</t>
        </is>
      </c>
      <c r="D86" s="4" t="inlineStr">
        <is>
          <t>Answer and case summary were built from separate state and disagreed</t>
        </is>
      </c>
      <c r="E86" s="4" t="inlineStr">
        <is>
          <t>The first served turn recorded a CS1 violation: the answer cited a limitation Article the case summary did not hold, because the thread state passed to run_turn and the summary passed to serve were assembled independently. The assertion was right and the wiring was wrong - which is the board/answer divergence CS1 was written for, appearing the first time the two surfaces were produced by different code paths rather than by one test's fixture. Kept as a test rather than only fixed, because the divergence is a standing risk of the split between core state and edge projection.</t>
        </is>
      </c>
      <c r="F86" s="124" t="inlineStr">
        <is>
          <t>P2</t>
        </is>
      </c>
      <c r="G86" s="30" t="n">
        <v>1</v>
      </c>
      <c r="H86" s="121" t="inlineStr">
        <is>
          <t>fixed</t>
        </is>
      </c>
      <c r="I86" s="4" t="inlineStr">
        <is>
          <t>IN-08 / AN-09</t>
        </is>
      </c>
      <c r="J86" s="4" t="inlineStr">
        <is>
          <t>test_an_answer_citing_what_the_summary_lacks_is_caught_on_a_real_turn</t>
        </is>
      </c>
    </row>
    <row r="87">
      <c r="A87" s="34" t="inlineStr">
        <is>
          <t>B-86</t>
        </is>
      </c>
      <c r="B87" s="35" t="inlineStr">
        <is>
          <t>Phase 6 review</t>
        </is>
      </c>
      <c r="C87" s="35" t="inlineStr">
        <is>
          <t>nm/edge/export.py</t>
        </is>
      </c>
      <c r="D87" s="4" t="inlineStr">
        <is>
          <t>An export was isolated by its heading and by nothing else</t>
        </is>
      </c>
      <c r="E87" s="4" t="inlineStr">
        <is>
          <t>`matter` was a string used as a label. Nothing compared it to the summary being rendered, or to the chains and findings supplied, and CaseSummary did not know which matter it belonged to. An export headed m-1 and assembled from another matter's material produced a clean, complete, well-formed document containing a second client's case note - every part of it correct except which file it came from. TurnHistory already refused a foreign entry; the summary now does the same, and anything the summary does not vouch for is HELD BACK and named.</t>
        </is>
      </c>
      <c r="F87" s="120" t="inlineStr">
        <is>
          <t>P1</t>
        </is>
      </c>
      <c r="G87" s="30" t="n">
        <v>3</v>
      </c>
      <c r="H87" s="121" t="inlineStr">
        <is>
          <t>fixed</t>
        </is>
      </c>
      <c r="I87" s="4" t="inlineStr">
        <is>
          <t>EN-12 / AN-08</t>
        </is>
      </c>
      <c r="J87" s="4" t="inlineStr">
        <is>
          <t>test_an_export_cannot_be_headed_one_matter_and_filled_with_another</t>
        </is>
      </c>
    </row>
    <row r="88">
      <c r="A88" s="34" t="inlineStr">
        <is>
          <t>B-87</t>
        </is>
      </c>
      <c r="B88" s="35" t="inlineStr">
        <is>
          <t>Phase 6 review</t>
        </is>
      </c>
      <c r="C88" s="35" t="inlineStr">
        <is>
          <t>nm/core/identity.py</t>
        </is>
      </c>
      <c r="D88" s="4" t="inlineStr">
        <is>
          <t>A permission was bounded at one end, and identity was a parameter</t>
        </is>
      </c>
      <c r="E88" s="4" t="inlineStr">
        <is>
          <t>Two holes in one resolver. `Grant.is_live` checked revocation and not `granted_at`, so a grant dated a year ahead authorised an access today - existing as an object was enough. And `session` defaulted to None, on which every session check was skipped: an unauthenticated caller was an advocate as long as it passed the right string. Both are the same shape - a control whose absent input reads as permission. `session` is now required (so it cannot be omitted) and None DENIES (so the omission fails closed).</t>
        </is>
      </c>
      <c r="F88" s="120" t="inlineStr">
        <is>
          <t>P1</t>
        </is>
      </c>
      <c r="G88" s="30" t="n">
        <v>2</v>
      </c>
      <c r="H88" s="121" t="inlineStr">
        <is>
          <t>fixed</t>
        </is>
      </c>
      <c r="I88" s="4" t="inlineStr">
        <is>
          <t>EN-02</t>
        </is>
      </c>
      <c r="J88" s="4" t="inlineStr">
        <is>
          <t>test_a_store_read_with_no_session_is_refused; cx: future-dated grant now denied</t>
        </is>
      </c>
    </row>
    <row r="89">
      <c r="A89" s="34" t="inlineStr">
        <is>
          <t>B-88</t>
        </is>
      </c>
      <c r="B89" s="35" t="inlineStr">
        <is>
          <t>Phase 6 review</t>
        </is>
      </c>
      <c r="C89" s="35" t="inlineStr">
        <is>
          <t>nm/obs/approval.py</t>
        </is>
      </c>
      <c r="D89" s="4" t="inlineStr">
        <is>
          <t>The object recording that a run happened held a live approval for the next one</t>
        </is>
      </c>
      <c r="E89" s="4" t="inlineStr">
        <is>
          <t>`Run.start` consumed the approval and returned the spent copy, but kept the ORIGINAL on the Run. The run is what survives - it is what gets stored and read later - so `run.approval` was live and started a second run in one line. That is precisely the targeted re-run E5 names as the case that gets skipped, reachable through the value that exists to record the first run. The run now holds the spent approval and refuses to exist holding anything else.</t>
        </is>
      </c>
      <c r="F89" s="120" t="inlineStr">
        <is>
          <t>P1</t>
        </is>
      </c>
      <c r="G89" s="30" t="n">
        <v>1</v>
      </c>
      <c r="H89" s="121" t="inlineStr">
        <is>
          <t>fixed</t>
        </is>
      </c>
      <c r="I89" s="4" t="inlineStr">
        <is>
          <t>EN-24</t>
        </is>
      </c>
      <c r="J89" s="4" t="inlineStr">
        <is>
          <t>test_the_approval_a_run_carries_is_the_spent_one</t>
        </is>
      </c>
    </row>
    <row r="90">
      <c r="A90" s="34" t="inlineStr">
        <is>
          <t>B-89</t>
        </is>
      </c>
      <c r="B90" s="35" t="inlineStr">
        <is>
          <t>Phase 6 review</t>
        </is>
      </c>
      <c r="C90" s="35" t="inlineStr">
        <is>
          <t>nm/obs/privacy.py</t>
        </is>
      </c>
      <c r="D90" s="4" t="inlineStr">
        <is>
          <t>The diagnostics whitelist validated field names and never looked at the values</t>
        </is>
      </c>
      <c r="E90" s="4" t="inlineStr">
        <is>
          <t>`purpose` and `reason` were permitted because neither is client content by definition, so nothing examined what was in them: {'purpose': 'client admitted fraud on 12 March'} was reported clean and survived scrub(). A whitelist over names cannot keep prose out. A permitted field now declares the SHAPE of its value - ID (no internal whitespace, because an identifier that reads like a sentence is not one), NUMBER, TIME, or CODE from a vocabulary the caller declares, where an undeclared vocabulary FAILS rather than passes.</t>
        </is>
      </c>
      <c r="F90" s="120" t="inlineStr">
        <is>
          <t>P1</t>
        </is>
      </c>
      <c r="G90" s="30" t="n">
        <v>3</v>
      </c>
      <c r="H90" s="121" t="inlineStr">
        <is>
          <t>fixed</t>
        </is>
      </c>
      <c r="I90" s="4" t="inlineStr">
        <is>
          <t>EN-10</t>
        </is>
      </c>
      <c r="J90" s="4" t="inlineStr">
        <is>
          <t>test_client_content_can_never_reach_diagnostics; cx: purpose prose now flagged</t>
        </is>
      </c>
    </row>
    <row r="91">
      <c r="A91" s="34" t="inlineStr">
        <is>
          <t>B-90</t>
        </is>
      </c>
      <c r="B91" s="35" t="inlineStr">
        <is>
          <t>Phase 6 review</t>
        </is>
      </c>
      <c r="C91" s="35" t="inlineStr">
        <is>
          <t>nm/core/audit.py</t>
        </is>
      </c>
      <c r="D91" s="4" t="inlineStr">
        <is>
          <t>A statement resting on nothing reported a complete three-step audit</t>
        </is>
      </c>
      <c r="E91" s="4" t="inlineStr">
        <is>
          <t>`Chain.is_complete` required no unresolved references and at least one step. An element referring to nothing produced a one-step chain with nothing unresolved, so it reported complete: depth 1, against an acceptance that says three. 'Nothing to resolve' is not 'resolved' - the two-state failure this build has now found in five separate modules, arriving in the one written to detect it. Steps carry a role and completeness is set equality over all three, which states EN-11's rule rather than this implementation's step count.</t>
        </is>
      </c>
      <c r="F91" s="120" t="inlineStr">
        <is>
          <t>P1</t>
        </is>
      </c>
      <c r="G91" s="30" t="n">
        <v>2</v>
      </c>
      <c r="H91" s="121" t="inlineStr">
        <is>
          <t>fixed</t>
        </is>
      </c>
      <c r="I91" s="4" t="inlineStr">
        <is>
          <t>EN-11</t>
        </is>
      </c>
      <c r="J91" s="4" t="inlineStr">
        <is>
          <t>test_a_statement_resting_on_nothing_is_not_a_complete_audit</t>
        </is>
      </c>
    </row>
    <row r="92">
      <c r="A92" s="34" t="inlineStr">
        <is>
          <t>B-91</t>
        </is>
      </c>
      <c r="B92" s="35" t="inlineStr">
        <is>
          <t>Phase 6 review</t>
        </is>
      </c>
      <c r="C92" s="35" t="inlineStr">
        <is>
          <t>nm/obs/cost.py</t>
        </is>
      </c>
      <c r="D92" s="4" t="inlineStr">
        <is>
          <t>The release gate assumed every quality metric improves upward</t>
        </is>
      </c>
      <c r="E92" s="4" t="inlineStr">
        <is>
          <t>`check_regression` compared quality_after &gt; quality_before. True of an accuracy; false of an error rate, a latency, a refusal count and of cost itself - half the numbers this project tracks. Measured: a release whose hallucination rate fell 0.20 -&gt; 0.10 FAILED the gate, and one whose rate rose 0.10 -&gt; 0.20 PASSED it. Not a near miss, the answer inverted. Direction is now required with no default: a default is a guess about somebody else's number, wrong silently and in the direction that ships the regression.</t>
        </is>
      </c>
      <c r="F92" s="120" t="inlineStr">
        <is>
          <t>P1</t>
        </is>
      </c>
      <c r="G92" s="30" t="n">
        <v>1</v>
      </c>
      <c r="H92" s="121" t="inlineStr">
        <is>
          <t>fixed</t>
        </is>
      </c>
      <c r="I92" s="4" t="inlineStr">
        <is>
          <t>EN-21</t>
        </is>
      </c>
      <c r="J92" s="4" t="inlineStr">
        <is>
          <t>test_a_metric_that_improves_downward_is_read_downward</t>
        </is>
      </c>
    </row>
    <row r="93">
      <c r="A93" s="34" t="inlineStr">
        <is>
          <t>B-92</t>
        </is>
      </c>
      <c r="B93" s="35" t="inlineStr">
        <is>
          <t>Phase 6 review</t>
        </is>
      </c>
      <c r="C93" s="35" t="inlineStr">
        <is>
          <t>nm/tools/release.py</t>
        </is>
      </c>
      <c r="D93" s="4" t="inlineStr">
        <is>
          <t>The release check passed because it had examined nothing</t>
        </is>
      </c>
      <c r="E93" s="4" t="inlineStr">
        <is>
          <t>`statuses_from_plan` silently dropped every row whose status it could not parse and returned a bare mapping. A plan that failed to open therefore produced an empty map, an empty map has no story below the bar, and the gate answered 'release: all 0 stories are at least tested'. The check ran, over nothing, and said yes. Coverage now travels with the result, an unreadable status blocks rather than disappearing, and may_release requires having considered something.</t>
        </is>
      </c>
      <c r="F93" s="120" t="inlineStr">
        <is>
          <t>P1</t>
        </is>
      </c>
      <c r="G93" s="30" t="n">
        <v>2</v>
      </c>
      <c r="H93" s="121" t="inlineStr">
        <is>
          <t>fixed</t>
        </is>
      </c>
      <c r="I93" s="4" t="inlineStr">
        <is>
          <t>EN-25</t>
        </is>
      </c>
      <c r="J93" s="4" t="inlineStr">
        <is>
          <t>test_a_release_check_over_nothing_is_not_a_passing_check</t>
        </is>
      </c>
    </row>
    <row r="94">
      <c r="A94" s="34" t="inlineStr">
        <is>
          <t>B-93</t>
        </is>
      </c>
      <c r="B94" s="35" t="inlineStr">
        <is>
          <t>Phase 6 review</t>
        </is>
      </c>
      <c r="C94" s="35" t="inlineStr">
        <is>
          <t>nm/core/retention.py</t>
        </is>
      </c>
      <c r="D94" s="4" t="inlineStr">
        <is>
          <t>A deletion reported complete having looked at two stores of eight</t>
        </is>
      </c>
      <c r="E94" s="4" t="inlineStr">
        <is>
          <t>`erase` read the fact store and the derivation graph, found both clean, and reported a complete erasure - silent about source documents, the case summary, exports already taken, the retrieval index, the logs and the backups. A client asking to be erased is not asking about the fact table, and a deletion that has examined a quarter of the system makes a stronger claim than one that fails. Coverage is now set equality against ERASABLE_STORES and an unexamined store is `not checked`, never clean. EN-06 was downgraded to `built` in the same pass: the control is honest now, the system still is not.</t>
        </is>
      </c>
      <c r="F94" s="124" t="inlineStr">
        <is>
          <t>P2</t>
        </is>
      </c>
      <c r="G94" s="30" t="n">
        <v>3</v>
      </c>
      <c r="H94" s="121" t="inlineStr">
        <is>
          <t>fixed</t>
        </is>
      </c>
      <c r="I94" s="4" t="inlineStr">
        <is>
          <t>EN-06</t>
        </is>
      </c>
      <c r="J94" s="4" t="inlineStr">
        <is>
          <t>test_an_unexamined_store_is_not_a_clean_one</t>
        </is>
      </c>
    </row>
    <row r="95">
      <c r="A95" s="34" t="inlineStr">
        <is>
          <t>B-94</t>
        </is>
      </c>
      <c r="B95" s="35" t="inlineStr">
        <is>
          <t>Phase 6 review</t>
        </is>
      </c>
      <c r="C95" s="35" t="inlineStr">
        <is>
          <t>nm/edge/phase6.py</t>
        </is>
      </c>
      <c r="D95" s="4" t="inlineStr">
        <is>
          <t>Eight class-B invariants had no production caller</t>
        </is>
      </c>
      <c r="E95" s="4" t="inlineStr">
        <is>
          <t>Every Phase 6 runtime assertion was exercised only by the test written for it, and a test written from the same misunderstanding as its assertion passes happily - which is how five P1 defects shipped green. PRD E3 asks for class-B rules on every real turn. `serve` now runs them: the access record, the diagnostics line, the provenance of every statement and the append-only history always; cost, budget and degradation when their input exists; erasure never, and it says so rather than being counted as wired.</t>
        </is>
      </c>
      <c r="F95" s="124" t="inlineStr">
        <is>
          <t>P2</t>
        </is>
      </c>
      <c r="G95" s="30" t="n">
        <v>3</v>
      </c>
      <c r="H95" s="121" t="inlineStr">
        <is>
          <t>fixed</t>
        </is>
      </c>
      <c r="I95" s="4" t="inlineStr">
        <is>
          <t>IN-08 / EN-02..EN-13</t>
        </is>
      </c>
      <c r="J95" s="4" t="inlineStr">
        <is>
          <t>test_a_served_turn_runs_the_phase_6_invariants_and_not_only_the_phase_4_ones</t>
        </is>
      </c>
    </row>
    <row r="96">
      <c r="A96" s="34" t="inlineStr">
        <is>
          <t>B-95</t>
        </is>
      </c>
      <c r="B96" s="35" t="inlineStr">
        <is>
          <t>Phase 6 review</t>
        </is>
      </c>
      <c r="C96" s="35" t="inlineStr">
        <is>
          <t>nm/edge/phase4.py + phase6.py</t>
        </is>
      </c>
      <c r="D96" s="4" t="inlineStr">
        <is>
          <t>Every invariant put the client's own words into the metrics store</t>
        </is>
      </c>
      <c r="E96" s="4" t="inlineStr">
        <is>
          <t>Found by wiring the Phase 6 assertions into `serve` and then reading what `serve` recorded. Each assertion quoted the offending material into its message - element.text[:60], signal.text[:60], chain.statement[:50] - so a violation detail carried the limitation bar, the exposure and the averment into diagnostics. The check was correct; its report was the leak, and it was EN-10's own acceptance breached by EN-10's neighbours. A violation is a diagnostics record: it now names the gap, the thread, the element kind or the statement's position, and never the words.</t>
        </is>
      </c>
      <c r="F96" s="120" t="inlineStr">
        <is>
          <t>P1</t>
        </is>
      </c>
      <c r="G96" s="30" t="n">
        <v>2</v>
      </c>
      <c r="H96" s="121" t="inlineStr">
        <is>
          <t>fixed</t>
        </is>
      </c>
      <c r="I96" s="4" t="inlineStr">
        <is>
          <t>EN-10</t>
        </is>
      </c>
      <c r="J96" s="4" t="inlineStr">
        <is>
          <t>test_a_violation_detail_never_carries_the_words_it_is_complaining_about</t>
        </is>
      </c>
    </row>
    <row r="97">
      <c r="A97" s="34" t="inlineStr">
        <is>
          <t>B-96</t>
        </is>
      </c>
      <c r="B97" s="35" t="inlineStr">
        <is>
          <t>AB-06 live run</t>
        </is>
      </c>
      <c r="C97" s="35" t="inlineStr">
        <is>
          <t>nm/core/advocate.py::URGENCY</t>
        </is>
      </c>
      <c r="D97" s="4" t="inlineStr">
        <is>
          <t>Emergency triage flagged five of eleven classes on a single matter</t>
        </is>
      </c>
      <c r="E97" s="4" t="inlineStr">
        <is>
          <t>The first urgency prompt asked for a screen and got a search for problems: on one land matter it returned liberty, safety, injunction, evidence_loss and irreversible_step, where only safety was real. 'liberty' was returned for wanting to file a police complaint when nobody was under arrest. A triage where five classes are urgent is as suspect as one where none is, because the panel becomes noise and an advocate stops reading it - the same failure as a deadline with no near phase (B-69). Fixed by defining each class narrowly IN THE PROMPT and stating the rule that prudence belongs in the advice rather than in the emergency panel. Validated across all 18 golden scenarios afterwards rather than on the matter that provoked it.</t>
        </is>
      </c>
      <c r="F97" s="120" t="inlineStr">
        <is>
          <t>P1</t>
        </is>
      </c>
      <c r="G97" s="30" t="n">
        <v>2</v>
      </c>
      <c r="H97" s="121" t="inlineStr">
        <is>
          <t>fixed</t>
        </is>
      </c>
      <c r="I97" s="4" t="inlineStr">
        <is>
          <t>AB-06</t>
        </is>
      </c>
      <c r="J97" s="4" t="inlineStr">
        <is>
          <t>18 scenarios: urgencies per scenario {0:6, 1:10, 2:1, 4:1}, median 1; every bail matter flags liberty and matri-06 flags child_safety</t>
        </is>
      </c>
    </row>
    <row r="98">
      <c r="A98" s="34" t="inlineStr">
        <is>
          <t>B-97</t>
        </is>
      </c>
      <c r="B98" s="35" t="inlineStr">
        <is>
          <t>AB-06 live run</t>
        </is>
      </c>
      <c r="C98" s="35" t="inlineStr">
        <is>
          <t>nm/app/consult.py</t>
        </is>
      </c>
      <c r="D98" s="4" t="inlineStr">
        <is>
          <t>The emergency was found and then buried under the limitation question</t>
        </is>
      </c>
      <c r="E98" s="4" t="inlineStr">
        <is>
          <t>D16.6 requires a material emergency to lead visibly, and the first wiring put it only in the answer's prompt. A turn that BLOCKS on a gate returns a question and never reaches the answer step, so a safety finding on a death-threat matter was discovered and then delivered below 'what is the date the cause of action accrued?'. The lead is now prepended to whatever the turn says - question or advice - so it cannot be trimmed by shaping, because it is not part of the shaped text.</t>
        </is>
      </c>
      <c r="F98" s="120" t="inlineStr">
        <is>
          <t>P1</t>
        </is>
      </c>
      <c r="G98" s="30" t="n">
        <v>1</v>
      </c>
      <c r="H98" s="121" t="inlineStr">
        <is>
          <t>fixed</t>
        </is>
      </c>
      <c r="I98" s="4" t="inlineStr">
        <is>
          <t>AB-06</t>
        </is>
      </c>
      <c r="J98" s="4" t="inlineStr">
        <is>
          <t>test_the_lead_is_prepended_to_a_question_as_well_as_to_advice</t>
        </is>
      </c>
    </row>
    <row r="99">
      <c r="A99" s="34" t="inlineStr">
        <is>
          <t>B-98</t>
        </is>
      </c>
      <c r="B99" s="35" t="inlineStr">
        <is>
          <t>AB-16/17 live run</t>
        </is>
      </c>
      <c r="C99" s="35" t="inlineStr">
        <is>
          <t>nm/app/consult.py::_limitation</t>
        </is>
      </c>
      <c r="D99" s="4" t="inlineStr">
        <is>
          <t>The board cited Article 66 while the answer reasoned from Article 65</t>
        </is>
      </c>
      <c r="E99" s="4" t="inlineStr">
        <is>
          <t>The governing limitation Article was taken as the first `/article/` finding in RETRIEVAL ORDER, so similarity chose the limitation period. Board and answer then disagreed on the face of one turn, which is exactly the divergence CS1 exists to catch. The cause map already names the governing Article for every curated cause; the rule is now that STRUCTURE decides and ranking survives only where no cause is curated, which is the same guess retrieval already was.</t>
        </is>
      </c>
      <c r="F99" s="120" t="inlineStr">
        <is>
          <t>P1</t>
        </is>
      </c>
      <c r="G99" s="30" t="n">
        <v>3</v>
      </c>
      <c r="H99" s="121" t="inlineStr">
        <is>
          <t>fixed</t>
        </is>
      </c>
      <c r="I99" s="4" t="inlineStr">
        <is>
          <t>AB-16 / ADR-1</t>
        </is>
      </c>
      <c r="J99" s="4" t="inlineStr">
        <is>
          <t>test_the_limitation_article_is_the_one_the_cause_names; 8 of 8 curated limitation refs resolve</t>
        </is>
      </c>
    </row>
    <row r="100">
      <c r="A100" s="34" t="inlineStr">
        <is>
          <t>B-99</t>
        </is>
      </c>
      <c r="B100" s="35" t="inlineStr">
        <is>
          <t>AB-16/17 live run</t>
        </is>
      </c>
      <c r="C100" s="35" t="inlineStr">
        <is>
          <t>nm/evidence/provider.py</t>
        </is>
      </c>
      <c r="D100" s="4" t="inlineStr">
        <is>
          <t>The provision a cause NAMES was hoped for in the top ten rather than fetched</t>
        </is>
      </c>
      <c r="E100" s="4" t="inlineStr">
        <is>
          <t>ADR-1 one level in. The cause map names the governing Article and the forum provision, and the served turn waited for similarity to float them into the returned set. Measured: Article 65 was not in the top ten at all on an encroachment matter. `resolve()` now fetches a named provision directly from the provision store and marks it resolved=True, which is the strongest claim retrieval can make.</t>
        </is>
      </c>
      <c r="F100" s="120" t="inlineStr">
        <is>
          <t>P1</t>
        </is>
      </c>
      <c r="G100" s="30" t="n">
        <v>2</v>
      </c>
      <c r="H100" s="121" t="inlineStr">
        <is>
          <t>fixed</t>
        </is>
      </c>
      <c r="I100" s="4" t="inlineStr">
        <is>
          <t>AB-16 / ADR-1</t>
        </is>
      </c>
      <c r="J100" s="4" t="inlineStr">
        <is>
          <t>test_the_provisions_a_cause_names_are_fetched_not_hoped_for</t>
        </is>
      </c>
    </row>
    <row r="101">
      <c r="A101" s="34" t="inlineStr">
        <is>
          <t>B-100</t>
        </is>
      </c>
      <c r="B101" s="35" t="inlineStr">
        <is>
          <t>AB-15 live run</t>
        </is>
      </c>
      <c r="C101" s="35" t="inlineStr">
        <is>
          <t>nm/app/consult.py::_gaps_for</t>
        </is>
      </c>
      <c r="D101" s="4" t="inlineStr">
        <is>
          <t>A gate that could never close blocked, and the advocate was asked a nonsense question</t>
        </is>
      </c>
      <c r="E101" s="4" t="inlineStr">
        <is>
          <t>On a bail matter the turn asked 'what is the date the cause of action accrued?'. The cause map correctly records that regular bail has no Limitation Act Article, so nothing could ever close the limitation gate. The two-state failure again: the gate knew computed and not-computed and had no way to say does-not-arise. Whether limitation applies is a property of the CAUSE, so it is read from the map - and it covers all TEN curated causes with no Article (three bail, divorce, restitution, judicial separation, maintenance, custody, dowry, eviction), not just bail. An uncurated cause is still assumed to have a period, because asking where it does not apply is irritating while failing to ask where it does loses the claim.</t>
        </is>
      </c>
      <c r="F101" s="120" t="inlineStr">
        <is>
          <t>P1</t>
        </is>
      </c>
      <c r="G101" s="30" t="n">
        <v>3</v>
      </c>
      <c r="H101" s="121" t="inlineStr">
        <is>
          <t>fixed</t>
        </is>
      </c>
      <c r="I101" s="4" t="inlineStr">
        <is>
          <t>AB-15</t>
        </is>
      </c>
      <c r="J101" s="4" t="inlineStr">
        <is>
          <t>test_a_cause_with_no_limitation_period_is_not_asked_about_it; 8 asked / 10 not asked across the map</t>
        </is>
      </c>
    </row>
    <row r="102">
      <c r="A102" s="34" t="inlineStr">
        <is>
          <t>B-101</t>
        </is>
      </c>
      <c r="B102" s="35" t="inlineStr">
        <is>
          <t>AB-15 build</t>
        </is>
      </c>
      <c r="C102" s="35" t="inlineStr">
        <is>
          <t>nm/app/consult.py</t>
        </is>
      </c>
      <c r="D102" s="4" t="inlineStr">
        <is>
          <t>The board reported a gate that cannot apply as an open item</t>
        </is>
      </c>
      <c r="E102" s="4" t="inlineStr">
        <is>
          <t>Consequence of B-100 and fixed with it: showing 'Limitation computed - open' on a bail matter tells the advocate something untrue about their file and makes the checklist read as permanently unfinished. The board now reports not_applicable with its reason, and the progress bar counts only the items that can be settled.</t>
        </is>
      </c>
      <c r="F102" s="124" t="inlineStr">
        <is>
          <t>P2</t>
        </is>
      </c>
      <c r="G102" s="30" t="n">
        <v>1</v>
      </c>
      <c r="H102" s="121" t="inlineStr">
        <is>
          <t>fixed</t>
        </is>
      </c>
      <c r="I102" s="4" t="inlineStr">
        <is>
          <t>AB-15</t>
        </is>
      </c>
      <c r="J102" s="4" t="inlineStr">
        <is>
          <t>nm/app/consult.py::_board; nm/app/ui.html renders a dash rather than an open circle</t>
        </is>
      </c>
    </row>
    <row r="103">
      <c r="A103" s="34" t="inlineStr">
        <is>
          <t>B-102</t>
        </is>
      </c>
      <c r="B103" s="35" t="inlineStr">
        <is>
          <t>AB-15 build</t>
        </is>
      </c>
      <c r="C103" s="35" t="inlineStr">
        <is>
          <t>nm/app/consult.py::_board</t>
        </is>
      </c>
      <c r="D103" s="4" t="inlineStr">
        <is>
          <t>nm could not tell the advocate when it was working outside its curated causes</t>
        </is>
      </c>
      <c r="E103" s="4" t="inlineStr">
        <is>
          <t>An uncurated cause falls back to unscoped retrieval and to assuming a limitation period, and neither was visible. A system that cannot report its own coverage is the failure this build keeps meeting - the board now says when the cause is not in the map, so an advocate can weigh the answer knowing nm is generalising from the words in front of it.</t>
        </is>
      </c>
      <c r="F103" s="124" t="inlineStr">
        <is>
          <t>P2</t>
        </is>
      </c>
      <c r="G103" s="30" t="n">
        <v>1</v>
      </c>
      <c r="H103" s="121" t="inlineStr">
        <is>
          <t>fixed</t>
        </is>
      </c>
      <c r="I103" s="4" t="inlineStr">
        <is>
          <t>AB-15</t>
        </is>
      </c>
      <c r="J103" s="4" t="inlineStr">
        <is>
          <t>test_the_board_says_when_the_cause_is_not_curated</t>
        </is>
      </c>
    </row>
    <row r="104">
      <c r="A104" s="34" t="inlineStr">
        <is>
          <t>B-103</t>
        </is>
      </c>
      <c r="B104" s="35" t="inlineStr">
        <is>
          <t>served turn</t>
        </is>
      </c>
      <c r="C104" s="35" t="inlineStr">
        <is>
          <t>nm/obs/metrics.py</t>
        </is>
      </c>
      <c r="D104" s="4" t="inlineStr">
        <is>
          <t>A streamed turn wrote its whole opinion and then died on a ContextVar reset</t>
        </is>
      </c>
      <c r="E104" s="4" t="inlineStr">
        <is>
          <t>A ContextVar token belongs to the context that created it, and a generator that yields into an async server is resumed in another one. The first served consult produced its entire answer and then failed on the way out, reporting a ContextVar error to the advocate instead of the advice. The reset now falls back to clearing the variable, which achieves the goal - no recorder left ambient - without asserting which context we are in.</t>
        </is>
      </c>
      <c r="F104" s="120" t="inlineStr">
        <is>
          <t>P1</t>
        </is>
      </c>
      <c r="G104" s="30" t="n">
        <v>1</v>
      </c>
      <c r="H104" s="121" t="inlineStr">
        <is>
          <t>fixed</t>
        </is>
      </c>
      <c r="I104" s="4" t="inlineStr">
        <is>
          <t>IN-08</t>
        </is>
      </c>
      <c r="J104" s="4" t="inlineStr">
        <is>
          <t>test_leaving_the_metrics_context_from_another_context_does_not_raise</t>
        </is>
      </c>
    </row>
    <row r="105">
      <c r="A105" s="34" t="inlineStr">
        <is>
          <t>B-104</t>
        </is>
      </c>
      <c r="B105" s="35" t="inlineStr">
        <is>
          <t>served turn</t>
        </is>
      </c>
      <c r="C105" s="35" t="inlineStr">
        <is>
          <t>nm/core/gateway.py</t>
        </is>
      </c>
      <c r="D105" s="4" t="inlineStr">
        <is>
          <t>Streamed model calls were recorded as llm_calls: 0</t>
        </is>
      </c>
      <c r="E105" s="4" t="inlineStr">
        <is>
          <t>Same root cause as B-103 and the more dangerous half: the ambient recorder was gone by the time the streamed call finished, so a real answer with real tokens reported no cost at all. That is the exact hole D2B cannot have, because the calls a user WATCHES are the expensive ones and they are precisely the ones that stream. The recorder is now passed explicitly by the caller that owns it; the ambient lookup remains for everything else.</t>
        </is>
      </c>
      <c r="F105" s="120" t="inlineStr">
        <is>
          <t>P1</t>
        </is>
      </c>
      <c r="G105" s="30" t="n">
        <v>1</v>
      </c>
      <c r="H105" s="121" t="inlineStr">
        <is>
          <t>fixed</t>
        </is>
      </c>
      <c r="I105" s="4" t="inlineStr">
        <is>
          <t>IN-02 / D2B</t>
        </is>
      </c>
      <c r="J105" s="4" t="inlineStr">
        <is>
          <t>test_a_streamed_call_is_still_counted_when_the_context_is_lost</t>
        </is>
      </c>
    </row>
    <row r="106">
      <c r="A106" s="34" t="inlineStr">
        <is>
          <t>B-105</t>
        </is>
      </c>
      <c r="B106" s="35" t="inlineStr">
        <is>
          <t>served turn</t>
        </is>
      </c>
      <c r="C106" s="35" t="inlineStr">
        <is>
          <t>nm/app/consult.py</t>
        </is>
      </c>
      <c r="D106" s="4" t="inlineStr">
        <is>
          <t>Substring matching never resolved a cause of action from an advocate's words</t>
        </is>
      </c>
      <c r="E106" s="4" t="inlineStr">
        <is>
          <t>The cause map is exact on a key or a stated alias with no fuzzy fallback - by design. The served path matched those legal phrases as substrings of the message, and an advocate writes 'we want the land back'. Nothing matched, retrieval ran unscoped, and the answer applied Article 58's three years to what is an Article 65 twelve-year suit. Silent, and confident. Triage now CLASSIFIES against the closed set of curated keys, and an off-menu answer resolves to nothing rather than the nearest neighbour, because an approximate cause is an exact wrong Act.</t>
        </is>
      </c>
      <c r="F106" s="120" t="inlineStr">
        <is>
          <t>P1</t>
        </is>
      </c>
      <c r="G106" s="30" t="n">
        <v>2</v>
      </c>
      <c r="H106" s="121" t="inlineStr">
        <is>
          <t>fixed</t>
        </is>
      </c>
      <c r="I106" s="4" t="inlineStr">
        <is>
          <t>AB-09 / IN-09</t>
        </is>
      </c>
      <c r="J106" s="4" t="inlineStr">
        <is>
          <t>live: 'we want the deed set aside' resolves to cancellation of an instrument</t>
        </is>
      </c>
    </row>
    <row r="107">
      <c r="A107" s="34" t="inlineStr">
        <is>
          <t>B-106</t>
        </is>
      </c>
      <c r="B107" s="35" t="inlineStr">
        <is>
          <t>served turn</t>
        </is>
      </c>
      <c r="C107" s="35" t="inlineStr">
        <is>
          <t>nm/app/state.py</t>
        </is>
      </c>
      <c r="D107" s="4" t="inlineStr">
        <is>
          <t>Every turn was a first meeting</t>
        </is>
      </c>
      <c r="E107" s="4" t="inlineStr">
        <is>
          <t>nm asked which side we act for, the advocate answered 'the plaintiff', and the next turn read four words, found no facts and treated it as an opening. Two rules fix it and both are about absence: a later turn may ADD to the file but may not silently blank it (Role.UNKNOWN and '' are absence, not a statement that the value is now unknown), and a short message means something different depending on whether a file is open - judged alone 'the plaintiff' is a greeting, and only the file knows it is an answer.</t>
        </is>
      </c>
      <c r="F107" s="120" t="inlineStr">
        <is>
          <t>P1</t>
        </is>
      </c>
      <c r="G107" s="30" t="n">
        <v>3</v>
      </c>
      <c r="H107" s="121" t="inlineStr">
        <is>
          <t>fixed</t>
        </is>
      </c>
      <c r="I107" s="4" t="inlineStr">
        <is>
          <t>AB-27 / CS2</t>
        </is>
      </c>
      <c r="J107" s="4" t="inlineStr">
        <is>
          <t>live: turn 1 settles side and cause and asks for the date; turn 2 merges it and advises</t>
        </is>
      </c>
    </row>
    <row r="108">
      <c r="A108" s="34" t="inlineStr">
        <is>
          <t>B-107</t>
        </is>
      </c>
      <c r="B108" s="35" t="inlineStr">
        <is>
          <t>Phase 8 purge</t>
        </is>
      </c>
      <c r="C108" s="35" t="inlineStr">
        <is>
          <t>nm/eval</t>
        </is>
      </c>
      <c r="D108" s="4" t="inlineStr">
        <is>
          <t>The evaluation scenarios were deleted with the legacy tree</t>
        </is>
      </c>
      <c r="E108" s="4" t="inlineStr">
        <is>
          <t>160 scenarios across 8 sets, including the 18 golden matters, went with the legacy purge. They are TEST DATA, not legacy code - the same category as the corpus and the client chat history, both of which were deliberately kept. It matters more than an ordinary deletion because rule 1 of the build guide is that a fix must be statable without naming the scenario that exposed it, and a scenario set is the only instrument that can CHECK that claim rather than assert it. Restored from history with a README recording why the deletion was wrong.</t>
        </is>
      </c>
      <c r="F108" s="120" t="inlineStr">
        <is>
          <t>P1</t>
        </is>
      </c>
      <c r="G108" s="30" t="n">
        <v>1</v>
      </c>
      <c r="H108" s="121" t="inlineStr">
        <is>
          <t>fixed</t>
        </is>
      </c>
      <c r="I108" s="4" t="inlineStr">
        <is>
          <t>E1 / build guide rule 1</t>
        </is>
      </c>
      <c r="J108" s="4" t="inlineStr">
        <is>
          <t>nm/eval/ - controlling_provision.jsonl (18), citation_drift_gold.jsonl (80), and six more</t>
        </is>
      </c>
    </row>
    <row r="109">
      <c r="A109" s="34" t="inlineStr">
        <is>
          <t>B-108</t>
        </is>
      </c>
      <c r="B109" s="35" t="inlineStr">
        <is>
          <t>code graph</t>
        </is>
      </c>
      <c r="C109" s="35" t="inlineStr">
        <is>
          <t>nm/app/consult.py</t>
        </is>
      </c>
      <c r="D109" s="4" t="inlineStr">
        <is>
          <t>Five functions carrying the new behaviour had no tests</t>
        </is>
      </c>
      <c r="E109" s="4" t="inlineStr">
        <is>
          <t>`detect_changes` reported _urgent_lead, _position_with, _limitation, _governing_article and _named_provisions untested. _urgent_lead is the function that makes AB-06 mean anything - a safety finding delivered below the limitation question is not a lead - so the tenet could have regressed silently while its own module tests stayed green. Found by the graph rather than by reading, which is what the graph is for.</t>
        </is>
      </c>
      <c r="F109" s="124" t="inlineStr">
        <is>
          <t>P2</t>
        </is>
      </c>
      <c r="G109" s="30" t="n">
        <v>1</v>
      </c>
      <c r="H109" s="121" t="inlineStr">
        <is>
          <t>fixed</t>
        </is>
      </c>
      <c r="I109" s="4" t="inlineStr">
        <is>
          <t>AB-06 / E3</t>
        </is>
      </c>
      <c r="J109" s="4" t="inlineStr">
        <is>
          <t>nm/tests/a_logic/test_urgency.py - five tests added</t>
        </is>
      </c>
    </row>
    <row r="110">
      <c r="A110" s="34" t="inlineStr">
        <is>
          <t>B-109</t>
        </is>
      </c>
      <c r="B110" s="35" t="inlineStr">
        <is>
          <t>AB-01 live run</t>
        </is>
      </c>
      <c r="C110" s="35" t="inlineStr">
        <is>
          <t>nm/core/advocate.py::ADVOCATE</t>
        </is>
      </c>
      <c r="D110" s="4" t="inlineStr">
        <is>
          <t>The answer handed the advocate a placeholder instead of a deadline</t>
        </is>
      </c>
      <c r="E110" s="4" t="inlineStr">
        <is>
          <t>A served answer ended with 'Obtain certified copies of title documents by [insert a deadline, e.g., two weeks from today]'. D16.19 requires every action to carry a date or a reason none applies, and a placeholder is neither - it is the absence of one wearing the shape of an answer, and it hands the advocate back the work they asked for. The standing instruction now forbids placeholders by name and says what to do instead: give the actual date, or name the event that fixes it ('within thirty days of service'), or say the date turns on something you were not told.</t>
        </is>
      </c>
      <c r="F110" s="124" t="inlineStr">
        <is>
          <t>P2</t>
        </is>
      </c>
      <c r="G110" s="30" t="n">
        <v>1</v>
      </c>
      <c r="H110" s="121" t="inlineStr">
        <is>
          <t>fixed</t>
        </is>
      </c>
      <c r="I110" s="4" t="inlineStr">
        <is>
          <t>AB-01 / D16.19</t>
        </is>
      </c>
      <c r="J110" s="4" t="inlineStr">
        <is>
          <t>test_the_standing_instruction_forbids_placeholder_deadlines</t>
        </is>
      </c>
    </row>
    <row r="111">
      <c r="A111" s="34" t="inlineStr">
        <is>
          <t>B-110</t>
        </is>
      </c>
      <c r="B111" s="35" t="inlineStr">
        <is>
          <t>AB-02 live run</t>
        </is>
      </c>
      <c r="C111" s="35" t="inlineStr">
        <is>
          <t>nm/app/analysis.py::_capabilities_block</t>
        </is>
      </c>
      <c r="D111" s="4" t="inlineStr">
        <is>
          <t>A closed list with no legitimate outside is a funnel, not a classification</t>
        </is>
      </c>
      <c r="E111" s="4" t="inlineStr">
        <is>
          <t>A rent matter at Ernakulam came back TELANGANA. The list was presented as the allowed answers with OTHER as a permitted departure, and the step chose the nearest listed member - the same failure advocate.TRIAGE already answers with 'NONE is a correct and useful answer'. OTHER is now stated as a CORRECT answer and says what choosing the nearest name instead costs: the matter gets advised under the wrong law, which reads perfectly and is wrong.</t>
        </is>
      </c>
      <c r="F111" s="120" t="inlineStr">
        <is>
          <t>P1</t>
        </is>
      </c>
      <c r="G111" s="30" t="n">
        <v>1</v>
      </c>
      <c r="H111" s="121" t="inlineStr">
        <is>
          <t>fixed</t>
        </is>
      </c>
      <c r="I111" s="4" t="inlineStr">
        <is>
          <t>AB-02 / D16.2</t>
        </is>
      </c>
      <c r="J111" s="4" t="inlineStr">
        <is>
          <t>test_a_named_absence_is_an_answer_and_only_an_absent_one_is_silence</t>
        </is>
      </c>
    </row>
    <row r="112">
      <c r="A112" s="34" t="inlineStr">
        <is>
          <t>B-111</t>
        </is>
      </c>
      <c r="B112" s="35" t="inlineStr">
        <is>
          <t>AB-02 live run</t>
        </is>
      </c>
      <c r="C112" s="35" t="inlineStr">
        <is>
          <t>nm/app/analysis.py::_capability_at_head</t>
        </is>
      </c>
      <c r="D112" s="4" t="inlineStr">
        <is>
          <t>The reader read the first field as a bare label, and dropped every row that carried a value in it</t>
        </is>
      </c>
      <c r="E112" s="4" t="inlineStr">
        <is>
          <t>The same step wrote 'jurisdiction | X | ...' on one matter and '- jurisdiction: X | ...' on the next. Reading column 0 with an exact match dropped every row of the second shape, which silently turned a blocking competence limit into 'within competence' - a fail-open on the one control that must never fail open. The capability is the LABEL and whatever follows it on that field is part of the ANSWER; the value is taken from the head where it carries one and from the next column where the head carries only the marker.</t>
        </is>
      </c>
      <c r="F112" s="120" t="inlineStr">
        <is>
          <t>P1</t>
        </is>
      </c>
      <c r="G112" s="30" t="n">
        <v>1</v>
      </c>
      <c r="H112" s="121" t="inlineStr">
        <is>
          <t>fixed</t>
        </is>
      </c>
      <c r="I112" s="4" t="inlineStr">
        <is>
          <t>AB-02 / D16.2</t>
        </is>
      </c>
      <c r="J112" s="4" t="inlineStr">
        <is>
          <t>test_a_named_absence_is_an_answer_and_only_an_absent_one_is_silence</t>
        </is>
      </c>
    </row>
    <row r="113">
      <c r="A113" s="34" t="inlineStr">
        <is>
          <t>B-112</t>
        </is>
      </c>
      <c r="B113" s="35" t="inlineStr">
        <is>
          <t>AB-02 live run</t>
        </is>
      </c>
      <c r="C113" s="35" t="inlineStr">
        <is>
          <t>nm/app/analysis.py::_requirement_name</t>
        </is>
      </c>
      <c r="D113" s="4" t="inlineStr">
        <is>
          <t>A requirement named '-' blocked a turn</t>
        </is>
      </c>
      <c r="E113" s="4" t="inlineStr">
        <is>
          <t>A line the step wrote with its own separator parsed down to a single dash, and a Requirement named '-' was constructed, blocked the matter and reported itself as a competence limit. A name has to be a WORD - stated once, for every capability and every format the step invents.</t>
        </is>
      </c>
      <c r="F113" s="124" t="inlineStr">
        <is>
          <t>P2</t>
        </is>
      </c>
      <c r="G113" s="30" t="n">
        <v>1</v>
      </c>
      <c r="H113" s="121" t="inlineStr">
        <is>
          <t>fixed</t>
        </is>
      </c>
      <c r="I113" s="4" t="inlineStr">
        <is>
          <t>AB-02 / D16.2</t>
        </is>
      </c>
      <c r="J113" s="4" t="inlineStr">
        <is>
          <t>test_the_supplier_is_derived_where_it_is_determined_by_the_requirement</t>
        </is>
      </c>
    </row>
    <row r="114">
      <c r="A114" s="34" t="inlineStr">
        <is>
          <t>B-113</t>
        </is>
      </c>
      <c r="B114" s="35" t="inlineStr">
        <is>
          <t>AB-02 live run</t>
        </is>
      </c>
      <c r="C114" s="35" t="inlineStr">
        <is>
          <t>nm/core/competence.py::MEANING</t>
        </is>
      </c>
      <c r="D114" s="4" t="inlineStr">
        <is>
          <t>An instruction written in the shape of a delimiter teaches that delimiter</t>
        </is>
      </c>
      <c r="E114" s="4" t="inlineStr">
        <is>
          <t>A capabilities block that used em dashes inside its own prose taught the step to separate its four fields with em dashes instead of the pipe it had been given, and every line then parsed as one field. The prose no longer uses the punctuation it forbids, and the prompt names its separator explicitly.</t>
        </is>
      </c>
      <c r="F114" s="124" t="inlineStr">
        <is>
          <t>P2</t>
        </is>
      </c>
      <c r="G114" s="30" t="n">
        <v>1</v>
      </c>
      <c r="H114" s="121" t="inlineStr">
        <is>
          <t>fixed</t>
        </is>
      </c>
      <c r="I114" s="4" t="inlineStr">
        <is>
          <t>AB-02 / D16.2</t>
        </is>
      </c>
      <c r="J114" s="4" t="inlineStr">
        <is>
          <t>test_the_answer_shape_is_restated_where_it_is_read_last</t>
        </is>
      </c>
    </row>
    <row r="115">
      <c r="A115" s="34" t="inlineStr">
        <is>
          <t>B-114</t>
        </is>
      </c>
      <c r="B115" s="35" t="inlineStr">
        <is>
          <t>AB-02 live run</t>
        </is>
      </c>
      <c r="C115" s="35" t="inlineStr">
        <is>
          <t>nm/core/competence.py::Capability.nm_must_hold</t>
        </is>
      </c>
      <c r="D115" s="4" t="inlineStr">
        <is>
          <t>LANGUAGE over-applied on its wide reading and blocked matters nm can advise on</t>
        </is>
      </c>
      <c r="E115" s="4" t="inlineStr">
        <is>
          <t>A land dispute in a Telugu-speaking district produced a Telugu language requirement - 'likely in Malayalam, being the local language' on another - and blocked. Two fixes, both structural rather than more prompt text: LANGUAGE now means the language of the GOVERNING LAW and the court's record, not of one document or of the place; and a language cannot block a jurisdiction we hold, because we declared the law we hold and a contrary answer is a finding about the declaration rather than about the matter. Stronger than instructing the step, because it does not depend on the step obeying.</t>
        </is>
      </c>
      <c r="F115" s="120" t="inlineStr">
        <is>
          <t>P1</t>
        </is>
      </c>
      <c r="G115" s="30" t="n">
        <v>1</v>
      </c>
      <c r="H115" s="121" t="inlineStr">
        <is>
          <t>fixed</t>
        </is>
      </c>
      <c r="I115" s="4" t="inlineStr">
        <is>
          <t>AB-02 / D16.2</t>
        </is>
      </c>
      <c r="J115" s="4" t="inlineStr">
        <is>
          <t>test_a_language_cannot_block_a_jurisdiction_we_hold</t>
        </is>
      </c>
    </row>
    <row r="116">
      <c r="A116" s="34" t="inlineStr">
        <is>
          <t>B-115</t>
        </is>
      </c>
      <c r="B116" s="35" t="inlineStr">
        <is>
          <t>AB-02 live run</t>
        </is>
      </c>
      <c r="C116" s="35" t="inlineStr">
        <is>
          <t>nm/app/analysis.py::_answer_skeleton</t>
        </is>
      </c>
      <c r="D116" s="4" t="inlineStr">
        <is>
          <t>The instruction read LAST is the one the answer takes its shape from</t>
        </is>
      </c>
      <c r="E116" s="4" t="inlineStr">
        <is>
          <t>Across repeated runs of one brief the step wrote the required label on one run and dropped it on the next, answering with bare values that parsed to nothing. The substance was right on the runs that failed to parse; what varied was which instruction it had read most recently, and the capability list ends with a closed set that the first field then inherited. The answer shape is now restated where it is read last, generated from the capability list so a capability added later appears without anyone remembering.</t>
        </is>
      </c>
      <c r="F116" s="120" t="inlineStr">
        <is>
          <t>P1</t>
        </is>
      </c>
      <c r="G116" s="30" t="n">
        <v>1</v>
      </c>
      <c r="H116" s="121" t="inlineStr">
        <is>
          <t>fixed</t>
        </is>
      </c>
      <c r="I116" s="4" t="inlineStr">
        <is>
          <t>AB-02 / D16.2</t>
        </is>
      </c>
      <c r="J116" s="4" t="inlineStr">
        <is>
          <t>test_the_answer_shape_is_restated_where_it_is_read_last</t>
        </is>
      </c>
    </row>
    <row r="117">
      <c r="A117" s="34" t="inlineStr">
        <is>
          <t>B-116</t>
        </is>
      </c>
      <c r="B117" s="35" t="inlineStr">
        <is>
          <t>AB-21 live run</t>
        </is>
      </c>
      <c r="C117" s="35" t="inlineStr">
        <is>
          <t>nm/core/disagreement.py::Disagreement.line</t>
        </is>
      </c>
      <c r="D117" s="4" t="inlineStr">
        <is>
          <t>A template that supplies its own conditional doubles the one the step wrote</t>
        </is>
      </c>
      <c r="E117" s="4" t="inlineStr">
        <is>
          <t>'If that is wrong, If incorrect, the claim is time-barred'. A field rendered as a complete sentence reads correctly whichever way it is written, which is the only version that survives a model; the column now asks for a complete sentence and the template supplies no conditional of its own.</t>
        </is>
      </c>
      <c r="F117" s="124" t="inlineStr">
        <is>
          <t>P2</t>
        </is>
      </c>
      <c r="G117" s="30" t="n">
        <v>1</v>
      </c>
      <c r="H117" s="121" t="inlineStr">
        <is>
          <t>fixed</t>
        </is>
      </c>
      <c r="I117" s="4" t="inlineStr">
        <is>
          <t>AB-21 / D16.21</t>
        </is>
      </c>
      <c r="J117" s="4" t="inlineStr">
        <is>
          <t>test_a_quotation_is_unwrapped_by_shape_not_by_a_list_of_wrappers</t>
        </is>
      </c>
    </row>
    <row r="118">
      <c r="A118" s="34" t="inlineStr">
        <is>
          <t>B-117</t>
        </is>
      </c>
      <c r="B118" s="35" t="inlineStr">
        <is>
          <t>AB-21 live run</t>
        </is>
      </c>
      <c r="C118" s="35" t="inlineStr">
        <is>
          <t>nm/app/analysis.py::_unquote</t>
        </is>
      </c>
      <c r="D118" s="4" t="inlineStr">
        <is>
          <t>A quotation came back wrapped in list numbering, emphasis and its own quotes</t>
        </is>
      </c>
      <c r="E118" s="4" t="inlineStr">
        <is>
          <t>The field is DEFINED as the words that were said, so '1. **"he was in possession since 1998"**' carries three wrappers that were never part of the answer. Stripped by SHAPE - nested pairs, in a loop - rather than by a list of the wrappers seen so far, which would grow one entry per run that surprised it.</t>
        </is>
      </c>
      <c r="F118" s="124" t="inlineStr">
        <is>
          <t>P2</t>
        </is>
      </c>
      <c r="G118" s="30" t="n">
        <v>1</v>
      </c>
      <c r="H118" s="121" t="inlineStr">
        <is>
          <t>fixed</t>
        </is>
      </c>
      <c r="I118" s="4" t="inlineStr">
        <is>
          <t>AB-21 / D16.21</t>
        </is>
      </c>
      <c r="J118" s="4" t="inlineStr">
        <is>
          <t>test_a_quotation_is_unwrapped_by_shape_not_by_a_list_of_wrappers</t>
        </is>
      </c>
    </row>
    <row r="119">
      <c r="A119" s="34" t="inlineStr">
        <is>
          <t>B-118</t>
        </is>
      </c>
      <c r="B119" s="35" t="inlineStr">
        <is>
          <t>AB-07 live run</t>
        </is>
      </c>
      <c r="C119" s="35" t="inlineStr">
        <is>
          <t>nm/app/analysis.py::run_account</t>
        </is>
      </c>
      <c r="D119" s="4" t="inlineStr">
        <is>
          <t>Significance was inferred from an optional column being filled</t>
        </is>
      </c>
      <c r="E119" s="4" t="inlineStr">
        <is>
          <t>The step filled the exact-words column on every row it wrote, and the reader read that as 'the words matter here' - which made the type's own guard vacuous and put a quotation beside propositions the words have nothing to do with. Significance is a property of the PROPOSITION, not of whether a field came back non-empty, so the reader no longer derives it.</t>
        </is>
      </c>
      <c r="F119" s="124" t="inlineStr">
        <is>
          <t>P2</t>
        </is>
      </c>
      <c r="G119" s="30" t="n">
        <v>1</v>
      </c>
      <c r="H119" s="121" t="inlineStr">
        <is>
          <t>fixed</t>
        </is>
      </c>
      <c r="I119" s="4" t="inlineStr">
        <is>
          <t>AB-07 / D16.7</t>
        </is>
      </c>
      <c r="J119" s="4" t="inlineStr">
        <is>
          <t>test_significance_is_not_inferred_from_a_column_being_filled</t>
        </is>
      </c>
    </row>
    <row r="120">
      <c r="A120" s="34" t="inlineStr">
        <is>
          <t>B-119</t>
        </is>
      </c>
      <c r="B120" s="35" t="inlineStr">
        <is>
          <t>AB-07 live run</t>
        </is>
      </c>
      <c r="C120" s="35" t="inlineStr">
        <is>
          <t>nm/core/interview.py::is_quoted_from</t>
        </is>
      </c>
      <c r="D120" s="4" t="inlineStr">
        <is>
          <t>A recorded 'exact words' was a paraphrase, not a quotation</t>
        </is>
      </c>
      <c r="E120" s="4" t="inlineStr">
        <is>
          <t>The most damaging thing this step could produce. A verbatim is what an admission, a threat or a promise is PROVED by, and a paraphrase presented as a quotation reads as evidence and is not one. A recorded verbatim must now be findable in the account it claims to come from, compared on words rather than characters because normalised spacing and quotation marks were never part of what was said.</t>
        </is>
      </c>
      <c r="F120" s="120" t="inlineStr">
        <is>
          <t>P1</t>
        </is>
      </c>
      <c r="G120" s="30" t="n">
        <v>1</v>
      </c>
      <c r="H120" s="121" t="inlineStr">
        <is>
          <t>fixed</t>
        </is>
      </c>
      <c r="I120" s="4" t="inlineStr">
        <is>
          <t>AB-07 / D16.7</t>
        </is>
      </c>
      <c r="J120" s="4" t="inlineStr">
        <is>
          <t>test_a_recorded_quotation_must_be_findable_in_the_account</t>
        </is>
      </c>
    </row>
    <row r="121">
      <c r="A121" s="34" t="inlineStr">
        <is>
          <t>B-120</t>
        </is>
      </c>
      <c r="B121" s="35" t="inlineStr">
        <is>
          <t>AB-07 live run</t>
        </is>
      </c>
      <c r="C121" s="35" t="inlineStr">
        <is>
          <t>nm/app/analysis.py::run_account</t>
        </is>
      </c>
      <c r="D121" s="4" t="inlineStr">
        <is>
          <t>A source was recorded for a basis that points nowhere</t>
        </is>
      </c>
      <c r="E121" s="4" t="inlineStr">
        <is>
          <t>The step filled the source column with 'the client' on a proposition the client saw for himself, rendering as '[direct (from plaintiff)]', which tells an advocate nothing. Basis.needs_a_source already declares which bases point somewhere; the reader now honours it instead of recording whatever came back.</t>
        </is>
      </c>
      <c r="F121" s="124" t="inlineStr">
        <is>
          <t>P2</t>
        </is>
      </c>
      <c r="G121" s="30" t="n">
        <v>1</v>
      </c>
      <c r="H121" s="121" t="inlineStr">
        <is>
          <t>fixed</t>
        </is>
      </c>
      <c r="I121" s="4" t="inlineStr">
        <is>
          <t>AB-07 / D16.7</t>
        </is>
      </c>
      <c r="J121" s="4" t="inlineStr">
        <is>
          <t>test_a_source_belongs_only_to_a_basis_that_points_somewhere</t>
        </is>
      </c>
    </row>
    <row r="122">
      <c r="A122" s="34" t="inlineStr">
        <is>
          <t>B-121</t>
        </is>
      </c>
      <c r="B122" s="35" t="inlineStr">
        <is>
          <t>AB-08 live run</t>
        </is>
      </c>
      <c r="C122" s="35" t="inlineStr">
        <is>
          <t>nm/core/objectives.py::Constraint</t>
        </is>
      </c>
      <c r="D122" s="4" t="inlineStr">
        <is>
          <t>An ordinary commercial limit was marked ABSOLUTE and would have vetoed a course</t>
        </is>
      </c>
      <c r="E122" s="4" t="inlineStr">
        <is>
          <t>The step marked 'the shop must keep trading' absolute. The reason only one kind may veto is not importance, it is WHOSE the constraint is: a shop that must keep trading, a ceiling on fees, a relationship to preserve are all real and often decisive, and every one belongs to the client, who may spend it to buy something better. Vetoing on their behalf takes their decision away and calls it protection. Hardness is now CAPPED by the kind rather than refused, so a real constraint is never lost for having been graded too high - it stays firm, still shapes the advice, and cannot stop it. Duties to the court are deliberately not in this vocabulary: they are duty.Breach and block in their own module.</t>
        </is>
      </c>
      <c r="F122" s="120" t="inlineStr">
        <is>
          <t>P1</t>
        </is>
      </c>
      <c r="G122" s="30" t="n">
        <v>1</v>
      </c>
      <c r="H122" s="121" t="inlineStr">
        <is>
          <t>fixed</t>
        </is>
      </c>
      <c r="I122" s="4" t="inlineStr">
        <is>
          <t>AB-08 / D16.8</t>
        </is>
      </c>
      <c r="J122" s="4" t="inlineStr">
        <is>
          <t>test_only_a_safety_constraint_may_veto_and_the_rest_are_capped</t>
        </is>
      </c>
    </row>
    <row r="123">
      <c r="A123" s="34" t="inlineStr">
        <is>
          <t>B-122</t>
        </is>
      </c>
      <c r="B123" s="35" t="inlineStr">
        <is>
          <t>AB-08 live run</t>
        </is>
      </c>
      <c r="C123" s="35" t="inlineStr">
        <is>
          <t>nm/app/analysis.py::_rests_on_the_account</t>
        </is>
      </c>
      <c r="D123" s="4" t="inlineStr">
        <is>
          <t>The step invented limits the client had never expressed</t>
        </is>
      </c>
      <c r="E123" s="4" t="inlineStr">
        <is>
          <t>A two-lakh ceiling and a risk appetite came back for a client who had mentioned neither, invited by an instruction that said to write the threshold the account IMPLIES. An invented limit reads exactly like an elicited one and is worse than a missing one: the advice gets shaped around something nobody said, and afterwards nobody can tell which lines were real. G18's rule now applies to elicitation as it does to citation - every aim and every constraint carries the words from the account it rests on, checked against the account, and a line that cannot support itself is discarded.</t>
        </is>
      </c>
      <c r="F123" s="120" t="inlineStr">
        <is>
          <t>P1</t>
        </is>
      </c>
      <c r="G123" s="30" t="n">
        <v>1</v>
      </c>
      <c r="H123" s="121" t="inlineStr">
        <is>
          <t>fixed</t>
        </is>
      </c>
      <c r="I123" s="4" t="inlineStr">
        <is>
          <t>AB-08 / D16.8</t>
        </is>
      </c>
      <c r="J123" s="4" t="inlineStr">
        <is>
          <t>test_an_elicited_line_that_is_not_in_the_account_is_discarded</t>
        </is>
      </c>
    </row>
    <row r="124">
      <c r="A124" s="34" t="inlineStr">
        <is>
          <t>B-123</t>
        </is>
      </c>
      <c r="B124" s="35" t="inlineStr">
        <is>
          <t>AB-08 live run</t>
        </is>
      </c>
      <c r="C124" s="35" t="inlineStr">
        <is>
          <t>nm/core/advocate.py::OBJECTIVES</t>
        </is>
      </c>
      <c r="D124" s="4" t="inlineStr">
        <is>
          <t>A column asking what would breach a limit came back with the consequence</t>
        </is>
      </c>
      <c r="E124" s="4" t="inlineStr">
        <is>
          <t>'Breached if exceeding this amount would force a settlement' is circular and cannot be checked against a recommendation. The column now asks for the OBSERVABLE THING that would tell you the limit has been crossed, with the contrast stated - 'the fees pass three lakh' is a test, 'it would force a settlement' is what follows from failing it.</t>
        </is>
      </c>
      <c r="F124" s="124" t="inlineStr">
        <is>
          <t>P2</t>
        </is>
      </c>
      <c r="G124" s="30" t="n">
        <v>1</v>
      </c>
      <c r="H124" s="121" t="inlineStr">
        <is>
          <t>fixed</t>
        </is>
      </c>
      <c r="I124" s="4" t="inlineStr">
        <is>
          <t>AB-08 / D16.8</t>
        </is>
      </c>
      <c r="J124" s="4" t="inlineStr">
        <is>
          <t>test_a_constraint_must_say_what_would_breach_it</t>
        </is>
      </c>
    </row>
    <row r="125">
      <c r="A125" s="34" t="inlineStr">
        <is>
          <t>B-124</t>
        </is>
      </c>
      <c r="B125" s="35" t="inlineStr">
        <is>
          <t>AB-07 live run</t>
        </is>
      </c>
      <c r="C125" s="35" t="inlineStr">
        <is>
          <t>nm/core/advocate.py::ACCOUNT</t>
        </is>
      </c>
      <c r="D125" s="4" t="inlineStr">
        <is>
          <t>A two-part answer collapsed to whichever part was described last</t>
        </is>
      </c>
      <c r="E125" s="4" t="inlineStr">
        <is>
          <t>Same cause as B-115 in a different step: the ACCOUNT prompt ended by describing the SUMMARY line, and on some runs the step returned only a summary and no propositions - the substance was right and nothing parsed. The rule generalises: the shape a step must answer in belongs where it is READ LAST, and a multi-part answer must say that both parts are required.</t>
        </is>
      </c>
      <c r="F125" s="120" t="inlineStr">
        <is>
          <t>P1</t>
        </is>
      </c>
      <c r="G125" s="30" t="n">
        <v>1</v>
      </c>
      <c r="H125" s="121" t="inlineStr">
        <is>
          <t>fixed</t>
        </is>
      </c>
      <c r="I125" s="4" t="inlineStr">
        <is>
          <t>AB-07 / D16.7</t>
        </is>
      </c>
      <c r="J125" s="4" t="inlineStr">
        <is>
          <t>test_both_steps_are_declared_and_state_their_bounds</t>
        </is>
      </c>
    </row>
    <row r="126">
      <c r="A126" s="34" t="inlineStr">
        <is>
          <t>B-125</t>
        </is>
      </c>
      <c r="B126" s="35" t="inlineStr">
        <is>
          <t>Phase 8 external review</t>
        </is>
      </c>
      <c r="C126" s="35" t="inlineStr">
        <is>
          <t>nm/app/consult.py::run</t>
        </is>
      </c>
      <c r="D126" s="4" t="inlineStr">
        <is>
          <t>The professional-duty screen ran AFTER the advice it guards had been shown</t>
        </is>
      </c>
      <c r="E126" s="4" t="inlineStr">
        <is>
          <t>The answer was streamed to the browser token by token and the duty review ran afterwards, so a recommendation to suppress binding authority was READ by the advocate and no later payload unreads it. The screen was fail-closed in the type and fail-open in the product. The rule is about ORDER, not about the screen: a fail-closed screen cannot run after its subject has been emitted. The answer is now buffered, screened and emitted once; the stages still stream so the turn is not silent, and the cost is time-to-first-token, which is what a closed guard costs. The page was also taking the authoritative text only when nothing had been streamed - it now always takes it, as defence in depth.</t>
        </is>
      </c>
      <c r="F126" s="120" t="inlineStr">
        <is>
          <t>P1</t>
        </is>
      </c>
      <c r="G126" s="30" t="n">
        <v>1</v>
      </c>
      <c r="H126" s="121" t="inlineStr">
        <is>
          <t>fixed</t>
        </is>
      </c>
      <c r="I126" s="4" t="inlineStr">
        <is>
          <t>AB-01 / D16.1</t>
        </is>
      </c>
      <c r="J126" s="4" t="inlineStr">
        <is>
          <t>test_nothing_reaches_the_advocate_before_the_screen_that_guards_it</t>
        </is>
      </c>
    </row>
    <row r="127">
      <c r="A127" s="34" t="inlineStr">
        <is>
          <t>B-126</t>
        </is>
      </c>
      <c r="B127" s="35" t="inlineStr">
        <is>
          <t>Phase 8 external review</t>
        </is>
      </c>
      <c r="C127" s="35" t="inlineStr">
        <is>
          <t>nm/core/competence.py::over</t>
        </is>
      </c>
      <c r="D127" s="4" t="inlineStr">
        <is>
          <t>A matter-level screen was recomputed from the latest message and forgot itself</t>
        </is>
      </c>
      <c r="E127" s="4" t="inlineStr">
        <is>
          <t>A Kerala brief blocked; the next message - 'we act for the tenant' - said nothing about jurisdiction, came back UNKNOWN, and the file proceeded under the declared scope as though the first turn had not happened. Competence is a property of the MATTER, like the conflict check and the engagement that Conversation already holds. A later assessment now replaces a capability's finding only where it answers that capability AFFIRMATIVELY: silence never clears a finding, which is the fill-but-never-blank rule the file merge already follows.</t>
        </is>
      </c>
      <c r="F127" s="120" t="inlineStr">
        <is>
          <t>P1</t>
        </is>
      </c>
      <c r="G127" s="30" t="n">
        <v>1</v>
      </c>
      <c r="H127" s="121" t="inlineStr">
        <is>
          <t>fixed</t>
        </is>
      </c>
      <c r="I127" s="4" t="inlineStr">
        <is>
          <t>AB-02 / D16.2</t>
        </is>
      </c>
      <c r="J127" s="4" t="inlineStr">
        <is>
          <t>test_silence_on_a_later_turn_does_not_clear_a_finding</t>
        </is>
      </c>
    </row>
    <row r="128">
      <c r="A128" s="34" t="inlineStr">
        <is>
          <t>B-127</t>
        </is>
      </c>
      <c r="B128" s="35" t="inlineStr">
        <is>
          <t>Phase 8 external review</t>
        </is>
      </c>
      <c r="C128" s="35" t="inlineStr">
        <is>
          <t>nm/core/competence.py::Assessment.referrals</t>
        </is>
      </c>
      <c r="D128" s="4" t="inlineStr">
        <is>
          <t>An exclusion deleted a finding instead of moving it</t>
        </is>
      </c>
      <c r="E128" s="4" t="inlineStr">
        <is>
          <t>The rule that a language cannot block a held jurisdiction removed the row from blocking, and referrals dropped it too because the requirement still considered ITSELF blocking - so a governing record in a language we do not read produced neither a refusal nor a referral. It vanished. An exclusion must MOVE a finding, never delete it; referrals is now computed against blocking rather than against the row's own opinion, so any exclusion added later lands there automatically instead of opening a second hole.</t>
        </is>
      </c>
      <c r="F128" s="120" t="inlineStr">
        <is>
          <t>P1</t>
        </is>
      </c>
      <c r="G128" s="30" t="n">
        <v>1</v>
      </c>
      <c r="H128" s="121" t="inlineStr">
        <is>
          <t>fixed</t>
        </is>
      </c>
      <c r="I128" s="4" t="inlineStr">
        <is>
          <t>AB-02 / D16.2</t>
        </is>
      </c>
      <c r="J128" s="4" t="inlineStr">
        <is>
          <t>test_an_excluded_finding_becomes_a_referral_rather_than_vanishing</t>
        </is>
      </c>
    </row>
    <row r="129">
      <c r="A129" s="34" t="inlineStr">
        <is>
          <t>B-128</t>
        </is>
      </c>
      <c r="B129" s="35" t="inlineStr">
        <is>
          <t>Phase 8 external review</t>
        </is>
      </c>
      <c r="C129" s="35" t="inlineStr">
        <is>
          <t>nm/app/consult.py::_thread_state</t>
        </is>
      </c>
      <c r="D129" s="4" t="inlineStr">
        <is>
          <t>The proof-coverage gate certified itself</t>
        </is>
      </c>
      <c r="E129" s="4" t="inlineStr">
        <is>
          <t>gates_for computes elements_assessed as 'wanted &lt;= assessed'. Both sides were fed from the same model answer, making it x &lt;= x: one invented element with one invented deed reported complete coverage and nothing downstream could tell. A coverage gate must be fed from a DIFFERENT source than the thing it measures, or be fed nothing. nm has no independent statement of what a cause requires - the cause map is deliberately thin and carries no elements - so the wanted set is empty and the gate stays open, which is the truth. The test that covered this asserted the defect, which is how the defect lasted. Separately, an unavailable proof map no longer lets the answer conclude as though one had been built.</t>
        </is>
      </c>
      <c r="F129" s="120" t="inlineStr">
        <is>
          <t>P1</t>
        </is>
      </c>
      <c r="G129" s="30" t="n">
        <v>1</v>
      </c>
      <c r="H129" s="121" t="inlineStr">
        <is>
          <t>fixed</t>
        </is>
      </c>
      <c r="I129" s="4" t="inlineStr">
        <is>
          <t>AB-15 / D16.15</t>
        </is>
      </c>
      <c r="J129" s="4" t="inlineStr">
        <is>
          <t>test_a_coverage_gate_is_not_fed_from_the_answer_it_measures</t>
        </is>
      </c>
    </row>
    <row r="130">
      <c r="A130" s="34" t="inlineStr">
        <is>
          <t>B-129</t>
        </is>
      </c>
      <c r="B130" s="35" t="inlineStr">
        <is>
          <t>Phase 8 external review</t>
        </is>
      </c>
      <c r="C130" s="35" t="inlineStr">
        <is>
          <t>nm/app/state.py::Conversation</t>
        </is>
      </c>
      <c r="D130" s="4" t="inlineStr">
        <is>
          <t>Substance was merged onto a file no conflict check had cleared, silently</t>
        </is>
      </c>
      <c r="E130" s="4" t="inlineStr">
        <is>
          <t>screen() and Quarantine have no production caller and Clearance refuses to exist without the person who gave it - correctly, and there is nowhere for a person to give one. Refusing to hold substance until then would stop the product, so the failure to guard against is holding it and SAYING NOTHING. The file now carries holds_uncleared_substance and the board shows it. This is stated rather than prevented and remains a release blocker for conflict-safe intake; it is not closed by making the sentence read better.</t>
        </is>
      </c>
      <c r="F130" s="120" t="inlineStr">
        <is>
          <t>P1</t>
        </is>
      </c>
      <c r="G130" s="30" t="n">
        <v>1</v>
      </c>
      <c r="H130" s="120" t="inlineStr">
        <is>
          <t>open</t>
        </is>
      </c>
      <c r="I130" s="4" t="inlineStr">
        <is>
          <t>AB-03 / D16.3</t>
        </is>
      </c>
      <c r="J130" s="4" t="inlineStr">
        <is>
          <t>test_a_file_holding_uncleared_substance_says_so</t>
        </is>
      </c>
    </row>
    <row r="131">
      <c r="A131" s="34" t="inlineStr">
        <is>
          <t>B-130</t>
        </is>
      </c>
      <c r="B131" s="35" t="inlineStr">
        <is>
          <t>Phase 8 external review</t>
        </is>
      </c>
      <c r="C131" s="35" t="inlineStr">
        <is>
          <t>nm/core/decision.py</t>
        </is>
      </c>
      <c r="D131" s="4" t="inlineStr">
        <is>
          <t>An authority for one matter authorised a step on another, and a future-dated one authorised immediately</t>
        </is>
      </c>
      <c r="E131" s="4" t="inlineStr">
        <is>
          <t>DecisionRecord never compared its own matter with the matter of the advice it rests on, so instructions given on one file authorised a settlement on another. And the staleness test was '(now - at).days &lt;= 30', which answers YES to a NEGATIVE age - an instruction dated next year authorised a settlement today. A bound needs both ends; this is the same defect the release gate had, in a different window.</t>
        </is>
      </c>
      <c r="F131" s="124" t="inlineStr">
        <is>
          <t>P2</t>
        </is>
      </c>
      <c r="G131" s="30" t="n">
        <v>1</v>
      </c>
      <c r="H131" s="121" t="inlineStr">
        <is>
          <t>fixed</t>
        </is>
      </c>
      <c r="I131" s="4" t="inlineStr">
        <is>
          <t>AB-20 / D16.20</t>
        </is>
      </c>
      <c r="J131" s="4" t="inlineStr">
        <is>
          <t>test_an_authority_is_for_a_matter_as_much_as_for_a_step</t>
        </is>
      </c>
    </row>
    <row r="132">
      <c r="A132" s="34" t="inlineStr">
        <is>
          <t>B-131</t>
        </is>
      </c>
      <c r="B132" s="35" t="inlineStr">
        <is>
          <t>Phase 8 external review</t>
        </is>
      </c>
      <c r="C132" s="35" t="inlineStr">
        <is>
          <t>nm/app/analysis.py::run_disagreement</t>
        </is>
      </c>
      <c r="D132" s="4" t="inlineStr">
        <is>
          <t>A candour pass that failed reported the same as one that found nothing</t>
        </is>
      </c>
      <c r="E132" s="4" t="inlineStr">
        <is>
          <t>An exception returned an empty tuple, and no ran state reached the board - so a provider outage read as 'there is nothing wrong with this account', which is the one reading it must never have. The three-state rule, missing in the single place where its absence reads as reassurance. The reader now returns None for a pass that did not run, Candour carries `tested`, and the stage and board say so.</t>
        </is>
      </c>
      <c r="F132" s="124" t="inlineStr">
        <is>
          <t>P2</t>
        </is>
      </c>
      <c r="G132" s="30" t="n">
        <v>1</v>
      </c>
      <c r="H132" s="121" t="inlineStr">
        <is>
          <t>fixed</t>
        </is>
      </c>
      <c r="I132" s="4" t="inlineStr">
        <is>
          <t>AB-21 / D16.21</t>
        </is>
      </c>
      <c r="J132" s="4" t="inlineStr">
        <is>
          <t>test_a_candour_pass_that_did_not_run_is_not_one_that_found_nothing</t>
        </is>
      </c>
    </row>
    <row r="133">
      <c r="A133" s="34" t="inlineStr">
        <is>
          <t>B-132</t>
        </is>
      </c>
      <c r="B133" s="35" t="inlineStr">
        <is>
          <t>Phase 8 bar work</t>
        </is>
      </c>
      <c r="C133" s="35" t="inlineStr">
        <is>
          <t>nm/adapters/inprocess.py::ScriptedModel</t>
        </is>
      </c>
      <c r="D133" s="4" t="inlineStr">
        <is>
          <t>The scripted port had no stream(), so no test ever drove the served ADVICE path</t>
        </is>
      </c>
      <c r="E133" s="4" t="inlineStr">
        <is>
          <t>gateway.stream calls port.stream, and ScriptedModel implemented only complete(). A scripted turn therefore died before it reached the answer, which is why every test of that path tested a FUNCTION rather than the turn - and why the duty screen could run after the answer had been streamed without a single test noticing. Added; the answer arrives as one piece, because chunking would test the transport and what needs testing is that nothing is emitted before the screens have run.</t>
        </is>
      </c>
      <c r="F133" s="120" t="inlineStr">
        <is>
          <t>P1</t>
        </is>
      </c>
      <c r="G133" s="30" t="n">
        <v>1</v>
      </c>
      <c r="H133" s="121" t="inlineStr">
        <is>
          <t>fixed</t>
        </is>
      </c>
      <c r="I133" s="4" t="inlineStr">
        <is>
          <t>AB-01 / D16.1</t>
        </is>
      </c>
      <c r="J133" s="4" t="inlineStr">
        <is>
          <t>test_the_stream_is_well_formed_sse_and_ends_with_done</t>
        </is>
      </c>
    </row>
    <row r="134">
      <c r="A134" s="34" t="inlineStr">
        <is>
          <t>B-133</t>
        </is>
      </c>
      <c r="B134" s="35" t="inlineStr">
        <is>
          <t>Phase 8 bar work</t>
        </is>
      </c>
      <c r="C134" s="35" t="inlineStr">
        <is>
          <t>nm/tests/a_logic/test_served_api.py</t>
        </is>
      </c>
      <c r="D134" s="4" t="inlineStr">
        <is>
          <t>The scripted ports still cannot reach the advice path, so the duty block is untested on the wire</t>
        </is>
      </c>
      <c r="E134" s="4" t="inlineStr">
        <is>
          <t>With every step scripted and evidence returning a synthetic Article 65, the turn still stops at the limitation gate: nm.knowledge.limitation cannot read a period from a hand-written span, so the gate never closes and run_duty is never reached over HTTP. The blueprint's AB-01 acceptance - a prohibited recommendation produces ZERO unsafe browser tokens - therefore has no API test, and AB-01's real_api_tests stays NO. The fix is a scripted evidence fixture carrying a real provision span rather than a plausible one, which is the same lesson as everywhere else: a fixture that only looks right passes nothing.</t>
        </is>
      </c>
      <c r="F134" s="120" t="inlineStr">
        <is>
          <t>P1</t>
        </is>
      </c>
      <c r="G134" s="30" t="n">
        <v>1</v>
      </c>
      <c r="H134" s="121" t="inlineStr">
        <is>
          <t>fixed</t>
        </is>
      </c>
      <c r="I134" s="4" t="inlineStr">
        <is>
          <t>AB-01 / D16.1</t>
        </is>
      </c>
      <c r="J134" s="4" t="inlineStr">
        <is>
          <t>test_a_prohibited_recommendation_produces_zero_unsafe_browser_tokens</t>
        </is>
      </c>
    </row>
    <row r="135">
      <c r="A135" s="34" t="inlineStr">
        <is>
          <t>B-134</t>
        </is>
      </c>
      <c r="B135" s="35" t="inlineStr">
        <is>
          <t>Phase 8 bar work</t>
        </is>
      </c>
      <c r="C135" s="35" t="inlineStr">
        <is>
          <t>nm/tests/a_logic/conftest.py</t>
        </is>
      </c>
      <c r="D135" s="4" t="inlineStr">
        <is>
          <t>The class-A network guard blocked its own test harness</t>
        </is>
      </c>
      <c r="E135" s="4" t="inlineStr">
        <is>
          <t>The guard blocked socket.connect outright, which also blocked socket.socketpair() - an in-process pipe with no network in it - and therefore every asyncio event loop on Windows, and therefore any class-A test that drives the served API. A guard that forbids testing the wire protects the place the bugs are: every defect the Phase-8 review found lived between a correct module and the served path. The rule is 'nothing leaves the machine', not 'no sockets exist', and the loopback exemption is exactly as wide as the pipe asyncio needs. The existing test asserted the OLD over-broad behaviour and was rewritten to assert the rule.</t>
        </is>
      </c>
      <c r="F135" s="120" t="inlineStr">
        <is>
          <t>P1</t>
        </is>
      </c>
      <c r="G135" s="30" t="n">
        <v>1</v>
      </c>
      <c r="H135" s="121" t="inlineStr">
        <is>
          <t>fixed</t>
        </is>
      </c>
      <c r="I135" s="4" t="inlineStr">
        <is>
          <t>F-03</t>
        </is>
      </c>
      <c r="J135" s="4" t="inlineStr">
        <is>
          <t>test_loopback_is_allowed_because_it_is_not_the_network</t>
        </is>
      </c>
    </row>
    <row r="136">
      <c r="A136" s="34" t="inlineStr">
        <is>
          <t>B-135</t>
        </is>
      </c>
      <c r="B136" s="35" t="inlineStr">
        <is>
          <t>self-review after the persistence commit</t>
        </is>
      </c>
      <c r="C136" s="35" t="inlineStr">
        <is>
          <t>nm/app/state.py::_open_backing</t>
        </is>
      </c>
      <c r="D136" s="4" t="inlineStr">
        <is>
          <t>Making matters durable wrote them to disk in PLAINTEXT</t>
        </is>
      </c>
      <c r="E136" s="4" t="inlineStr">
        <is>
          <t>Conversations was wired straight to DurableBytes and EncryptedMatterStore - sitting right there, already holding the cipher and already binding each record to its matter - was walked straight past. Verified on the bytes: 'matrimonial cruelty', 'plaintiff' and the conduct date were all readable in the file with strings. This is exactly the failure nm.core.readiness was written to stop, committed three commits after the sentence describing it: THE SAFEGUARD EXISTED AND THE CALLER WENT AROUND IT. Writing the rule down does not exempt you from it. Fixed with SealedBytes, which wraps the existing cipher rather than copying it; and durability must not silently downgrade confidentiality, so a path with no key is REFUSED rather than falling back to plaintext - B-74's rule applied to a store: an unconfigured control is UNAVAILABLE, never transparent. Access control is deliberately NOT claimed, because the served path has no advocate identity and a synthetic one would make an unenforced control look enforced.</t>
        </is>
      </c>
      <c r="F136" s="120" t="inlineStr">
        <is>
          <t>P1</t>
        </is>
      </c>
      <c r="G136" s="30" t="n">
        <v>1</v>
      </c>
      <c r="H136" s="121" t="inlineStr">
        <is>
          <t>fixed</t>
        </is>
      </c>
      <c r="I136" s="4" t="inlineStr">
        <is>
          <t>AB-03 / EN-02 / B-74</t>
        </is>
      </c>
      <c r="J136" s="4" t="inlineStr">
        <is>
          <t>test_a_sealed_store_leaves_nothing_readable_on_disk</t>
        </is>
      </c>
    </row>
    <row r="137">
      <c r="A137" s="34" t="inlineStr">
        <is>
          <t>B-136</t>
        </is>
      </c>
      <c r="B137" s="35" t="inlineStr">
        <is>
          <t>Phase 8 second review</t>
        </is>
      </c>
      <c r="C137" s="35" t="inlineStr">
        <is>
          <t>nm/app/consult.py::run</t>
        </is>
      </c>
      <c r="D137" s="4" t="inlineStr">
        <is>
          <t>The candour lead carried MODEL prose out before the duty screen</t>
        </is>
      </c>
      <c r="E137" s="4" t="inlineStr">
        <is>
          <t>I emitted the lead early on the reasoning that it was built from typed objects rather than model prose, and wrote exactly that in the commit message. It is true of a Correction - arithmetic on conclusions the file already recorded - and FALSE of a Disagreement, whose stated, doubt, effect, fix and owner come straight from a model. THE TYPE CONSTRAINS THE SHAPE, NOT THE CONTENT: a fix field can carry 'tell the client to say the wall went up in 2024 rather than 2022', and it reached the browser before anything screened it. Reproduced over HTTP. Only the corrections go early now; the disagreements are joined to the draft BEFORE run_duty, so everything model-authored on a turn passes one screen.</t>
        </is>
      </c>
      <c r="F137" s="120" t="inlineStr">
        <is>
          <t>P1</t>
        </is>
      </c>
      <c r="G137" s="30" t="n">
        <v>1</v>
      </c>
      <c r="H137" s="121" t="inlineStr">
        <is>
          <t>fixed</t>
        </is>
      </c>
      <c r="I137" s="4" t="inlineStr">
        <is>
          <t>AB-01 / D16.1</t>
        </is>
      </c>
      <c r="J137" s="4" t="inlineStr">
        <is>
          <t>test_no_model_authored_text_leaves_before_the_duty_screen</t>
        </is>
      </c>
    </row>
    <row r="138">
      <c r="A138" s="34" t="inlineStr">
        <is>
          <t>B-137</t>
        </is>
      </c>
      <c r="B138" s="35" t="inlineStr">
        <is>
          <t>Phase 8 second review</t>
        </is>
      </c>
      <c r="C138" s="35" t="inlineStr">
        <is>
          <t>nm/app/consult.py::UNSCREENED_NOTICE</t>
        </is>
      </c>
      <c r="D138" s="4" t="inlineStr">
        <is>
          <t>Unscreened advice was indistinguishable from screened advice</t>
        </is>
      </c>
      <c r="E138" s="4" t="inlineStr">
        <is>
          <t>run_duty returns ran=False on a provider failure and readiness correctly refuses to mark such advice reliance-ready - but nothing said so on the FACE of the answer, so the reader could not tell the two apart. Deliberately not a block: refusing to advise on an outage is D2's missing answer and the failure mode of a conduct control is being switched off. The blueprint's requirement is that unscreened advice must not be PRESENTED AS USABLE, which is a marking problem, not a blocking one. The answer now leads with the notice.</t>
        </is>
      </c>
      <c r="F138" s="120" t="inlineStr">
        <is>
          <t>P1</t>
        </is>
      </c>
      <c r="G138" s="30" t="n">
        <v>1</v>
      </c>
      <c r="H138" s="121" t="inlineStr">
        <is>
          <t>fixed</t>
        </is>
      </c>
      <c r="I138" s="4" t="inlineStr">
        <is>
          <t>AB-01 / D16.1</t>
        </is>
      </c>
      <c r="J138" s="4" t="inlineStr">
        <is>
          <t>test_unscreened_advice_carries_its_notice_on_the_wire</t>
        </is>
      </c>
    </row>
    <row r="139">
      <c r="A139" s="34" t="inlineStr">
        <is>
          <t>B-138</t>
        </is>
      </c>
      <c r="B139" s="35" t="inlineStr">
        <is>
          <t>Phase 8 second review</t>
        </is>
      </c>
      <c r="C139" s="35" t="inlineStr">
        <is>
          <t>nm/core/competence.py::release</t>
        </is>
      </c>
      <c r="D139" s="4" t="inlineStr">
        <is>
          <t>Releasing a competence limit erased the finding and the reason for it</t>
        </is>
      </c>
      <c r="E139" s="4" t="inlineStr">
        <is>
          <t>release() demanded the person and the reason and then dropped the requirement entirely, so after a restart a released limitation was indistinguishable from one that never existed. 'Nobody ever found a competence problem here' and 'somebody decided the one we found did not apply' are different files to be holding. Marked rather than deleted now, the same rule duty.override already followed - and a released requirement is not resurrected as a referral either.</t>
        </is>
      </c>
      <c r="F139" s="124" t="inlineStr">
        <is>
          <t>P2</t>
        </is>
      </c>
      <c r="G139" s="30" t="n">
        <v>1</v>
      </c>
      <c r="H139" s="121" t="inlineStr">
        <is>
          <t>fixed</t>
        </is>
      </c>
      <c r="I139" s="4" t="inlineStr">
        <is>
          <t>AB-02 / D16.2</t>
        </is>
      </c>
      <c r="J139" s="4" t="inlineStr">
        <is>
          <t>test_a_released_competence_limit_is_marked_and_never_erased</t>
        </is>
      </c>
    </row>
    <row r="140">
      <c r="A140" s="34" t="inlineStr">
        <is>
          <t>B-139</t>
        </is>
      </c>
      <c r="B140" s="35" t="inlineStr">
        <is>
          <t>Phase 8 second review</t>
        </is>
      </c>
      <c r="C140" s="35" t="inlineStr">
        <is>
          <t>nm/app/persistence.py::NESTED_SKIPPED</t>
        </is>
      </c>
      <c r="D140" s="4" t="inlineStr">
        <is>
          <t>The codec totality rule did not reach the NESTED types</t>
        </is>
      </c>
      <c r="E140" s="4" t="inlineStr">
        <is>
          <t>NOT_PERSISTED covers Conversation's own fields and breaks a test when one is added. It said nothing about the dataclasses nested inside it, so two fields added to Requirement had to be carried into the encoder by MEMORY - the exact failure the top-level rule exists to remove, one level down. Found by asking why nobody had noticed B-138. Every nested encoder is now checked against its dataclass, and dropping a field turns the suite red naming it.</t>
        </is>
      </c>
      <c r="F140" s="120" t="inlineStr">
        <is>
          <t>P1</t>
        </is>
      </c>
      <c r="G140" s="30" t="n">
        <v>1</v>
      </c>
      <c r="H140" s="121" t="inlineStr">
        <is>
          <t>fixed</t>
        </is>
      </c>
      <c r="I140" s="4" t="inlineStr">
        <is>
          <t>AB-02 / EN-02</t>
        </is>
      </c>
      <c r="J140" s="4" t="inlineStr">
        <is>
          <t>test_the_totality_rule_reaches_the_nested_types_too</t>
        </is>
      </c>
    </row>
    <row r="141">
      <c r="A141" s="34" t="inlineStr">
        <is>
          <t>B-140</t>
        </is>
      </c>
      <c r="B141" s="35" t="inlineStr">
        <is>
          <t>Phase 8 second review</t>
        </is>
      </c>
      <c r="C141" s="35" t="inlineStr">
        <is>
          <t>nm/tests/a_logic/test_served_api.py</t>
        </is>
      </c>
      <c r="D141" s="4" t="inlineStr">
        <is>
          <t>Nothing asserted that a held-back disagreement ever ARRIVES</t>
        </is>
      </c>
      <c r="E141" s="4" t="inlineStr">
        <is>
          <t>Found by mutation rather than by review: stopping the disagreements being joined to the draft left the suite green. Held back and then dropped is worse than not held back at all - AB-21's whole value is the difficult thing being said, and it would have gone silently. Both halves are now asserted on the wire: the improper fix cannot leave early, and the doubt does arrive after the screen.</t>
        </is>
      </c>
      <c r="F141" s="120" t="inlineStr">
        <is>
          <t>P1</t>
        </is>
      </c>
      <c r="G141" s="30" t="n">
        <v>1</v>
      </c>
      <c r="H141" s="121" t="inlineStr">
        <is>
          <t>fixed</t>
        </is>
      </c>
      <c r="I141" s="4" t="inlineStr">
        <is>
          <t>AB-21 / D16.21</t>
        </is>
      </c>
      <c r="J141" s="4" t="inlineStr">
        <is>
          <t>test_a_disagreement_reaches_the_advocate_after_the_screen</t>
        </is>
      </c>
    </row>
    <row r="142">
      <c r="A142" s="34" t="inlineStr">
        <is>
          <t>B-141</t>
        </is>
      </c>
      <c r="B142" s="35" t="inlineStr">
        <is>
          <t>Phase 8 second review</t>
        </is>
      </c>
      <c r="C142" s="35" t="inlineStr">
        <is>
          <t>nm/core/duty.py::Breach</t>
        </is>
      </c>
      <c r="D142" s="4" t="inlineStr">
        <is>
          <t>The duty taxonomy has no explicit confidentiality, privilege or conflict outcome</t>
        </is>
      </c>
      <c r="E142" s="4" t="inlineStr">
        <is>
          <t>The seven Breach values cover litigation misconduct and say nothing explicit about a recommendation that would breach confidentiality or privilege, or that acts in a conflict. The conflict CHECK is a different control on a different object - it screens the matter, not the advice - so a recommendation that itself creates the problem is unscreened. Recorded rather than fixed: adding categories to a closed list is the easy half, and the hard half is the over-application bound for each, which needs the same both-directions measurement the existing seven had.</t>
        </is>
      </c>
      <c r="F142" s="124" t="inlineStr">
        <is>
          <t>P2</t>
        </is>
      </c>
      <c r="G142" s="30" t="n">
        <v>1</v>
      </c>
      <c r="H142" s="120" t="inlineStr">
        <is>
          <t>open</t>
        </is>
      </c>
      <c r="I142" s="4" t="inlineStr">
        <is>
          <t>AB-01 / D16.1</t>
        </is>
      </c>
      <c r="J142" s="4" t="inlineStr"/>
    </row>
    <row r="143">
      <c r="A143" s="34" t="inlineStr">
        <is>
          <t>B-142</t>
        </is>
      </c>
      <c r="B143" s="35" t="inlineStr">
        <is>
          <t>Phase 8 second review</t>
        </is>
      </c>
      <c r="C143" s="35" t="inlineStr">
        <is>
          <t>nm/app/consult.py::DECLARED</t>
        </is>
      </c>
      <c r="D143" s="4" t="inlineStr">
        <is>
          <t>Declared competence is a hardcoded constant, not a corpus manifest</t>
        </is>
      </c>
      <c r="E143" s="4" t="inlineStr">
        <is>
          <t>Telangana, Union of India and English are declared in the composition root and nothing checks them against what the corpus actually holds. It cannot express a court, a subject, a date range or partial coverage, so with I-03 parked the declaration is broader than the corpus behind it - which makes the competence screen answer confidently about matters it has thin coverage for. Already recorded as this tenet's main gap; restated here as a defect because a declaration nothing verifies is the same class as a rating nobody computes.</t>
        </is>
      </c>
      <c r="F143" s="124" t="inlineStr">
        <is>
          <t>P2</t>
        </is>
      </c>
      <c r="G143" s="30" t="n">
        <v>1</v>
      </c>
      <c r="H143" s="120" t="inlineStr">
        <is>
          <t>open</t>
        </is>
      </c>
      <c r="I143" s="4" t="inlineStr">
        <is>
          <t>AB-02 / D16.2</t>
        </is>
      </c>
      <c r="J143" s="4" t="inlineStr"/>
    </row>
    <row r="144">
      <c r="A144" s="34" t="inlineStr">
        <is>
          <t>B-143</t>
        </is>
      </c>
      <c r="B144" s="35" t="inlineStr">
        <is>
          <t>self-review before claiming AB-03</t>
        </is>
      </c>
      <c r="C144" s="35" t="inlineStr">
        <is>
          <t>nm/app/state.py::Conversations.all</t>
        </is>
      </c>
      <c r="D144" s="4" t="inlineStr">
        <is>
          <t>One unreadable matter took the conflict screen down for the whole deployment</t>
        </is>
      </c>
      <c r="E144" s="4" t="inlineStr">
        <is>
          <t>Found by attacking my own code rather than by review. The registry is a projection of the stored matters, so a row that will not decode - a partial write, a restore, a rotated key - raised out of all() and every matter on the deployment became unscreenable. The OBVIOUS repair is to skip it, and that is worse than the crash: a matter silently dropped from the registry is a FALSE CLEARANCE, the one outcome this screen exists to prevent. Fixed with a MatterSet that carries the matters and the failures together, so a caller cannot iterate one without seeing the other, and the screening note says the screen was INCOMPLETE and names what it could not cover.</t>
        </is>
      </c>
      <c r="F144" s="120" t="inlineStr">
        <is>
          <t>P1</t>
        </is>
      </c>
      <c r="G144" s="30" t="n">
        <v>1</v>
      </c>
      <c r="H144" s="121" t="inlineStr">
        <is>
          <t>fixed</t>
        </is>
      </c>
      <c r="I144" s="4" t="inlineStr">
        <is>
          <t>AB-03 / D16.3</t>
        </is>
      </c>
      <c r="J144" s="4" t="inlineStr">
        <is>
          <t>test_one_unreadable_matter_does_not_take_the_screen_down</t>
        </is>
      </c>
    </row>
    <row r="145">
      <c r="A145" s="34" t="inlineStr">
        <is>
          <t>B-144</t>
        </is>
      </c>
      <c r="B145" s="35" t="inlineStr">
        <is>
          <t>self-review before claiming AB-03</t>
        </is>
      </c>
      <c r="C145" s="35" t="inlineStr">
        <is>
          <t>nm/app/conflicts.py::screening_note</t>
        </is>
      </c>
      <c r="D145" s="4" t="inlineStr">
        <is>
          <t>The screening note counted the matter against itself</t>
        </is>
      </c>
      <c r="E145" s="4" t="inlineStr">
        <is>
          <t>The registry is a projection and by the time the board renders, THIS matter is one of the stored ones - so the note said 'screened against 1 matter' on the very first brief a deployment ever saw, which is precisely the false reassurance the note exists to prevent. screen() already excludes self; the count now agrees with it.</t>
        </is>
      </c>
      <c r="F145" s="124" t="inlineStr">
        <is>
          <t>P2</t>
        </is>
      </c>
      <c r="G145" s="30" t="n">
        <v>1</v>
      </c>
      <c r="H145" s="121" t="inlineStr">
        <is>
          <t>fixed</t>
        </is>
      </c>
      <c r="I145" s="4" t="inlineStr">
        <is>
          <t>AB-03 / D16.3</t>
        </is>
      </c>
      <c r="J145" s="4" t="inlineStr">
        <is>
          <t>test_a_shared_party_blocks_the_second_matter_over_http</t>
        </is>
      </c>
    </row>
    <row r="146">
      <c r="A146" s="34" t="inlineStr">
        <is>
          <t>B-145</t>
        </is>
      </c>
      <c r="B146" s="35" t="inlineStr">
        <is>
          <t>self-review before claiming AB-06</t>
        </is>
      </c>
      <c r="C146" s="35" t="inlineStr">
        <is>
          <t>nm/app/consult.py</t>
        </is>
      </c>
      <c r="D146" s="4" t="inlineStr">
        <is>
          <t>An emergency found on one turn vanished on the next</t>
        </is>
      </c>
      <c r="E146" s="4" t="inlineStr">
        <is>
          <t>The triage was recomputed from each message and kept nothing, so an arrest found on turn one was gone by turn two - the same defect the competence block had, in the place where it costs most. Conversation now carries every class assessed, not just the live ones, because the question D16.6 asks is not what was found but what was LOOKED AT.</t>
        </is>
      </c>
      <c r="F146" s="120" t="inlineStr">
        <is>
          <t>P1</t>
        </is>
      </c>
      <c r="G146" s="30" t="n">
        <v>1</v>
      </c>
      <c r="H146" s="121" t="inlineStr">
        <is>
          <t>fixed</t>
        </is>
      </c>
      <c r="I146" s="4" t="inlineStr">
        <is>
          <t>AB-06 / D16.6</t>
        </is>
      </c>
      <c r="J146" s="4" t="inlineStr">
        <is>
          <t>test_an_emergency_found_on_one_turn_still_leads_the_next</t>
        </is>
      </c>
    </row>
    <row r="147">
      <c r="A147" s="34" t="inlineStr">
        <is>
          <t>B-146</t>
        </is>
      </c>
      <c r="B147" s="35" t="inlineStr">
        <is>
          <t>self-review before claiming AB-06</t>
        </is>
      </c>
      <c r="C147" s="35" t="inlineStr">
        <is>
          <t>nm/core/urgency.py::carry_forward</t>
        </is>
      </c>
      <c r="D147" s="4" t="inlineStr">
        <is>
          <t>A later NO silently closed a live emergency, and my first fix had this wrong</t>
        </is>
      </c>
      <c r="E147" s="4" t="inlineStr">
        <is>
          <t>The carry-forward rule said 'a class assessed this turn replaces what was held'. That is wrong for the same reason the competence bypass was wrong: THE STEP IS NEVER SILENT. Asked about 'the wall went up in January' it answers 'liberty | NO | does not arise on these facts' - truthful about that message, and it would close an arrest found the turn before. The unit tests passed; a SERVED test caught it. A live urgency is now sticky and only urgency.resolve closes it, with a name. The first sticky guard was then too broad and blocked the resolution itself - caught by the same test - so it tests STANDING rather than is_live, because a resolution is APPLIES-and-closed.</t>
        </is>
      </c>
      <c r="F147" s="120" t="inlineStr">
        <is>
          <t>P1</t>
        </is>
      </c>
      <c r="G147" s="30" t="n">
        <v>1</v>
      </c>
      <c r="H147" s="121" t="inlineStr">
        <is>
          <t>fixed</t>
        </is>
      </c>
      <c r="I147" s="4" t="inlineStr">
        <is>
          <t>AB-06 / D16.6</t>
        </is>
      </c>
      <c r="J147" s="4" t="inlineStr">
        <is>
          <t>test_a_later_NO_does_not_clear_a_live_urgency</t>
        </is>
      </c>
    </row>
    <row r="148">
      <c r="A148" s="34" t="inlineStr">
        <is>
          <t>B-147</t>
        </is>
      </c>
      <c r="B148" s="35" t="inlineStr">
        <is>
          <t>self-review before claiming AB-06</t>
        </is>
      </c>
      <c r="C148" s="35" t="inlineStr">
        <is>
          <t>nm/app/triage.py::run</t>
        </is>
      </c>
      <c r="D148" s="4" t="inlineStr">
        <is>
          <t>An outage in the urgency step took the whole turn down</t>
        </is>
      </c>
      <c r="E148" s="4" t="inlineStr">
        <is>
          <t>The call raised straight out of run(), the consult died, and the advocate got an error page instead of an answer - the one behaviour every other screen in this build avoids. An empty Triage is INCOMPLETE by set equality, so it now reports itself as never having looked rather than as having found nothing, blocks_merits stays true, and the answer says so on its face.</t>
        </is>
      </c>
      <c r="F148" s="120" t="inlineStr">
        <is>
          <t>P1</t>
        </is>
      </c>
      <c r="G148" s="30" t="n">
        <v>1</v>
      </c>
      <c r="H148" s="121" t="inlineStr">
        <is>
          <t>fixed</t>
        </is>
      </c>
      <c r="I148" s="4" t="inlineStr">
        <is>
          <t>AB-06 / D16.6</t>
        </is>
      </c>
      <c r="J148" s="4" t="inlineStr">
        <is>
          <t>test_a_triage_outage_returns_an_incomplete_screen_rather_than_raising</t>
        </is>
      </c>
    </row>
    <row r="149">
      <c r="A149" s="34" t="inlineStr">
        <is>
          <t>B-148</t>
        </is>
      </c>
      <c r="B149" s="35" t="inlineStr">
        <is>
          <t>self-review before claiming AB-06</t>
        </is>
      </c>
      <c r="C149" s="35" t="inlineStr">
        <is>
          <t>nm/app/consult.py::_urgent_lead</t>
        </is>
      </c>
      <c r="D149" s="4" t="inlineStr">
        <is>
          <t>An action due eight months ago was listed under 'these will not wait'</t>
        </is>
      </c>
      <c r="E149" s="4" t="inlineStr">
        <is>
          <t>Which reads as a forecast about something that has already failed to happen. An overdue emergency is worse news than a live one, not stale news: it leads separately, says how many days late it is, and is not filtered out. Same class as the expired-limitation defect, which this build had already fixed once.</t>
        </is>
      </c>
      <c r="F149" s="120" t="inlineStr">
        <is>
          <t>P1</t>
        </is>
      </c>
      <c r="G149" s="30" t="n">
        <v>1</v>
      </c>
      <c r="H149" s="121" t="inlineStr">
        <is>
          <t>fixed</t>
        </is>
      </c>
      <c r="I149" s="4" t="inlineStr">
        <is>
          <t>AB-06 / D16.6</t>
        </is>
      </c>
      <c r="J149" s="4" t="inlineStr">
        <is>
          <t>test_an_overdue_urgency_is_separated_from_one_still_ahead</t>
        </is>
      </c>
    </row>
    <row r="150">
      <c r="A150" s="34" t="inlineStr">
        <is>
          <t>B-149</t>
        </is>
      </c>
      <c r="B150" s="35" t="inlineStr">
        <is>
          <t>self-review before claiming AB-06</t>
        </is>
      </c>
      <c r="C150" s="35" t="inlineStr">
        <is>
          <t>nm/core/urgency.py::resolve</t>
        </is>
      </c>
      <c r="D150" s="4" t="inlineStr">
        <is>
          <t>There was no way for an advocate to close an emergency out</t>
        </is>
      </c>
      <c r="E150" s="4" t="inlineStr">
        <is>
          <t>So a handled arrest would lead every turn forever, and an advocate who learns to skip the top of the answer skips the one that mattered. resolve() takes the person and what they did and keeps the record: 'there was never an emergency here' and 'there was one and it was handled on Tuesday' are different files.</t>
        </is>
      </c>
      <c r="F150" s="124" t="inlineStr">
        <is>
          <t>P2</t>
        </is>
      </c>
      <c r="G150" s="30" t="n">
        <v>1</v>
      </c>
      <c r="H150" s="121" t="inlineStr">
        <is>
          <t>fixed</t>
        </is>
      </c>
      <c r="I150" s="4" t="inlineStr">
        <is>
          <t>AB-06 / D16.6</t>
        </is>
      </c>
      <c r="J150" s="4" t="inlineStr">
        <is>
          <t>test_silence_is_not_resolution_and_only_a_person_closes_one</t>
        </is>
      </c>
    </row>
    <row r="151">
      <c r="A151" s="34" t="inlineStr">
        <is>
          <t>B-150</t>
        </is>
      </c>
      <c r="B151" s="35" t="inlineStr">
        <is>
          <t>self-review before claiming AB-04</t>
        </is>
      </c>
      <c r="C151" s="35" t="inlineStr">
        <is>
          <t>nm/core/engagement.py::Engagement</t>
        </is>
      </c>
      <c r="D151" s="4" t="inlineStr">
        <is>
          <t>A blank scope line put every step in scope</t>
        </is>
      </c>
      <c r="E151" s="4" t="inlineStr">
        <is>
          <t>covers() asks whether a scope phrase appears in the work, and an empty phrase appears in EVERYTHING - so one blank line silently made every step in scope, which is the exact opposite of having a scope. Found by attacking the type rather than by review. Blank scope lines and blank exclusions are both refused now: an empty exclusion excludes everything and the engagement would cover nothing at all.</t>
        </is>
      </c>
      <c r="F151" s="120" t="inlineStr">
        <is>
          <t>P1</t>
        </is>
      </c>
      <c r="G151" s="30" t="n">
        <v>1</v>
      </c>
      <c r="H151" s="121" t="inlineStr">
        <is>
          <t>fixed</t>
        </is>
      </c>
      <c r="I151" s="4" t="inlineStr">
        <is>
          <t>AB-04 / D16.4</t>
        </is>
      </c>
      <c r="J151" s="4" t="inlineStr">
        <is>
          <t>test_a_blank_scope_line_is_refused_because_it_would_cover_everything</t>
        </is>
      </c>
    </row>
    <row r="152">
      <c r="A152" s="34" t="inlineStr">
        <is>
          <t>B-151</t>
        </is>
      </c>
      <c r="B152" s="35" t="inlineStr">
        <is>
          <t>self-review before claiming AB-04</t>
        </is>
      </c>
      <c r="C152" s="35" t="inlineStr">
        <is>
          <t>nm/core/engagement.py::reliance</t>
        </is>
      </c>
      <c r="D152" s="4" t="inlineStr">
        <is>
          <t>Reliance was a SECOND answer to a question readiness already answered</t>
        </is>
      </c>
      <c r="E152" s="4" t="inlineStr">
        <is>
          <t>reliance() knew about the engagement and the conflict check and nothing else, so a matter OUTSIDE COMPETENCE - or one whose duty screen never ran - read 'ready to be relied on' while may_mark_reliance_ready refused it. Two owners of one judgement, disagreeing in the direction that matters. It is now a projection of AdviceReadiness, and a caller passing only the old two arguments gets the old answer WIDENED rather than a wrong one: an omitted screen is an unmet gate, never a passed one.</t>
        </is>
      </c>
      <c r="F152" s="120" t="inlineStr">
        <is>
          <t>P1</t>
        </is>
      </c>
      <c r="G152" s="30" t="n">
        <v>1</v>
      </c>
      <c r="H152" s="121" t="inlineStr">
        <is>
          <t>fixed</t>
        </is>
      </c>
      <c r="I152" s="4" t="inlineStr">
        <is>
          <t>AB-04 / D16.4</t>
        </is>
      </c>
      <c r="J152" s="4" t="inlineStr">
        <is>
          <t>test_reliance_is_derived_from_readiness_and_not_a_second_answer</t>
        </is>
      </c>
    </row>
    <row r="153">
      <c r="A153" s="34" t="inlineStr">
        <is>
          <t>B-152</t>
        </is>
      </c>
      <c r="B153" s="35" t="inlineStr">
        <is>
          <t>self-review before claiming AB-04</t>
        </is>
      </c>
      <c r="C153" s="35" t="inlineStr">
        <is>
          <t>nm/app/server.py</t>
        </is>
      </c>
      <c r="D153" s="4" t="inlineStr">
        <is>
          <t>Nothing in the served path could create an Engagement</t>
        </is>
      </c>
      <c r="E153" s="4" t="inlineStr">
        <is>
          <t>So may_mark_reliance_ready refused every matter - correct, and useless, because nothing could ever call it. The contract existed and had no surface, the same shape as the conflict clearance before B-129. POST /matter/engagement is that surface, and D16.4's service terms are recorded and REPORTED rather than required: a client is entitled to have been told what this costs, but demanding a fee note before nm will think is the over-application that gets a control switched off.</t>
        </is>
      </c>
      <c r="F153" s="120" t="inlineStr">
        <is>
          <t>P1</t>
        </is>
      </c>
      <c r="G153" s="30" t="n">
        <v>1</v>
      </c>
      <c r="H153" s="121" t="inlineStr">
        <is>
          <t>fixed</t>
        </is>
      </c>
      <c r="I153" s="4" t="inlineStr">
        <is>
          <t>AB-04 / D16.4</t>
        </is>
      </c>
      <c r="J153" s="4" t="inlineStr">
        <is>
          <t>test_recording_an_engagement_opens_the_reliance_gate</t>
        </is>
      </c>
    </row>
    <row r="154">
      <c r="A154" s="34" t="inlineStr">
        <is>
          <t>B-153</t>
        </is>
      </c>
      <c r="B154" s="35" t="inlineStr">
        <is>
          <t>Phase 8 third review</t>
        </is>
      </c>
      <c r="C154" s="35" t="inlineStr">
        <is>
          <t>nm/core/urgency.py::Triage</t>
        </is>
      </c>
      <c r="D154" s="4" t="inlineStr">
        <is>
          <t>A carried history answered for a screen that never ran</t>
        </is>
      </c>
      <c r="E154" s="4" t="inlineStr">
        <is>
          <t>Eleven negative assessments from an earlier turn, overlaid on an empty screen from a provider outage, reported 'all 11 urgency classes cleared' - so a message saying the client had just been arrested passed on yesterday's 'no arrest'. The carry-forward I added to fix B-145 created this. Triage now carries screened_this_turn: what the MATTER knows is carried, whether THIS message was looked at is not.</t>
        </is>
      </c>
      <c r="F154" s="120" t="inlineStr">
        <is>
          <t>P1</t>
        </is>
      </c>
      <c r="G154" s="30" t="n">
        <v>1</v>
      </c>
      <c r="H154" s="121" t="inlineStr">
        <is>
          <t>fixed</t>
        </is>
      </c>
      <c r="I154" s="4" t="inlineStr">
        <is>
          <t>AB-06 / D16.6</t>
        </is>
      </c>
      <c r="J154" s="4" t="inlineStr">
        <is>
          <t>test_what_blocks_the_merits_is_not_having_looked</t>
        </is>
      </c>
    </row>
    <row r="155">
      <c r="A155" s="34" t="inlineStr">
        <is>
          <t>B-154</t>
        </is>
      </c>
      <c r="B155" s="35" t="inlineStr">
        <is>
          <t>Phase 8 third review</t>
        </is>
      </c>
      <c r="C155" s="35" t="inlineStr">
        <is>
          <t>nm/app/consult.py</t>
        </is>
      </c>
      <c r="D155" s="4" t="inlineStr">
        <is>
          <t>blocks_merits existed and nothing consulted it</t>
        </is>
      </c>
      <c r="E155" s="4" t="inlineStr">
        <is>
          <t>D16.6: a matter cannot enter ordinary analysis until every applicable class is cleared, ASSIGNED or escalated. The emergency led the answer and stopped nothing. Wired - and the definition corrected while wiring it: a LIVE urgency does not block, because Urgency refuses an APPLIES without an owner and an action so every live one is assigned by construction. What blocks is not having LOOKED. The old test asserted the stricter reading and was wrong.</t>
        </is>
      </c>
      <c r="F155" s="120" t="inlineStr">
        <is>
          <t>P1</t>
        </is>
      </c>
      <c r="G155" s="30" t="n">
        <v>1</v>
      </c>
      <c r="H155" s="121" t="inlineStr">
        <is>
          <t>fixed</t>
        </is>
      </c>
      <c r="I155" s="4" t="inlineStr">
        <is>
          <t>AB-06 / D16.6</t>
        </is>
      </c>
      <c r="J155" s="4" t="inlineStr">
        <is>
          <t>test_a_live_emergency_leads_by_date_and_does_NOT_block_the_merits</t>
        </is>
      </c>
    </row>
    <row r="156">
      <c r="A156" s="34" t="inlineStr">
        <is>
          <t>B-155</t>
        </is>
      </c>
      <c r="B156" s="35" t="inlineStr">
        <is>
          <t>Phase 8 third review</t>
        </is>
      </c>
      <c r="C156" s="35" t="inlineStr">
        <is>
          <t>nm/app/conflicts.py::check</t>
        </is>
      </c>
      <c r="D156" s="4" t="inlineStr">
        <is>
          <t>An INCOMPLETE conflict screen still cleared the matter</t>
        </is>
      </c>
      <c r="E156" s="4" t="inlineStr">
        <is>
          <t>The unreadable-matter warning lived in the display text while may_take_substance returned True - a LOUD false clearance, which is still a false clearance. The completeness now travels ON the ConflictCheck: a screen against a registry it could not read in full cannot clear a file, though a human clearance still can, because the matter it could not read is exactly the one that might have conflicted.</t>
        </is>
      </c>
      <c r="F156" s="120" t="inlineStr">
        <is>
          <t>P1</t>
        </is>
      </c>
      <c r="G156" s="30" t="n">
        <v>1</v>
      </c>
      <c r="H156" s="121" t="inlineStr">
        <is>
          <t>fixed</t>
        </is>
      </c>
      <c r="I156" s="4" t="inlineStr">
        <is>
          <t>AB-03 / D16.3</t>
        </is>
      </c>
      <c r="J156" s="4" t="inlineStr">
        <is>
          <t>test_an_incomplete_screen_never_reads_as_a_clean_one</t>
        </is>
      </c>
    </row>
    <row r="157">
      <c r="A157" s="34" t="inlineStr">
        <is>
          <t>B-156</t>
        </is>
      </c>
      <c r="B157" s="35" t="inlineStr">
        <is>
          <t>Phase 8 third review</t>
        </is>
      </c>
      <c r="C157" s="35" t="inlineStr">
        <is>
          <t>nm/core/readiness.py</t>
        </is>
      </c>
      <c r="D157" s="4" t="inlineStr">
        <is>
          <t>A failed duty screen labelled the recommendation and delivered it anyway</t>
        </is>
      </c>
      <c r="E157" s="4" t="inlineStr">
        <is>
          <t>D16.1's test is explicit - every recommendation is screened, and a failed screen BLOCKS the recommendation - and I had generalised 'an unavailable screen never stops the work' from the one control whose failure mode is being switched off. Unscreened is not screened. RECOMMEND now requires a screened answer; ANALYSE does not, so nm goes on computing the limitation date and the proof map and withholds only the model's recommendation, which is the only thing the screen guards.</t>
        </is>
      </c>
      <c r="F157" s="120" t="inlineStr">
        <is>
          <t>P1</t>
        </is>
      </c>
      <c r="G157" s="30" t="n">
        <v>1</v>
      </c>
      <c r="H157" s="121" t="inlineStr">
        <is>
          <t>fixed</t>
        </is>
      </c>
      <c r="I157" s="4" t="inlineStr">
        <is>
          <t>AB-01 / D16.1</t>
        </is>
      </c>
      <c r="J157" s="4" t="inlineStr">
        <is>
          <t>test_an_unscreened_recommendation_is_withheld_on_the_wire</t>
        </is>
      </c>
    </row>
    <row r="158">
      <c r="A158" s="34" t="inlineStr">
        <is>
          <t>B-157</t>
        </is>
      </c>
      <c r="B158" s="35" t="inlineStr">
        <is>
          <t>Phase 8 third review</t>
        </is>
      </c>
      <c r="C158" s="35" t="inlineStr">
        <is>
          <t>nm/app/analysis.py::screen_urgency_actions</t>
        </is>
      </c>
      <c r="D158" s="4" t="inlineStr">
        <is>
          <t>The urgency ACTIONS are model text and the lead prints them first, unscreened</t>
        </is>
      </c>
      <c r="E158" s="4" t="inlineStr">
        <is>
          <t>immediate_action comes straight from the step, so 'destroy the original deed before they ask for it' is a sentence the taxonomy permits and the lead carried to the browser before anything screened it - the same defect as the candour block, in the one place deliberately printed FIRST. D16.6 outranks D16.1 on ORDER but not on content, so the actions are screened where they are produced rather than the lead being demoted. A blocked action is REPLACED with the lawful course, because an emergency with its action removed is a warning with nothing to do about it.</t>
        </is>
      </c>
      <c r="F158" s="120" t="inlineStr">
        <is>
          <t>P1</t>
        </is>
      </c>
      <c r="G158" s="30" t="n">
        <v>1</v>
      </c>
      <c r="H158" s="121" t="inlineStr">
        <is>
          <t>fixed</t>
        </is>
      </c>
      <c r="I158" s="4" t="inlineStr">
        <is>
          <t>AB-01 / AB-06</t>
        </is>
      </c>
      <c r="J158" s="4" t="inlineStr">
        <is>
          <t>test_an_improper_urgency_action_is_replaced_before_it_leads</t>
        </is>
      </c>
    </row>
    <row r="159">
      <c r="A159" s="34" t="inlineStr">
        <is>
          <t>B-158</t>
        </is>
      </c>
      <c r="B159" s="35" t="inlineStr">
        <is>
          <t>Phase 8 third review</t>
        </is>
      </c>
      <c r="C159" s="35" t="inlineStr">
        <is>
          <t>nm/core/urgency.py::carry_forward</t>
        </is>
      </c>
      <c r="D159" s="4" t="inlineStr">
        <is>
          <t>A resolution was erased by a later NO, and raised_at was inherited from a clearance</t>
        </is>
      </c>
      <c r="E159" s="4" t="inlineStr">
        <is>
          <t>The sticky guard tested is_live, and a RESOLVED urgency is not live - so a later NOT_APPLICABLE overwrote it and took the resolver and the reason with it. And a class cleared on t1 that first became urgent on t5 reported raised_at=t1, saying the emergency had been sitting there for four turns. Both fixed: the guard tests STANDING, and raised_at is inherited only from a previous APPLIES.</t>
        </is>
      </c>
      <c r="F159" s="124" t="inlineStr">
        <is>
          <t>P2</t>
        </is>
      </c>
      <c r="G159" s="30" t="n">
        <v>1</v>
      </c>
      <c r="H159" s="121" t="inlineStr">
        <is>
          <t>fixed</t>
        </is>
      </c>
      <c r="I159" s="4" t="inlineStr">
        <is>
          <t>AB-06 / D16.6</t>
        </is>
      </c>
      <c r="J159" s="4" t="inlineStr">
        <is>
          <t>test_a_reassessment_does_not_reopen_what_a_person_closed</t>
        </is>
      </c>
    </row>
    <row r="160">
      <c r="A160" s="34" t="inlineStr">
        <is>
          <t>B-159</t>
        </is>
      </c>
      <c r="B160" s="35" t="inlineStr">
        <is>
          <t>Phase 8 third review</t>
        </is>
      </c>
      <c r="C160" s="35" t="inlineStr">
        <is>
          <t>nm/tools/evidence.py</t>
        </is>
      </c>
      <c r="D160" s="4" t="inlineStr">
        <is>
          <t>The rating was computed and its PREMISES were hand-typed</t>
        </is>
      </c>
      <c r="E160" s="4" t="inlineStr">
        <is>
          <t>bar.py removed the hand-typed CONCLUSION and left the hand-typed PREMISE: a property was claimed by writing (YES, 'some prose') and the only check was that the prose was non-empty. Found by pointing at AB-06, which claimed cannot_be_bypassed while Triage.blocks_merits had no production caller at all - every test passed, the rating was computed, and the claim was false. Evidence is now STRUCTURED and checked against the tree: a named test must exist, a named caller must be CALLED from nm/app or nm/edge and not merely defined, cannot_be_bypassed cannot be claimed without a caller, and real_api_tests cannot be claimed without a test in the served-API file. A symbol named only in a docstring does not count, which is exactly how blocks_merits looked wired. Proved by mutation: removing the caller drops the tenet to Weak naming the symbol. What it still CANNOT check is stated in the module: that a test asserts what its name says, that a live run was read by a person, or that a mutation was actually run.</t>
        </is>
      </c>
      <c r="F160" s="120" t="inlineStr">
        <is>
          <t>P1</t>
        </is>
      </c>
      <c r="G160" s="30" t="n">
        <v>1</v>
      </c>
      <c r="H160" s="121" t="inlineStr">
        <is>
          <t>fixed</t>
        </is>
      </c>
      <c r="I160" s="4" t="inlineStr">
        <is>
          <t>the bar itself</t>
        </is>
      </c>
      <c r="J160" s="4" t="inlineStr">
        <is>
          <t>test_cannot_be_bypassed_needs_a_production_caller</t>
        </is>
      </c>
    </row>
    <row r="161">
      <c r="A161" s="34" t="inlineStr">
        <is>
          <t>B-160</t>
        </is>
      </c>
      <c r="B161" s="35" t="inlineStr">
        <is>
          <t>nm.tools.probe, first run</t>
        </is>
      </c>
      <c r="C161" s="35" t="inlineStr">
        <is>
          <t>nm/app/consult.py</t>
        </is>
      </c>
      <c r="D161" s="4" t="inlineStr">
        <is>
          <t>The readiness object was built as the one gate and the served path consulted one of its five permissions</t>
        </is>
      </c>
      <c r="E161" s="4" t="inlineStr">
        <is>
          <t>may_receive_substance, may_analyse and may_execute were defined and never called; consult.run read file_.may_hold_substance and turn.competence.blocks directly instead - the same answer today and TWO OWNERS OF IT tomorrow, which is the exact defect AdviceReadiness was written to remove. Found by the probe harness on its first run, in the object built to prevent it.</t>
        </is>
      </c>
      <c r="F161" s="120" t="inlineStr">
        <is>
          <t>P1</t>
        </is>
      </c>
      <c r="G161" s="30" t="n">
        <v>1</v>
      </c>
      <c r="H161" s="121" t="inlineStr">
        <is>
          <t>fixed</t>
        </is>
      </c>
      <c r="I161" s="4" t="inlineStr">
        <is>
          <t>AB-03 / AB-02 / readiness</t>
        </is>
      </c>
      <c r="J161" s="4" t="inlineStr">
        <is>
          <t>test_the_uncleared_turn_still_answers_and_stores_nothing</t>
        </is>
      </c>
    </row>
  </sheetData>
  <autoFilter ref="A1:J1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9" customWidth="1" min="1" max="1"/>
    <col width="62" customWidth="1" min="2" max="2"/>
    <col width="10" customWidth="1" min="3" max="3"/>
    <col width="12" customWidth="1" min="4" max="4"/>
    <col width="10" customWidth="1" min="5" max="5"/>
    <col width="70" customWidth="1" min="6" max="6"/>
  </cols>
  <sheetData>
    <row r="1">
      <c r="A1" s="5" t="inlineStr">
        <is>
          <t>ID</t>
        </is>
      </c>
      <c r="B1" s="5" t="inlineStr">
        <is>
          <t>Question</t>
        </is>
      </c>
      <c r="C1" s="5" t="inlineStr">
        <is>
          <t>Blocks</t>
        </is>
      </c>
      <c r="D1" s="5" t="inlineStr">
        <is>
          <t>Source</t>
        </is>
      </c>
      <c r="E1" s="5" t="inlineStr">
        <is>
          <t>Timebox</t>
        </is>
      </c>
      <c r="F1" s="5" t="inlineStr">
        <is>
          <t>Done when</t>
        </is>
      </c>
    </row>
    <row r="2">
      <c r="A2" s="6" t="inlineStr">
        <is>
          <t>SP-01</t>
        </is>
      </c>
      <c r="B2" s="9" t="inlineStr">
        <is>
          <t>Entailment check: cost and accuracy on the critical path</t>
        </is>
      </c>
      <c r="C2" s="8" t="inlineStr">
        <is>
          <t>V-06</t>
        </is>
      </c>
      <c r="D2" s="8" t="inlineStr">
        <is>
          <t>Open Q1</t>
        </is>
      </c>
      <c r="E2" s="8" t="inlineStr">
        <is>
          <t>3d</t>
        </is>
      </c>
      <c r="F2" s="9" t="inlineStr">
        <is>
          <t>Latency and accuracy measured; a cheaper first pass with escalation decided or ruled out</t>
        </is>
      </c>
    </row>
    <row r="3">
      <c r="A3" s="6" t="inlineStr">
        <is>
          <t>SP-02</t>
        </is>
      </c>
      <c r="B3" s="9" t="inlineStr">
        <is>
          <t>How much of a real matter resolves structurally versus falls through to search</t>
        </is>
      </c>
      <c r="C3" s="8" t="inlineStr">
        <is>
          <t>R-02</t>
        </is>
      </c>
      <c r="D3" s="8" t="inlineStr">
        <is>
          <t>Open Q2</t>
        </is>
      </c>
      <c r="E3" s="8" t="inlineStr">
        <is>
          <t>3d</t>
        </is>
      </c>
      <c r="F3" s="9" t="inlineStr">
        <is>
          <t>Resolved share measured on sampled real matters; ADR-1 curation cost confirmed or revisited</t>
        </is>
      </c>
    </row>
    <row r="4">
      <c r="A4" s="6" t="inlineStr">
        <is>
          <t>SP-03</t>
        </is>
      </c>
      <c r="B4" s="9" t="inlineStr">
        <is>
          <t>Merge-proposal accuracy on evidence short of a decisive identifier</t>
        </is>
      </c>
      <c r="C4" s="8" t="inlineStr">
        <is>
          <t>T-03</t>
        </is>
      </c>
      <c r="D4" s="8" t="inlineStr">
        <is>
          <t>Open Q3</t>
        </is>
      </c>
      <c r="E4" s="8" t="inlineStr">
        <is>
          <t>2d</t>
        </is>
      </c>
      <c r="F4" s="9" t="inlineStr">
        <is>
          <t>Proposal precision measured; the interruption is justified or the threshold moves</t>
        </is>
      </c>
    </row>
    <row r="5">
      <c r="A5" s="6" t="inlineStr">
        <is>
          <t>SP-04</t>
        </is>
      </c>
      <c r="B5" s="9" t="inlineStr">
        <is>
          <t>Bounded evidence rounds: what the cap should be</t>
        </is>
      </c>
      <c r="C5" s="8" t="inlineStr">
        <is>
          <t>S-05</t>
        </is>
      </c>
      <c r="D5" s="8" t="inlineStr">
        <is>
          <t>Open Q4</t>
        </is>
      </c>
      <c r="E5" s="8" t="inlineStr">
        <is>
          <t>2d</t>
        </is>
      </c>
      <c r="F5" s="9" t="inlineStr">
        <is>
          <t>Round distribution measured on real turns; cap set from data</t>
        </is>
      </c>
    </row>
    <row r="6">
      <c r="A6" s="6" t="inlineStr">
        <is>
          <t>SP-05</t>
        </is>
      </c>
      <c r="B6" s="9" t="inlineStr">
        <is>
          <t>Citator precision on a vetted sample before the flag is shown</t>
        </is>
      </c>
      <c r="C6" s="8" t="inlineStr">
        <is>
          <t>C-05</t>
        </is>
      </c>
      <c r="D6" s="8" t="inlineStr">
        <is>
          <t>C5</t>
        </is>
      </c>
      <c r="E6" s="8" t="inlineStr">
        <is>
          <t>3d</t>
        </is>
      </c>
      <c r="F6" s="9" t="inlineStr">
        <is>
          <t>Precision and recall measured; display language set from the figure</t>
        </is>
      </c>
    </row>
    <row r="7">
      <c r="A7" s="6" t="inlineStr">
        <is>
          <t>SP-06</t>
        </is>
      </c>
      <c r="B7" s="9" t="inlineStr">
        <is>
          <t>OCR accuracy on Indian legal documents and scans</t>
        </is>
      </c>
      <c r="C7" s="8" t="inlineStr">
        <is>
          <t>DI-03</t>
        </is>
      </c>
      <c r="D7" s="8" t="inlineStr">
        <is>
          <t>D10</t>
        </is>
      </c>
      <c r="E7" s="8" t="inlineStr">
        <is>
          <t>3d</t>
        </is>
      </c>
      <c r="F7" s="9" t="inlineStr">
        <is>
          <t>Per-format accuracy measured; confidence thresholds for the confirmation gate set</t>
        </is>
      </c>
    </row>
    <row r="8">
      <c r="A8" s="6" t="inlineStr">
        <is>
          <t>SP-07</t>
        </is>
      </c>
      <c r="B8" s="9" t="inlineStr">
        <is>
          <t>Cross-thread exposure: is it detectable at acceptable precision</t>
        </is>
      </c>
      <c r="C8" s="8" t="inlineStr">
        <is>
          <t>AD-02</t>
        </is>
      </c>
      <c r="D8" s="8" t="inlineStr">
        <is>
          <t>D7C</t>
        </is>
      </c>
      <c r="E8" s="8" t="inlineStr">
        <is>
          <t>3d</t>
        </is>
      </c>
      <c r="F8" s="9" t="inlineStr">
        <is>
          <t>Detection feasibility established on real multi-thread files</t>
        </is>
      </c>
    </row>
    <row r="9">
      <c r="A9" s="6" t="inlineStr">
        <is>
          <t>SP-08</t>
        </is>
      </c>
      <c r="B9" s="9" t="inlineStr">
        <is>
          <t>Inconsistent-theory detection feasibility</t>
        </is>
      </c>
      <c r="C9" s="8" t="inlineStr">
        <is>
          <t>TH-06</t>
        </is>
      </c>
      <c r="D9" s="8" t="inlineStr">
        <is>
          <t>T3</t>
        </is>
      </c>
      <c r="E9" s="8" t="inlineStr">
        <is>
          <t>2d</t>
        </is>
      </c>
      <c r="F9" s="9" t="inlineStr">
        <is>
          <t>Whether contradictory factual accounts can be detected reliably enough to act 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42" customWidth="1" min="1" max="1"/>
    <col width="12" customWidth="1" min="2" max="2"/>
    <col width="14" customWidth="1" min="3" max="3"/>
    <col width="13" customWidth="1" min="4" max="4"/>
    <col width="18" customWidth="1" min="5" max="5"/>
    <col width="62" customWidth="1" min="6" max="6"/>
    <col width="34" customWidth="1" min="7" max="7"/>
    <col width="78" customWidth="1" min="8" max="8"/>
  </cols>
  <sheetData>
    <row r="1">
      <c r="A1" s="5" t="inlineStr">
        <is>
          <t>Quantity</t>
        </is>
      </c>
      <c r="B1" s="5" t="inlineStr">
        <is>
          <t>Value</t>
        </is>
      </c>
      <c r="C1" s="5" t="inlineStr">
        <is>
          <t>Unit</t>
        </is>
      </c>
      <c r="D1" s="5" t="inlineStr">
        <is>
          <t>Measured on</t>
        </is>
      </c>
      <c r="E1" s="5" t="inlineStr">
        <is>
          <t>Direction</t>
        </is>
      </c>
      <c r="F1" s="5" t="inlineStr">
        <is>
          <t>Method</t>
        </is>
      </c>
      <c r="G1" s="5" t="inlineStr">
        <is>
          <t>Target</t>
        </is>
      </c>
      <c r="H1" s="5" t="inlineStr">
        <is>
          <t>Note</t>
        </is>
      </c>
    </row>
    <row r="2">
      <c r="A2" s="34" t="inlineStr">
        <is>
          <t>citator.candidate_recall_pct</t>
        </is>
      </c>
      <c r="B2" s="30" t="n">
        <v>21</v>
      </c>
      <c r="C2" s="30" t="inlineStr">
        <is>
          <t>%</t>
        </is>
      </c>
      <c r="D2" s="30" t="inlineStr">
        <is>
          <t>2026-08-27</t>
        </is>
      </c>
      <c r="E2" s="37" t="inlineStr">
        <is>
          <t>higher_is_better</t>
        </is>
      </c>
      <c r="F2" s="4" t="inlineStr">
        <is>
          <t>candidates() over a stride-22 sample of the judgment tree: 1,548 judgments, 16,569 paragraphs, 3,472 naming a cited case. The stride is recorded so the figure can be reproduced (nm/tools/draw_gold_set.py)</t>
        </is>
      </c>
      <c r="G2" s="4" t="inlineStr">
        <is>
          <t>Measured against a hand-vetted sample before the flag is shown (C-04)</t>
        </is>
      </c>
      <c r="H2" s="4" t="inlineStr">
        <is>
          <t>Was 21.1% on a sample whose stride was never recorded. Re-measured after citation spans were anchored on their mention; measured separately, normalising whitespace before matching changes no pattern's match count (versus/supra/reporter all identical), so the fix moved what a mention CARRIES and not what is found.</t>
        </is>
      </c>
    </row>
    <row r="3">
      <c r="A3" s="34" t="inlineStr">
        <is>
          <t>citator.entries</t>
        </is>
      </c>
      <c r="B3" s="30" t="n">
        <v>4894</v>
      </c>
      <c r="C3" s="30" t="inlineStr">
        <is>
          <t>cases</t>
        </is>
      </c>
      <c r="D3" s="30" t="inlineStr">
        <is>
          <t>2026-08-26</t>
        </is>
      </c>
      <c r="E3" s="38" t="inlineStr">
        <is>
          <t>informational</t>
        </is>
      </c>
      <c r="F3" s="4" t="inlineStr">
        <is>
          <t>citator.json</t>
        </is>
      </c>
      <c r="G3" s="4" t="inlineStr">
        <is>
          <t>-</t>
        </is>
      </c>
      <c r="H3" s="4" t="inlineStr">
        <is>
          <t>Regex-derived. Replaced by C-02 with measured precision.</t>
        </is>
      </c>
    </row>
    <row r="4">
      <c r="A4" s="34" t="inlineStr">
        <is>
          <t>citator.flagged_negative</t>
        </is>
      </c>
      <c r="B4" s="30" t="n">
        <v>1317</v>
      </c>
      <c r="C4" s="30" t="inlineStr">
        <is>
          <t>cases</t>
        </is>
      </c>
      <c r="D4" s="30" t="inlineStr">
        <is>
          <t>2026-08-26</t>
        </is>
      </c>
      <c r="E4" s="38" t="inlineStr">
        <is>
          <t>informational</t>
        </is>
      </c>
      <c r="F4" s="4" t="inlineStr">
        <is>
          <t>citator.json</t>
        </is>
      </c>
      <c r="G4" s="4" t="inlineStr">
        <is>
          <t>-</t>
        </is>
      </c>
      <c r="H4" s="4" t="inlineStr"/>
    </row>
    <row r="5">
      <c r="A5" s="34" t="inlineStr">
        <is>
          <t>citator.gold_set_population</t>
        </is>
      </c>
      <c r="B5" s="30" t="n">
        <v>24263</v>
      </c>
      <c r="C5" s="30" t="inlineStr">
        <is>
          <t>mentions</t>
        </is>
      </c>
      <c r="D5" s="30" t="inlineStr">
        <is>
          <t>2026-08-27</t>
        </is>
      </c>
      <c r="E5" s="37" t="inlineStr">
        <is>
          <t>higher_is_better</t>
        </is>
      </c>
      <c r="F5" s="4" t="inlineStr">
        <is>
          <t>every citation mention in the stride-22 sample, the population the 200 are drawn from</t>
        </is>
      </c>
      <c r="G5" s="4" t="inlineStr">
        <is>
          <t>-</t>
        </is>
      </c>
      <c r="H5" s="4" t="inlineStr">
        <is>
          <t>Was 21,400 before the paragraph-segmentation fix (B-62): more paragraphs read means more paragraphs naming a cited case. A sample size means nothing without the population it came from, which is why this is recorded.</t>
        </is>
      </c>
    </row>
    <row r="6">
      <c r="A6" s="34" t="inlineStr">
        <is>
          <t>citator.gold_set_size</t>
        </is>
      </c>
      <c r="B6" s="30" t="n">
        <v>200</v>
      </c>
      <c r="C6" s="30" t="inlineStr">
        <is>
          <t>items</t>
        </is>
      </c>
      <c r="D6" s="30" t="inlineStr">
        <is>
          <t>2026-08-27</t>
        </is>
      </c>
      <c r="E6" s="38" t="inlineStr">
        <is>
          <t>informational</t>
        </is>
      </c>
      <c r="F6" s="4" t="inlineStr">
        <is>
          <t>Uniform random over 26,817 candidate mentions, seed 20260827</t>
        </is>
      </c>
      <c r="G6" s="4" t="inlineStr">
        <is>
          <t>Vetted by a person before any precision or recall figure is quoted</t>
        </is>
      </c>
      <c r="H6" s="4" t="inlineStr">
        <is>
          <t>Drawn, not composed (C5D). Awaiting hand-vetting: the vetter field is empty and CitatorMeasurement refuses to emit flag text until it is filled.</t>
        </is>
      </c>
    </row>
    <row r="7">
      <c r="A7" s="34" t="inlineStr">
        <is>
          <t>citator.gold_set_span_carries_its_mention_pct</t>
        </is>
      </c>
      <c r="B7" s="30" t="n">
        <v>100</v>
      </c>
      <c r="C7" s="30" t="inlineStr">
        <is>
          <t>%</t>
        </is>
      </c>
      <c r="D7" s="30" t="inlineStr">
        <is>
          <t>2026-08-27</t>
        </is>
      </c>
      <c r="E7" s="37" t="inlineStr">
        <is>
          <t>higher_is_better</t>
        </is>
      </c>
      <c r="F7" s="4" t="inlineStr">
        <is>
          <t>nm/tools/draw_gold_set.py, reported at draw time over all 200 items</t>
        </is>
      </c>
      <c r="G7" s="4" t="inlineStr">
        <is>
          <t>100% - below it the set is not vettable</t>
        </is>
      </c>
      <c r="H7" s="4" t="inlineStr">
        <is>
          <t>Was 8% (16 of 200): the span was the paragraph's opening 320 characters regardless of where the mention sat, so 184 of 200 items did not contain the case they were drawn for. The set was unvettable by a person and by a model alike, and it looked perfectly well-formed.</t>
        </is>
      </c>
    </row>
    <row r="8">
      <c r="A8" s="34" t="inlineStr">
        <is>
          <t>classification.discard_pct</t>
        </is>
      </c>
      <c r="B8" s="30" t="n">
        <v>20.1</v>
      </c>
      <c r="C8" s="30" t="inlineStr">
        <is>
          <t>%</t>
        </is>
      </c>
      <c r="D8" s="30" t="inlineStr">
        <is>
          <t>2026-08-26</t>
        </is>
      </c>
      <c r="E8" s="39" t="inlineStr">
        <is>
          <t>lower_is_better</t>
        </is>
      </c>
      <c r="F8" s="4" t="inlineStr">
        <is>
          <t>641 of 3,192 issue labels across every stored matter</t>
        </is>
      </c>
      <c r="G8" s="4" t="inlineStr">
        <is>
          <t>0 - F2 removes the delete path</t>
        </is>
      </c>
      <c r="H8" s="4" t="inlineStr">
        <is>
          <t>Led by limitation (122), bail (86), forum/jurisdiction (58).</t>
        </is>
      </c>
    </row>
    <row r="9">
      <c r="A9" s="34" t="inlineStr">
        <is>
          <t>corpus.act_ids</t>
        </is>
      </c>
      <c r="B9" s="30" t="n">
        <v>3207</v>
      </c>
      <c r="C9" s="30" t="inlineStr">
        <is>
          <t>act_ids</t>
        </is>
      </c>
      <c r="D9" s="30" t="inlineStr">
        <is>
          <t>2026-08-27</t>
        </is>
      </c>
      <c r="E9" s="38" t="inlineStr">
        <is>
          <t>informational</t>
        </is>
      </c>
      <c r="F9" s="4" t="inlineStr">
        <is>
          <t>Distinct act_id in bareacts_v3_chunks</t>
        </is>
      </c>
      <c r="G9" s="4" t="inlineStr">
        <is>
          <t>-</t>
        </is>
      </c>
      <c r="H9" s="4" t="inlineStr">
        <is>
          <t>Two naming conventions coexist: 'UNION OF INDIA_1961_0_THE INCOME TAX ACT, 1961' and 'the_income_tax_act_1961'.</t>
        </is>
      </c>
    </row>
    <row r="10">
      <c r="A10" s="34" t="inlineStr">
        <is>
          <t>corpus.act_subjects</t>
        </is>
      </c>
      <c r="B10" s="30" t="n">
        <v>1648</v>
      </c>
      <c r="C10" s="30" t="inlineStr">
        <is>
          <t>subjects</t>
        </is>
      </c>
      <c r="D10" s="30" t="inlineStr">
        <is>
          <t>2026-08-27</t>
        </is>
      </c>
      <c r="E10" s="38" t="inlineStr">
        <is>
          <t>informational</t>
        </is>
      </c>
      <c r="F10" s="4" t="inlineStr">
        <is>
          <t>act_ids after normalising away the convention prefix</t>
        </is>
      </c>
      <c r="G10" s="4" t="inlineStr">
        <is>
          <t>-</t>
        </is>
      </c>
      <c r="H10" s="4" t="inlineStr">
        <is>
          <t>The true number of distinct Acts. 3,207 ids describe 1,648 subjects.</t>
        </is>
      </c>
    </row>
    <row r="11">
      <c r="A11" s="34" t="inlineStr">
        <is>
          <t>corpus.acts_duplicated_pct</t>
        </is>
      </c>
      <c r="B11" s="30" t="n">
        <v>93.5</v>
      </c>
      <c r="C11" s="30" t="inlineStr">
        <is>
          <t>%</t>
        </is>
      </c>
      <c r="D11" s="30" t="inlineStr">
        <is>
          <t>2026-08-27</t>
        </is>
      </c>
      <c r="E11" s="39" t="inlineStr">
        <is>
          <t>lower_is_better</t>
        </is>
      </c>
      <c r="F11" s="4" t="inlineStr">
        <is>
          <t>1541 of 1648 subjects held under &gt;1 act_id; ALL are prefixed-vs-snake_case collisions, zero same-convention groups</t>
        </is>
      </c>
      <c r="G11" s="4" t="inlineStr">
        <is>
          <t>0 after I-06</t>
        </is>
      </c>
      <c r="H11" s="4" t="inlineStr">
        <is>
          <t>375,923 of 414,710 chunks sit in duplicated subjects.</t>
        </is>
      </c>
    </row>
    <row r="12">
      <c r="A12" s="34" t="inlineStr">
        <is>
          <t>corpus.acts_with_numbering_holes</t>
        </is>
      </c>
      <c r="B12" s="30" t="n">
        <v>403</v>
      </c>
      <c r="C12" s="30" t="inlineStr">
        <is>
          <t>subjects</t>
        </is>
      </c>
      <c r="D12" s="30" t="inlineStr">
        <is>
          <t>2026-08-27</t>
        </is>
      </c>
      <c r="E12" s="39" t="inlineStr">
        <is>
          <t>lower_is_better</t>
        </is>
      </c>
      <c r="F12" s="4" t="inlineStr">
        <is>
          <t>Sections absent below the highest each Act itself holds, across both stores</t>
        </is>
      </c>
      <c r="G12" s="4" t="inlineStr">
        <is>
          <t>Falls as I-10 then I-09 land</t>
        </is>
      </c>
      <c r="H12" s="4" t="inlineStr">
        <is>
          <t>91 thinly ingested, 312 where a year or date is stored as a section number. Of 27 intended subjects, 11 have holes and 6 of those are mis-numbering.</t>
        </is>
      </c>
    </row>
    <row r="13">
      <c r="A13" s="34" t="inlineStr">
        <is>
          <t>corpus.case_paragraphs</t>
        </is>
      </c>
      <c r="B13" s="30" t="n">
        <v>1015756</v>
      </c>
      <c r="C13" s="30" t="inlineStr">
        <is>
          <t>paragraphs</t>
        </is>
      </c>
      <c r="D13" s="30" t="inlineStr">
        <is>
          <t>2026-08-27</t>
        </is>
      </c>
      <c r="E13" s="38" t="inlineStr">
        <is>
          <t>informational</t>
        </is>
      </c>
      <c r="F13" s="4" t="inlineStr">
        <is>
          <t>Count of caselaws chunk store</t>
        </is>
      </c>
      <c r="G13" s="4" t="inlineStr">
        <is>
          <t>-</t>
        </is>
      </c>
      <c r="H13" s="4" t="inlineStr"/>
    </row>
    <row r="14">
      <c r="A14" s="34" t="inlineStr">
        <is>
          <t>corpus.cited_cases_populated_pct</t>
        </is>
      </c>
      <c r="B14" s="30" t="n">
        <v>1.5</v>
      </c>
      <c r="C14" s="30" t="inlineStr">
        <is>
          <t>%</t>
        </is>
      </c>
      <c r="D14" s="30" t="inlineStr">
        <is>
          <t>2026-08-27</t>
        </is>
      </c>
      <c r="E14" s="38" t="inlineStr">
        <is>
          <t>informational</t>
        </is>
      </c>
      <c r="F14" s="4" t="inlineStr">
        <is>
          <t>Same sample; misses 92.3% of citing paragraphs</t>
        </is>
      </c>
      <c r="G14" s="4" t="inlineStr">
        <is>
          <t>-</t>
        </is>
      </c>
      <c r="H14" s="4" t="inlineStr">
        <is>
          <t>Cannot serve as a recall net. Superseded by story C-01.</t>
        </is>
      </c>
    </row>
    <row r="15">
      <c r="A15" s="34" t="inlineStr">
        <is>
          <t>corpus.dedup_by_convention_is_lossy</t>
        </is>
      </c>
      <c r="B15" s="30" t="n">
        <v>1</v>
      </c>
      <c r="C15" s="30" t="inlineStr">
        <is>
          <t>bool</t>
        </is>
      </c>
      <c r="D15" s="30" t="inlineStr">
        <is>
          <t>2026-08-27</t>
        </is>
      </c>
      <c r="E15" s="38" t="inlineStr">
        <is>
          <t>informational</t>
        </is>
      </c>
      <c r="F15" s="4" t="inlineStr">
        <is>
          <t>Sampled four Acts: Income Tax 1961 has 611 sections only in the prefixed copy and 130 only in the snake copy; Merchant Shipping 1958 has 351 only in prefixed; Wild Life 1972 and Fertilizer Order 1985 have sections only in snake</t>
        </is>
      </c>
      <c r="G15" s="4" t="inlineStr">
        <is>
          <t>-</t>
        </is>
      </c>
      <c r="H15" s="4" t="inlineStr">
        <is>
          <t>MEASURED REFUSAL: deleting either convention wholesale destroys real sections. Any dedup must merge on normalised subject + section and keep the UNION (story I-06).</t>
        </is>
      </c>
    </row>
    <row r="16">
      <c r="A16" s="34" t="inlineStr">
        <is>
          <t>corpus.judgments</t>
        </is>
      </c>
      <c r="B16" s="30" t="n">
        <v>33791</v>
      </c>
      <c r="C16" s="30" t="inlineStr">
        <is>
          <t>judgments</t>
        </is>
      </c>
      <c r="D16" s="30" t="inlineStr">
        <is>
          <t>2026-08-27</t>
        </is>
      </c>
      <c r="E16" s="38" t="inlineStr">
        <is>
          <t>informational</t>
        </is>
      </c>
      <c r="F16" s="4" t="inlineStr">
        <is>
          <t>Count of caselaws parent store</t>
        </is>
      </c>
      <c r="G16" s="4" t="inlineStr">
        <is>
          <t>-</t>
        </is>
      </c>
      <c r="H16" s="4" t="inlineStr"/>
    </row>
    <row r="17">
      <c r="A17" s="34" t="inlineStr">
        <is>
          <t>corpus.paragraphs_attributable_pct</t>
        </is>
      </c>
      <c r="B17" s="30" t="n">
        <v>44.4</v>
      </c>
      <c r="C17" s="30" t="inlineStr">
        <is>
          <t>%</t>
        </is>
      </c>
      <c r="D17" s="30" t="inlineStr">
        <is>
          <t>2026-08-27</t>
        </is>
      </c>
      <c r="E17" s="37" t="inlineStr">
        <is>
          <t>higher_is_better</t>
        </is>
      </c>
      <c r="F17" s="4" t="inlineStr">
        <is>
          <t>paragraph_type distribution: reasoning + ratio + order</t>
        </is>
      </c>
      <c r="G17" s="4" t="inlineStr">
        <is>
          <t>Raise via story I-04</t>
        </is>
      </c>
      <c r="H17" s="4" t="inlineStr"/>
    </row>
    <row r="18">
      <c r="A18" s="34" t="inlineStr">
        <is>
          <t>corpus.paragraphs_counsel_arguments_pct</t>
        </is>
      </c>
      <c r="B18" s="30" t="n">
        <v>14.8</v>
      </c>
      <c r="C18" s="30" t="inlineStr">
        <is>
          <t>%</t>
        </is>
      </c>
      <c r="D18" s="30" t="inlineStr">
        <is>
          <t>2026-08-27</t>
        </is>
      </c>
      <c r="E18" s="38" t="inlineStr">
        <is>
          <t>informational</t>
        </is>
      </c>
      <c r="F18" s="4" t="inlineStr">
        <is>
          <t>paragraph_type distribution</t>
        </is>
      </c>
      <c r="G18" s="4" t="inlineStr">
        <is>
          <t>-</t>
        </is>
      </c>
      <c r="H18" s="4" t="inlineStr">
        <is>
          <t>Must be excluded from attribution, not reduced. 149,960 paragraphs.</t>
        </is>
      </c>
    </row>
    <row r="19">
      <c r="A19" s="34" t="inlineStr">
        <is>
          <t>corpus.paragraphs_naming_a_case_pct</t>
        </is>
      </c>
      <c r="B19" s="30" t="n">
        <v>19.3</v>
      </c>
      <c r="C19" s="30" t="inlineStr">
        <is>
          <t>%</t>
        </is>
      </c>
      <c r="D19" s="30" t="inlineStr">
        <is>
          <t>2026-08-27</t>
        </is>
      </c>
      <c r="E19" s="38" t="inlineStr">
        <is>
          <t>informational</t>
        </is>
      </c>
      <c r="F19" s="4" t="inlineStr">
        <is>
          <t>Regex floor over a 40,000-paragraph random sample</t>
        </is>
      </c>
      <c r="G19" s="4" t="inlineStr">
        <is>
          <t>-</t>
        </is>
      </c>
      <c r="H19" s="4" t="inlineStr">
        <is>
          <t>A floor: counts only explicit X v Y forms.</t>
        </is>
      </c>
    </row>
    <row r="20">
      <c r="A20" s="34" t="inlineStr">
        <is>
          <t>corpus.paragraphs_unclassified_pct</t>
        </is>
      </c>
      <c r="B20" s="30" t="n">
        <v>26.7</v>
      </c>
      <c r="C20" s="30" t="inlineStr">
        <is>
          <t>%</t>
        </is>
      </c>
      <c r="D20" s="30" t="inlineStr">
        <is>
          <t>2026-08-27</t>
        </is>
      </c>
      <c r="E20" s="39" t="inlineStr">
        <is>
          <t>lower_is_better</t>
        </is>
      </c>
      <c r="F20" s="4" t="inlineStr">
        <is>
          <t>paragraph_type distribution</t>
        </is>
      </c>
      <c r="G20" s="4" t="inlineStr">
        <is>
          <t>Near zero after I-04</t>
        </is>
      </c>
      <c r="H20" s="4" t="inlineStr"/>
    </row>
    <row r="21">
      <c r="A21" s="34" t="inlineStr">
        <is>
          <t>corpus.raw_acts_with_a_commencement_header_pct</t>
        </is>
      </c>
      <c r="B21" s="30" t="n">
        <v>94</v>
      </c>
      <c r="C21" s="30" t="inlineStr">
        <is>
          <t>%</t>
        </is>
      </c>
      <c r="D21" s="30" t="inlineStr">
        <is>
          <t>2026-08-27</t>
        </is>
      </c>
      <c r="E21" s="38" t="inlineStr">
        <is>
          <t>informational</t>
        </is>
      </c>
      <c r="F21" s="4" t="inlineStr">
        <is>
          <t>`Commenced on &lt;date&gt;` header in the raw .txt sources: 1,555 of 1,655 files</t>
        </is>
      </c>
      <c r="G21" s="4" t="inlineStr">
        <is>
          <t>-</t>
        </is>
      </c>
      <c r="H21" s="4" t="inlineStr">
        <is>
          <t>The ceiling for I-05. The ingested stores carry no commencement field at all.</t>
        </is>
      </c>
    </row>
    <row r="22">
      <c r="A22" s="34" t="inlineStr">
        <is>
          <t>corpus.section_heads</t>
        </is>
      </c>
      <c r="B22" s="30" t="n">
        <v>50800</v>
      </c>
      <c r="C22" s="30" t="inlineStr">
        <is>
          <t>rows</t>
        </is>
      </c>
      <c r="D22" s="30" t="inlineStr">
        <is>
          <t>2026-08-27</t>
        </is>
      </c>
      <c r="E22" s="38" t="inlineStr">
        <is>
          <t>informational</t>
        </is>
      </c>
      <c r="F22" s="4" t="inlineStr">
        <is>
          <t>bareacts_v3_parents.json, the section-level store</t>
        </is>
      </c>
      <c r="G22" s="4" t="inlineStr">
        <is>
          <t>-</t>
        </is>
      </c>
      <c r="H22" s="4" t="inlineStr">
        <is>
          <t>36,069 distinct (act, section) pairs - 14,731 duplicate rows across 465 Acts (B-58).</t>
        </is>
      </c>
    </row>
    <row r="23">
      <c r="A23" s="34" t="inlineStr">
        <is>
          <t>corpus.telangana_hc_judgments</t>
        </is>
      </c>
      <c r="B23" s="30" t="n">
        <v>0</v>
      </c>
      <c r="C23" s="30" t="inlineStr">
        <is>
          <t>judgments</t>
        </is>
      </c>
      <c r="D23" s="30" t="inlineStr">
        <is>
          <t>2026-08-27</t>
        </is>
      </c>
      <c r="E23" s="37" t="inlineStr">
        <is>
          <t>higher_is_better</t>
        </is>
      </c>
      <c r="F23" s="4" t="inlineStr">
        <is>
          <t>Court read from each document's own header, not from its directory</t>
        </is>
      </c>
      <c r="G23" s="4" t="inlineStr">
        <is>
          <t>Non-zero, 2019 onward</t>
        </is>
      </c>
      <c r="H23" s="4" t="inlineStr">
        <is>
          <t>CONFIRMED FROM THE DOCUMENTS: 29,748 name themselves Supreme Court of India (1950-2026) and 4,289 name themselves Andhra HC (Pre-Telangana) (1954-2018). The raw tree holds NOTHING after 2018, so B-13 is a sourcing problem and not an ingestion one.</t>
        </is>
      </c>
    </row>
    <row r="24">
      <c r="A24" s="34" t="inlineStr">
        <is>
          <t>drafting.retrieval_paths</t>
        </is>
      </c>
      <c r="B24" s="30" t="n">
        <v>0</v>
      </c>
      <c r="C24" s="30" t="inlineStr">
        <is>
          <t>paths</t>
        </is>
      </c>
      <c r="D24" s="30" t="inlineStr">
        <is>
          <t>2026-08-28</t>
        </is>
      </c>
      <c r="E24" s="39" t="inlineStr">
        <is>
          <t>lower_is_better</t>
        </is>
      </c>
      <c r="F24" s="4" t="inlineStr">
        <is>
          <t>layercheck: nm.drafting may import nm.core, nm.ports, nm.obs only; asserted again by reading the AST of every module in the layer</t>
        </is>
      </c>
      <c r="G24" s="4" t="inlineStr">
        <is>
          <t>0</t>
        </is>
      </c>
      <c r="H24" s="4" t="inlineStr">
        <is>
          <t>DR2 as a build failure rather than a promise. D5 depends on there being exactly one grounding path, and a second one is not reviewable into existence.</t>
        </is>
      </c>
    </row>
    <row r="25">
      <c r="A25" s="34" t="inlineStr">
        <is>
          <t>drafting.verification_checks</t>
        </is>
      </c>
      <c r="B25" s="30" t="n">
        <v>9</v>
      </c>
      <c r="C25" s="30" t="inlineStr">
        <is>
          <t>checks</t>
        </is>
      </c>
      <c r="D25" s="30" t="inlineStr">
        <is>
          <t>2026-08-28</t>
        </is>
      </c>
      <c r="E25" s="37" t="inlineStr">
        <is>
          <t>higher_is_better</t>
        </is>
      </c>
      <c r="F25" s="4" t="inlineStr">
        <is>
          <t>nm/drafting/verify.py::CHECKS, all of which run</t>
        </is>
      </c>
      <c r="G25" s="4" t="inlineStr">
        <is>
          <t>-</t>
        </is>
      </c>
      <c r="H25" s="4" t="inlineStr">
        <is>
          <t>The legacy verifier declared 8 and RAN 3: five returned not_implemented with ok=True, and a sixth reported skipped as a pass. The count is only comparable because none of these nine can report success without running (B-72).</t>
        </is>
      </c>
    </row>
    <row r="26">
      <c r="A26" s="34" t="inlineStr">
        <is>
          <t>graph.acts_with_a_read_commencement_pct</t>
        </is>
      </c>
      <c r="B26" s="30" t="n">
        <v>15.2</v>
      </c>
      <c r="C26" s="30" t="inlineStr">
        <is>
          <t>%</t>
        </is>
      </c>
      <c r="D26" s="30" t="inlineStr">
        <is>
          <t>2026-08-27</t>
        </is>
      </c>
      <c r="E26" s="37" t="inlineStr">
        <is>
          <t>higher_is_better</t>
        </is>
      </c>
      <c r="F26" s="4" t="inlineStr">
        <is>
          <t>Commencement clause read from each Act's own section 1: 240 of 1,648 subjects</t>
        </is>
      </c>
      <c r="G26" s="4" t="inlineStr">
        <is>
          <t>Raise via I-01 (ingest commencement notifications)</t>
        </is>
      </c>
      <c r="H26" s="4" t="inlineStr">
        <is>
          <t>250 of 1,648 subjects. 345 more defer commencement to a Government notification; 1,053 state nothing. But 94% of the RAW Act files carry an explicit `Commenced on` header that ingestion discards, so this is metadata thrown away rather than a corpus gap (B-48).</t>
        </is>
      </c>
    </row>
    <row r="27">
      <c r="A27" s="34" t="inlineStr">
        <is>
          <t>graph.build_seconds</t>
        </is>
      </c>
      <c r="B27" s="30" t="n">
        <v>287</v>
      </c>
      <c r="C27" s="30" t="inlineStr">
        <is>
          <t>s</t>
        </is>
      </c>
      <c r="D27" s="30" t="inlineStr">
        <is>
          <t>2026-08-27</t>
        </is>
      </c>
      <c r="E27" s="39" t="inlineStr">
        <is>
          <t>lower_is_better</t>
        </is>
      </c>
      <c r="F27" s="4" t="inlineStr">
        <is>
          <t>Full-corpus deterministic build, wall clock</t>
        </is>
      </c>
      <c r="G27" s="4" t="inlineStr">
        <is>
          <t>-</t>
        </is>
      </c>
      <c r="H27" s="4" t="inlineStr">
        <is>
          <t>Full-corpus deterministic build across both bare-act stores, wall clock. Rebuild from the same sources is byte-identical (K-10).</t>
        </is>
      </c>
    </row>
    <row r="28">
      <c r="A28" s="34" t="inlineStr">
        <is>
          <t>graph.cross_reference_edges</t>
        </is>
      </c>
      <c r="B28" s="30" t="n">
        <v>45512</v>
      </c>
      <c r="C28" s="30" t="inlineStr">
        <is>
          <t>edges</t>
        </is>
      </c>
      <c r="D28" s="30" t="inlineStr">
        <is>
          <t>2026-08-27</t>
        </is>
      </c>
      <c r="E28" s="38" t="inlineStr">
        <is>
          <t>informational</t>
        </is>
      </c>
      <c r="F28" s="4" t="inlineStr">
        <is>
          <t>Distinct evidenced cross-reference edges, full-corpus build</t>
        </is>
      </c>
      <c r="G28" s="4" t="inlineStr">
        <is>
          <t>-</t>
        </is>
      </c>
      <c r="H28" s="4" t="inlineStr">
        <is>
          <t>Distinct evidenced cross-reference edges across both stores. Every edge carries a verbatim span and a locator (G15).</t>
        </is>
      </c>
    </row>
    <row r="29">
      <c r="A29" s="34" t="inlineStr">
        <is>
          <t>graph.judgment_interprets_resolution_pct</t>
        </is>
      </c>
      <c r="B29" s="30" t="n">
        <v>32</v>
      </c>
      <c r="C29" s="30" t="inlineStr">
        <is>
          <t>%</t>
        </is>
      </c>
      <c r="D29" s="30" t="inlineStr">
        <is>
          <t>2026-08-27</t>
        </is>
      </c>
      <c r="E29" s="37" t="inlineStr">
        <is>
          <t>higher_is_better</t>
        </is>
      </c>
      <c r="F29" s="4" t="inlineStr">
        <is>
          <t>Provision references in judgment paragraphs resolving to a held provision, 1,500-judgment sample</t>
        </is>
      </c>
      <c r="G29" s="4" t="inlineStr">
        <is>
          <t>Rises as ingestion closes coverage gaps</t>
        </is>
      </c>
      <c r="H29" s="4" t="inlineStr">
        <is>
          <t>19,662 references found; the 68% that do not resolve are kept as counted candidates rather than dropped. Legacy case_section_links held 0 rows.</t>
        </is>
      </c>
    </row>
    <row r="30">
      <c r="A30" s="34" t="inlineStr">
        <is>
          <t>graph.provisions</t>
        </is>
      </c>
      <c r="B30" s="30" t="n">
        <v>173562</v>
      </c>
      <c r="C30" s="30" t="inlineStr">
        <is>
          <t>provisions</t>
        </is>
      </c>
      <c r="D30" s="30" t="inlineStr">
        <is>
          <t>2026-08-27</t>
        </is>
      </c>
      <c r="E30" s="38" t="inlineStr">
        <is>
          <t>informational</t>
        </is>
      </c>
      <c r="F30" s="4" t="inlineStr">
        <is>
          <t>Full-corpus legal graph build, section heads and schedule articles (G20)</t>
        </is>
      </c>
      <c r="G30" s="4" t="inlineStr">
        <is>
          <t>-</t>
        </is>
      </c>
      <c r="H30" s="4" t="inlineStr">
        <is>
          <t>Corrected: the earlier 122,762 read only one of the two bare-act stores (B-57). 1,648 Acts, section heads and schedule articles across both.</t>
        </is>
      </c>
    </row>
    <row r="31">
      <c r="A31" s="34" t="inlineStr">
        <is>
          <t>graph.repeal_edges</t>
        </is>
      </c>
      <c r="B31" s="30" t="n">
        <v>24</v>
      </c>
      <c r="C31" s="30" t="inlineStr">
        <is>
          <t>edges</t>
        </is>
      </c>
      <c r="D31" s="30" t="inlineStr">
        <is>
          <t>2026-08-27</t>
        </is>
      </c>
      <c r="E31" s="38" t="inlineStr">
        <is>
          <t>informational</t>
        </is>
      </c>
      <c r="F31" s="4" t="inlineStr">
        <is>
          <t>Act-level repeals read from the repealing provision's own text</t>
        </is>
      </c>
      <c r="G31" s="4" t="inlineStr">
        <is>
          <t>-</t>
        </is>
      </c>
      <c r="H31" s="4" t="inlineStr">
        <is>
          <t>Act-level repeals read from the repealing provision's own text; 203 further Acts are named as repealed but absent from the corpus.</t>
        </is>
      </c>
    </row>
    <row r="32">
      <c r="A32" s="34" t="inlineStr">
        <is>
          <t>graph.unsatisfied_references</t>
        </is>
      </c>
      <c r="B32" s="30" t="n">
        <v>6917</v>
      </c>
      <c r="C32" s="30" t="inlineStr">
        <is>
          <t>references</t>
        </is>
      </c>
      <c r="D32" s="30" t="inlineStr">
        <is>
          <t>2026-08-27</t>
        </is>
      </c>
      <c r="E32" s="39" t="inlineStr">
        <is>
          <t>lower_is_better</t>
        </is>
      </c>
      <c r="F32" s="4" t="inlineStr">
        <is>
          <t>Cross-references resolving to a provision the corpus does not hold, kept as candidates</t>
        </is>
      </c>
      <c r="G32" s="4" t="inlineStr">
        <is>
          <t>Falls as I-01 closes ingestion gaps</t>
        </is>
      </c>
      <c r="H32" s="4" t="inlineStr">
        <is>
          <t>Cross-references resolving to a provision the corpus does not hold, kept as candidates - a derived ingestion backlog rather than a silent loss (B-49).</t>
        </is>
      </c>
    </row>
    <row r="33">
      <c r="A33" s="34" t="inlineStr">
        <is>
          <t>index.dense_provisions</t>
        </is>
      </c>
      <c r="B33" s="30" t="n">
        <v>284447</v>
      </c>
      <c r="C33" s="30" t="inlineStr">
        <is>
          <t>provisions</t>
        </is>
      </c>
      <c r="D33" s="30" t="inlineStr">
        <is>
          <t>2026-08-27</t>
        </is>
      </c>
      <c r="E33" s="38" t="inlineStr">
        <is>
          <t>informational</t>
        </is>
      </c>
      <c r="F33" s="4" t="inlineStr">
        <is>
          <t>all-MiniLM-L6-v2 on an RTX 4060, 509s, 384 dimensions</t>
        </is>
      </c>
      <c r="G33" s="4" t="inlineStr">
        <is>
          <t>-</t>
        </is>
      </c>
      <c r="H33" s="4" t="inlineStr">
        <is>
          <t>Of 291,359 ingested: 995 skipped with no text of their own and 5,917 below the length at which a vector matches everything equally.</t>
        </is>
      </c>
    </row>
    <row r="34">
      <c r="A34" s="34" t="inlineStr">
        <is>
          <t>index.lexical_documents</t>
        </is>
      </c>
      <c r="B34" s="30" t="n">
        <v>291359</v>
      </c>
      <c r="C34" s="30" t="inlineStr">
        <is>
          <t>documents</t>
        </is>
      </c>
      <c r="D34" s="30" t="inlineStr">
        <is>
          <t>2026-08-27</t>
        </is>
      </c>
      <c r="E34" s="38" t="inlineStr">
        <is>
          <t>informational</t>
        </is>
      </c>
      <c r="F34" s="4" t="inlineStr">
        <is>
          <t>BM25 over every ingested provision, 48,110 distinct terms, 8s</t>
        </is>
      </c>
      <c r="G34" s="4" t="inlineStr">
        <is>
          <t>-</t>
        </is>
      </c>
      <c r="H34" s="4" t="inlineStr">
        <is>
          <t>Reconciled against its source count on every build - the legacy index served 411,797 against 414,710 silently.</t>
        </is>
      </c>
    </row>
    <row r="35">
      <c r="A35" s="34" t="inlineStr">
        <is>
          <t>ingest.act_subjects</t>
        </is>
      </c>
      <c r="B35" s="30" t="n">
        <v>1648</v>
      </c>
      <c r="C35" s="30" t="inlineStr">
        <is>
          <t>subjects</t>
        </is>
      </c>
      <c r="D35" s="30" t="inlineStr">
        <is>
          <t>2026-08-27</t>
        </is>
      </c>
      <c r="E35" s="38" t="inlineStr">
        <is>
          <t>informational</t>
        </is>
      </c>
      <c r="F35" s="4" t="inlineStr">
        <is>
          <t>Distinct subject keys from 1,655 raw files</t>
        </is>
      </c>
      <c r="G35" s="4" t="inlineStr">
        <is>
          <t>-</t>
        </is>
      </c>
      <c r="H35" s="4" t="inlineStr">
        <is>
          <t>Matches corpus.act_subjects exactly - an independent cross-check of subject.subject_key.</t>
        </is>
      </c>
    </row>
    <row r="36">
      <c r="A36" s="34" t="inlineStr">
        <is>
          <t>ingest.acts_out_of_scale_numbering</t>
        </is>
      </c>
      <c r="B36" s="30" t="n">
        <v>23</v>
      </c>
      <c r="C36" s="30" t="inlineStr">
        <is>
          <t>subjects</t>
        </is>
      </c>
      <c r="D36" s="30" t="inlineStr">
        <is>
          <t>2026-08-27</t>
        </is>
      </c>
      <c r="E36" s="39" t="inlineStr">
        <is>
          <t>lower_is_better</t>
        </is>
      </c>
      <c r="F36" s="4" t="inlineStr">
        <is>
          <t>Acts whose widest section-numbering gap exceeds the count of sections they hold, after ingest</t>
        </is>
      </c>
      <c r="G36" s="4" t="inlineStr">
        <is>
          <t>Falls as short amending Acts gain a scale to judge against</t>
        </is>
      </c>
      <c r="H36" s="4" t="inlineStr">
        <is>
          <t>Was 312 in the derived stores (corpus.acts_with_numbering_holes note). The residue is Acts holding fewer than three identifiers, where no outlier test has a spread to work with - a stated limit of the rule, not a silent exception.</t>
        </is>
      </c>
    </row>
    <row r="37">
      <c r="A37" s="34" t="inlineStr">
        <is>
          <t>ingest.commencement_read_pct</t>
        </is>
      </c>
      <c r="B37" s="30" t="n">
        <v>94.09999999999999</v>
      </c>
      <c r="C37" s="30" t="inlineStr">
        <is>
          <t>%</t>
        </is>
      </c>
      <c r="D37" s="30" t="inlineStr">
        <is>
          <t>2026-08-27</t>
        </is>
      </c>
      <c r="E37" s="37" t="inlineStr">
        <is>
          <t>higher_is_better</t>
        </is>
      </c>
      <c r="F37" s="4" t="inlineStr">
        <is>
          <t>Commenced-on header read from each raw document (1,557 of 1,655)</t>
        </is>
      </c>
      <c r="G37" s="4" t="inlineStr">
        <is>
          <t>Residue is documents that state no date</t>
        </is>
      </c>
      <c r="H37" s="4" t="inlineStr">
        <is>
          <t>Replaces reading commencement from section 1, measured at 15.2% of subjects (graph.acts_with_a_read_commencement_pct). The 98 remaining carry an UNKNOWN window with a reason, never an inferred one.</t>
        </is>
      </c>
    </row>
    <row r="38">
      <c r="A38" s="34" t="inlineStr">
        <is>
          <t>ingest.duplicate_ids_resolved</t>
        </is>
      </c>
      <c r="B38" s="30" t="n">
        <v>16956</v>
      </c>
      <c r="C38" s="30" t="inlineStr">
        <is>
          <t>ids</t>
        </is>
      </c>
      <c r="D38" s="30" t="inlineStr">
        <is>
          <t>2026-08-27</t>
        </is>
      </c>
      <c r="E38" s="39" t="inlineStr">
        <is>
          <t>lower_is_better</t>
        </is>
      </c>
      <c r="F38" s="4" t="inlineStr">
        <is>
          <t>Provision ids claimed by more than one parsed provision, resolved by keeping the fuller text</t>
        </is>
      </c>
      <c r="G38" s="4" t="inlineStr">
        <is>
          <t>-</t>
        </is>
      </c>
      <c r="H38" s="4" t="inlineStr">
        <is>
          <t>Two causes: a section printing a second lettered list, and two source files keying to one Act subject. Every discarded copy is reported.</t>
        </is>
      </c>
    </row>
    <row r="39">
      <c r="A39" s="34" t="inlineStr">
        <is>
          <t>ingest.provisions</t>
        </is>
      </c>
      <c r="B39" s="30" t="n">
        <v>291359</v>
      </c>
      <c r="C39" s="30" t="inlineStr">
        <is>
          <t>provisions</t>
        </is>
      </c>
      <c r="D39" s="30" t="inlineStr">
        <is>
          <t>2026-08-27</t>
        </is>
      </c>
      <c r="E39" s="38" t="inlineStr">
        <is>
          <t>informational</t>
        </is>
      </c>
      <c r="F39" s="4" t="inlineStr">
        <is>
          <t>nm.knowledge.ingest over the raw Act tree</t>
        </is>
      </c>
      <c r="G39" s="4" t="inlineStr">
        <is>
          <t>-</t>
        </is>
      </c>
      <c r="H39" s="4" t="inlineStr">
        <is>
          <t>63,056 sections, 211,379 subdivisions, 16,924 provisos/explanations/illustrations, including 5,028 Schedule Articles. Each separately addressable, each with a parent that resolves.</t>
        </is>
      </c>
    </row>
    <row r="40">
      <c r="A40" s="34" t="inlineStr">
        <is>
          <t>ingest.schedule_articles</t>
        </is>
      </c>
      <c r="B40" s="30" t="n">
        <v>5028</v>
      </c>
      <c r="C40" s="30" t="inlineStr">
        <is>
          <t>articles</t>
        </is>
      </c>
      <c r="D40" s="30" t="inlineStr">
        <is>
          <t>2026-08-27</t>
        </is>
      </c>
      <c r="E40" s="38" t="inlineStr">
        <is>
          <t>informational</t>
        </is>
      </c>
      <c r="F40" s="4" t="inlineStr">
        <is>
          <t>Unit.ARTICLE provisions from Schedule scopes</t>
        </is>
      </c>
      <c r="G40" s="4" t="inlineStr">
        <is>
          <t>-</t>
        </is>
      </c>
      <c r="H40" s="4" t="inlineStr">
        <is>
          <t>Includes all 137 Limitation Act Articles. A Schedule entry is a BARE number on its own line, which the page-number guard was discarding - so none were held before.</t>
        </is>
      </c>
    </row>
    <row r="41">
      <c r="A41" s="34" t="inlineStr">
        <is>
          <t>ingest.seconds</t>
        </is>
      </c>
      <c r="B41" s="30" t="n">
        <v>24.9</v>
      </c>
      <c r="C41" s="30" t="inlineStr">
        <is>
          <t>s</t>
        </is>
      </c>
      <c r="D41" s="30" t="inlineStr">
        <is>
          <t>2026-08-27</t>
        </is>
      </c>
      <c r="E41" s="39" t="inlineStr">
        <is>
          <t>lower_is_better</t>
        </is>
      </c>
      <c r="F41" s="4" t="inlineStr">
        <is>
          <t>Full raw-tree ingest, wall clock, 1,655 files</t>
        </is>
      </c>
      <c r="G41" s="4" t="inlineStr">
        <is>
          <t>-</t>
        </is>
      </c>
      <c r="H41" s="4" t="inlineStr">
        <is>
          <t>Deterministic: a second run over the same sources is identical (I-06).</t>
        </is>
      </c>
    </row>
    <row r="42">
      <c r="A42" s="34" t="inlineStr">
        <is>
          <t>judgments.attributable_pct</t>
        </is>
      </c>
      <c r="B42" s="30" t="n">
        <v>16.9</v>
      </c>
      <c r="C42" s="30" t="inlineStr">
        <is>
          <t>%</t>
        </is>
      </c>
      <c r="D42" s="30" t="inlineStr">
        <is>
          <t>2026-08-27</t>
        </is>
      </c>
      <c r="E42" s="37" t="inlineStr">
        <is>
          <t>higher_is_better</t>
        </is>
      </c>
      <c r="F42" s="4" t="inlineStr">
        <is>
          <t>full judgment ingest, 34,037 judgments, 489,207 paragraphs</t>
        </is>
      </c>
      <c r="G42" s="4" t="inlineStr">
        <is>
          <t>Rises when story I-04's reading pass runs</t>
        </is>
      </c>
      <c r="H42" s="4" t="inlineStr">
        <is>
          <t>Was 14.8% while a missed paragraph marker collapsed the rest of a judgment into one block (B-62). The rise is segmentation, not better classification: the same rule reading more, smaller paragraphs.</t>
        </is>
      </c>
    </row>
    <row r="43">
      <c r="A43" s="34" t="inlineStr">
        <is>
          <t>judgments.dominant_tail_pct</t>
        </is>
      </c>
      <c r="B43" s="30" t="n">
        <v>23.7</v>
      </c>
      <c r="C43" s="30" t="inlineStr">
        <is>
          <t>%</t>
        </is>
      </c>
      <c r="D43" s="30" t="inlineStr">
        <is>
          <t>2026-08-27</t>
        </is>
      </c>
      <c r="E43" s="39" t="inlineStr">
        <is>
          <t>lower_is_better</t>
        </is>
      </c>
      <c r="F43" s="4" t="inlineStr">
        <is>
          <t>sampled 139 judgments at stride 220; share whose last paragraph holds &gt;50% of the text</t>
        </is>
      </c>
      <c r="G43" s="4" t="inlineStr">
        <is>
          <t>-</t>
        </is>
      </c>
      <c r="H43" s="4" t="inlineStr">
        <is>
          <t>Was 38.8% (54 of 139). Of the 33 remaining, 23 show no usable numbering at all and one block is honest; 10 segment and then abandon, which is B-63.</t>
        </is>
      </c>
    </row>
    <row r="44">
      <c r="A44" s="34" t="inlineStr">
        <is>
          <t>judgments.ingested</t>
        </is>
      </c>
      <c r="B44" s="30" t="n">
        <v>34037</v>
      </c>
      <c r="C44" s="30" t="inlineStr">
        <is>
          <t>judgments</t>
        </is>
      </c>
      <c r="D44" s="30" t="inlineStr">
        <is>
          <t>2026-08-27</t>
        </is>
      </c>
      <c r="E44" s="38" t="inlineStr">
        <is>
          <t>informational</t>
        </is>
      </c>
      <c r="F44" s="4" t="inlineStr">
        <is>
          <t>nm.knowledge.judgments over the raw CaseLaws tree, 71s</t>
        </is>
      </c>
      <c r="G44" s="4" t="inlineStr">
        <is>
          <t>-</t>
        </is>
      </c>
      <c r="H44" s="4" t="inlineStr">
        <is>
          <t>351,966 paragraphs, 10.3 per judgment, rising by decade from 3.6 (1960s) to 20.2 (2020s). 100% carry a decided date read from the document.</t>
        </is>
      </c>
    </row>
    <row r="45">
      <c r="A45" s="34" t="inlineStr">
        <is>
          <t>judgments.paragraphs</t>
        </is>
      </c>
      <c r="B45" s="30" t="n">
        <v>489207</v>
      </c>
      <c r="C45" s="30" t="inlineStr">
        <is>
          <t>paragraphs</t>
        </is>
      </c>
      <c r="D45" s="30" t="inlineStr">
        <is>
          <t>2026-08-27</t>
        </is>
      </c>
      <c r="E45" s="37" t="inlineStr">
        <is>
          <t>higher_is_better</t>
        </is>
      </c>
      <c r="F45" s="4" t="inlineStr">
        <is>
          <t>full judgment ingest after the ascending-selection fix</t>
        </is>
      </c>
      <c r="G45" s="4" t="inlineStr">
        <is>
          <t>-</t>
        </is>
      </c>
      <c r="H45" s="4" t="inlineStr">
        <is>
          <t>Was 351,966 under the consecutive-run rule (B-62): +39% from paragraphs that existed in the documents and were being swallowed by the block after them.</t>
        </is>
      </c>
    </row>
    <row r="46">
      <c r="A46" s="34" t="inlineStr">
        <is>
          <t>judgments.paragraphs_per_judgment</t>
        </is>
      </c>
      <c r="B46" s="30" t="n">
        <v>14.4</v>
      </c>
      <c r="C46" s="30" t="inlineStr">
        <is>
          <t>paragraphs</t>
        </is>
      </c>
      <c r="D46" s="30" t="inlineStr">
        <is>
          <t>2026-08-27</t>
        </is>
      </c>
      <c r="E46" s="37" t="inlineStr">
        <is>
          <t>higher_is_better</t>
        </is>
      </c>
      <c r="F46" s="4" t="inlineStr">
        <is>
          <t>489,207 paragraphs over 34,037 judgments</t>
        </is>
      </c>
      <c r="G46" s="4" t="inlineStr">
        <is>
          <t>-</t>
        </is>
      </c>
      <c r="H46" s="4" t="inlineStr">
        <is>
          <t>Was 10.3. A Supreme Court judgment routinely numbers past 30, so this is a floor that has risen, not a figure that is now right.</t>
        </is>
      </c>
    </row>
    <row r="47">
      <c r="A47" s="34" t="inlineStr">
        <is>
          <t>limitation.period_is_calendar</t>
        </is>
      </c>
      <c r="B47" s="30" t="n">
        <v>1</v>
      </c>
      <c r="C47" s="30" t="inlineStr">
        <is>
          <t>bool</t>
        </is>
      </c>
      <c r="D47" s="30" t="inlineStr">
        <is>
          <t>2026-08-28</t>
        </is>
      </c>
      <c r="E47" s="37" t="inlineStr">
        <is>
          <t>higher_is_better</t>
        </is>
      </c>
      <c r="F47" s="4" t="inlineStr">
        <is>
          <t>nm/core/analysis.py::add_period, asserted in test_phase3_analysis.py</t>
        </is>
      </c>
      <c r="G47" s="4" t="inlineStr">
        <is>
          <t>-</t>
        </is>
      </c>
      <c r="H47" s="4" t="inlineStr">
        <is>
          <t>Three years from 2023-03-01 is 2026-03-01; the 1095-day arithmetic it replaced gave 2026-02-28 - one day early, every time a leap day falls inside the window, and early is the direction that loses the suit.</t>
        </is>
      </c>
    </row>
    <row r="48">
      <c r="A48" s="34" t="inlineStr">
        <is>
          <t>manifest.held</t>
        </is>
      </c>
      <c r="B48" s="30" t="n">
        <v>28</v>
      </c>
      <c r="C48" s="30" t="inlineStr">
        <is>
          <t>subjects</t>
        </is>
      </c>
      <c r="D48" s="30" t="inlineStr">
        <is>
          <t>2026-08-27</t>
        </is>
      </c>
      <c r="E48" s="37" t="inlineStr">
        <is>
          <t>higher_is_better</t>
        </is>
      </c>
      <c r="F48" s="4" t="inlineStr">
        <is>
          <t>Reconciled against legacy-2026-08-27</t>
        </is>
      </c>
      <c r="G48" s="4" t="inlineStr">
        <is>
          <t>30</t>
        </is>
      </c>
      <c r="H48" s="4" t="inlineStr">
        <is>
          <t>Gaps: Telangana High Court (B-13), Indian Contract Act 1872 (B-41).</t>
        </is>
      </c>
    </row>
    <row r="49">
      <c r="A49" s="34" t="inlineStr">
        <is>
          <t>manifest.intended_subjects</t>
        </is>
      </c>
      <c r="B49" s="30" t="n">
        <v>30</v>
      </c>
      <c r="C49" s="30" t="inlineStr">
        <is>
          <t>subjects</t>
        </is>
      </c>
      <c r="D49" s="30" t="inlineStr">
        <is>
          <t>2026-08-27</t>
        </is>
      </c>
      <c r="E49" s="38" t="inlineStr">
        <is>
          <t>informational</t>
        </is>
      </c>
      <c r="F49" s="4" t="inlineStr">
        <is>
          <t>Curated: 3 courts + 27 Acts the product needs</t>
        </is>
      </c>
      <c r="G49" s="4" t="inlineStr">
        <is>
          <t>-</t>
        </is>
      </c>
      <c r="H49" s="4" t="inlineStr">
        <is>
          <t>Asserted, not derived from the index (M1).</t>
        </is>
      </c>
    </row>
    <row r="50">
      <c r="A50" s="34" t="inlineStr">
        <is>
          <t>passes.proposed_input_tokens</t>
        </is>
      </c>
      <c r="B50" s="30" t="n">
        <v>341500000</v>
      </c>
      <c r="C50" s="30" t="inlineStr">
        <is>
          <t>tokens</t>
        </is>
      </c>
      <c r="D50" s="30" t="inlineStr">
        <is>
          <t>2026-08-27</t>
        </is>
      </c>
      <c r="E50" s="38" t="inlineStr">
        <is>
          <t>informational</t>
        </is>
      </c>
      <c r="F50" s="4" t="inlineStr">
        <is>
          <t>Measured on spread samples and scaled to the corpus</t>
        </is>
      </c>
      <c r="G50" s="4" t="inlineStr">
        <is>
          <t>Approved per run, never initiated by a build</t>
        </is>
      </c>
      <c r="H50" s="4" t="inlineStr">
        <is>
          <t>I-04 paragraph classification ~114.5M; X-03 section summaries ~17.2M; X-04 holding summaries ~210M. E5: proposed and costed, a human decides.</t>
        </is>
      </c>
    </row>
    <row r="51">
      <c r="A51" s="34" t="inlineStr">
        <is>
          <t>phase3.class_a_tests</t>
        </is>
      </c>
      <c r="B51" s="30" t="n">
        <v>514</v>
      </c>
      <c r="C51" s="30" t="inlineStr">
        <is>
          <t>tests</t>
        </is>
      </c>
      <c r="D51" s="30" t="inlineStr">
        <is>
          <t>2026-08-28</t>
        </is>
      </c>
      <c r="E51" s="37" t="inlineStr">
        <is>
          <t>higher_is_better</t>
        </is>
      </c>
      <c r="F51" s="4" t="inlineStr">
        <is>
          <t>grep -c '^def test_' over nm/tests/a_logic</t>
        </is>
      </c>
      <c r="G51" s="4" t="inlineStr">
        <is>
          <t>-</t>
        </is>
      </c>
      <c r="H51" s="4" t="inlineStr">
        <is>
          <t>Was 415 at the close of Phase 1. The class-A suite still runs inside the E1 budget.</t>
        </is>
      </c>
    </row>
    <row r="52">
      <c r="A52" s="34" t="inlineStr">
        <is>
          <t>phase3.class_c_tests</t>
        </is>
      </c>
      <c r="B52" s="30" t="n">
        <v>39</v>
      </c>
      <c r="C52" s="30" t="inlineStr">
        <is>
          <t>tests</t>
        </is>
      </c>
      <c r="D52" s="30" t="inlineStr">
        <is>
          <t>2026-08-28</t>
        </is>
      </c>
      <c r="E52" s="37" t="inlineStr">
        <is>
          <t>higher_is_better</t>
        </is>
      </c>
      <c r="F52" s="4" t="inlineStr">
        <is>
          <t>nm/tests/c_corpus, all running against the corpus snapshot - none skipped</t>
        </is>
      </c>
      <c r="G52" s="4" t="inlineStr">
        <is>
          <t>-</t>
        </is>
      </c>
      <c r="H52" s="4" t="inlineStr">
        <is>
          <t>31 before Phase 3; the 8 new ones drive real PDF, Word, image and OCR paths.</t>
        </is>
      </c>
    </row>
    <row r="53">
      <c r="A53" s="34" t="inlineStr">
        <is>
          <t>phase3.stories_tested</t>
        </is>
      </c>
      <c r="B53" s="30" t="n">
        <v>53</v>
      </c>
      <c r="C53" s="30" t="inlineStr">
        <is>
          <t>stories</t>
        </is>
      </c>
      <c r="D53" s="30" t="inlineStr">
        <is>
          <t>2026-08-28</t>
        </is>
      </c>
      <c r="E53" s="37" t="inlineStr">
        <is>
          <t>higher_is_better</t>
        </is>
      </c>
      <c r="F53" s="4" t="inlineStr">
        <is>
          <t>deterministic Phase 3 stories (Class A/B/C) with a test named for the story id</t>
        </is>
      </c>
      <c r="G53" s="4" t="inlineStr">
        <is>
          <t>-</t>
        </is>
      </c>
      <c r="H53" s="4" t="inlineStr">
        <is>
          <t>The remaining 13 are Class D judgement criteria. They are BUILT: the rubric exists and the run proposal exists, but PRD E5 requires per-run approval, so no figure may be quoted from them and E8 forbids calling them tested.</t>
        </is>
      </c>
    </row>
    <row r="54">
      <c r="A54" s="34" t="inlineStr">
        <is>
          <t>phase4.board_lines_per_thread</t>
        </is>
      </c>
      <c r="B54" s="30" t="n">
        <v>1</v>
      </c>
      <c r="C54" s="30" t="inlineStr">
        <is>
          <t>rows</t>
        </is>
      </c>
      <c r="D54" s="30" t="inlineStr">
        <is>
          <t>2026-08-28</t>
        </is>
      </c>
      <c r="E54" s="39" t="inlineStr">
        <is>
          <t>lower_is_better</t>
        </is>
      </c>
      <c r="F54" s="4" t="inlineStr">
        <is>
          <t>nm/edge/board.py::BoardRow - fixed arity, every field a scalar</t>
        </is>
      </c>
      <c r="G54" s="4" t="inlineStr">
        <is>
          <t>1</t>
        </is>
      </c>
      <c r="H54" s="4" t="inlineStr">
        <is>
          <t>The legacy board carried facts (up to 8), issues (up to 10) and open_items (up to 10) per thread - up to 28 lines of analysis, growing with the conversation. Bounded by construction here: a field that could hold a list fails Board.__post_init__.</t>
        </is>
      </c>
    </row>
    <row r="55">
      <c r="A55" s="34" t="inlineStr">
        <is>
          <t>phase4.class_a_seconds</t>
        </is>
      </c>
      <c r="B55" s="30" t="n">
        <v>1.4</v>
      </c>
      <c r="C55" s="30" t="inlineStr">
        <is>
          <t>s</t>
        </is>
      </c>
      <c r="D55" s="30" t="inlineStr">
        <is>
          <t>2026-08-28</t>
        </is>
      </c>
      <c r="E55" s="39" t="inlineStr">
        <is>
          <t>lower_is_better</t>
        </is>
      </c>
      <c r="F55" s="4" t="inlineStr">
        <is>
          <t>pytest nm/tests/a_logic, wall clock</t>
        </is>
      </c>
      <c r="G55" s="4" t="inlineStr">
        <is>
          <t>Under the 10s E1 budget</t>
        </is>
      </c>
      <c r="H55" s="4" t="inlineStr">
        <is>
          <t>The budget is enforced by conftest, not watched: a slow class-A suite stops being run every commit, which is the same failure as not having one.</t>
        </is>
      </c>
    </row>
    <row r="56">
      <c r="A56" s="34" t="inlineStr">
        <is>
          <t>phase4.class_a_tests</t>
        </is>
      </c>
      <c r="B56" s="30" t="n">
        <v>596</v>
      </c>
      <c r="C56" s="30" t="inlineStr">
        <is>
          <t>tests</t>
        </is>
      </c>
      <c r="D56" s="30" t="inlineStr">
        <is>
          <t>2026-08-28</t>
        </is>
      </c>
      <c r="E56" s="37" t="inlineStr">
        <is>
          <t>higher_is_better</t>
        </is>
      </c>
      <c r="F56" s="4" t="inlineStr">
        <is>
          <t>grep -c '^def test_' over nm/tests/a_logic</t>
        </is>
      </c>
      <c r="G56" s="4" t="inlineStr">
        <is>
          <t>-</t>
        </is>
      </c>
      <c r="H56" s="4" t="inlineStr">
        <is>
          <t>Was 514 at the close of Phase 3. 623 collected once parametrisation is counted; the suite runs in 1.4s of the 10s E1 budget.</t>
        </is>
      </c>
    </row>
    <row r="57">
      <c r="A57" s="34" t="inlineStr">
        <is>
          <t>phase4.stories_tested</t>
        </is>
      </c>
      <c r="B57" s="30" t="n">
        <v>21</v>
      </c>
      <c r="C57" s="30" t="inlineStr">
        <is>
          <t>stories</t>
        </is>
      </c>
      <c r="D57" s="30" t="inlineStr">
        <is>
          <t>2026-08-28</t>
        </is>
      </c>
      <c r="E57" s="37" t="inlineStr">
        <is>
          <t>higher_is_better</t>
        </is>
      </c>
      <c r="F57" s="4" t="inlineStr">
        <is>
          <t>EP-21 and EP-22 stories with a test named for the story id</t>
        </is>
      </c>
      <c r="G57" s="4" t="inlineStr">
        <is>
          <t>21</t>
        </is>
      </c>
      <c r="H57" s="4" t="inlineStr">
        <is>
          <t>All 21 are deterministic (Class A/B). Phase 4 adds no Class D criterion of its own; AN-10's reads-as-a-case-note half joins the Phase 3 judgement set, which stays approval-gated under E5.</t>
        </is>
      </c>
    </row>
    <row r="58">
      <c r="A58" s="34" t="inlineStr">
        <is>
          <t>phase5.class_a_tests</t>
        </is>
      </c>
      <c r="B58" s="30" t="n">
        <v>636</v>
      </c>
      <c r="C58" s="30" t="inlineStr">
        <is>
          <t>tests</t>
        </is>
      </c>
      <c r="D58" s="30" t="inlineStr">
        <is>
          <t>2026-08-28</t>
        </is>
      </c>
      <c r="E58" s="37" t="inlineStr">
        <is>
          <t>higher_is_better</t>
        </is>
      </c>
      <c r="F58" s="4" t="inlineStr">
        <is>
          <t>grep -c '^def test_' over nm/tests/a_logic</t>
        </is>
      </c>
      <c r="G58" s="4" t="inlineStr">
        <is>
          <t>-</t>
        </is>
      </c>
      <c r="H58" s="4" t="inlineStr">
        <is>
          <t>Was 596 at the close of Phase 4. 663 collected with parametrisation; 1.75s of the 10s E1 budget.</t>
        </is>
      </c>
    </row>
    <row r="59">
      <c r="A59" s="34" t="inlineStr">
        <is>
          <t>phase5.stories_tested</t>
        </is>
      </c>
      <c r="B59" s="30" t="n">
        <v>8</v>
      </c>
      <c r="C59" s="30" t="inlineStr">
        <is>
          <t>stories</t>
        </is>
      </c>
      <c r="D59" s="30" t="inlineStr">
        <is>
          <t>2026-08-28</t>
        </is>
      </c>
      <c r="E59" s="37" t="inlineStr">
        <is>
          <t>higher_is_better</t>
        </is>
      </c>
      <c r="F59" s="4" t="inlineStr">
        <is>
          <t>EP-23 stories with a test named for the story id</t>
        </is>
      </c>
      <c r="G59" s="4" t="inlineStr">
        <is>
          <t>8</t>
        </is>
      </c>
      <c r="H59" s="4" t="inlineStr">
        <is>
          <t>All 8 deterministic (Class A/B). Phase 5 adds no Class D criterion.</t>
        </is>
      </c>
    </row>
    <row r="60">
      <c r="A60" s="34" t="inlineStr">
        <is>
          <t>phase6.class_a_tests</t>
        </is>
      </c>
      <c r="B60" s="30" t="n">
        <v>706</v>
      </c>
      <c r="C60" s="30" t="inlineStr">
        <is>
          <t>tests</t>
        </is>
      </c>
      <c r="D60" s="30" t="inlineStr">
        <is>
          <t>2026-08-28</t>
        </is>
      </c>
      <c r="E60" s="37" t="inlineStr">
        <is>
          <t>higher_is_better</t>
        </is>
      </c>
      <c r="F60" s="4" t="inlineStr">
        <is>
          <t>grep -c '^def test_' over nm/tests/a_logic</t>
        </is>
      </c>
      <c r="G60" s="4" t="inlineStr">
        <is>
          <t>-</t>
        </is>
      </c>
      <c r="H60" s="4" t="inlineStr">
        <is>
          <t>Was 636 at the close of Phase 5. 733 collected with parametrisation; 1.95s of the 10s E1 budget.</t>
        </is>
      </c>
    </row>
    <row r="61">
      <c r="A61" s="34" t="inlineStr">
        <is>
          <t>phase6.dpdp_obligations_assessed</t>
        </is>
      </c>
      <c r="B61" s="30" t="n">
        <v>9</v>
      </c>
      <c r="C61" s="30" t="inlineStr">
        <is>
          <t>obligations</t>
        </is>
      </c>
      <c r="D61" s="30" t="inlineStr">
        <is>
          <t>2026-08-28</t>
        </is>
      </c>
      <c r="E61" s="37" t="inlineStr">
        <is>
          <t>higher_is_better</t>
        </is>
      </c>
      <c r="F61" s="4" t="inlineStr">
        <is>
          <t>nm/obs/compliance.py::DPDP_REGISTER</t>
        </is>
      </c>
      <c r="G61" s="4" t="inlineStr">
        <is>
          <t>-</t>
        </is>
      </c>
      <c r="H61" s="4" t="inlineStr">
        <is>
          <t>6 met by a named control, 3 open. An obligation ABSENT from the register is unassessed, not satisfied - which is why the count is recorded alongside any posture claim. The 3 open gaps carry owner='unassigned', which satisfies the type and not the intent.</t>
        </is>
      </c>
    </row>
    <row r="62">
      <c r="A62" s="34" t="inlineStr">
        <is>
          <t>phase6.junior_copy_places</t>
        </is>
      </c>
      <c r="B62" s="30" t="n">
        <v>4</v>
      </c>
      <c r="C62" s="30" t="inlineStr">
        <is>
          <t>places</t>
        </is>
      </c>
      <c r="D62" s="30" t="inlineStr">
        <is>
          <t>2026-08-28</t>
        </is>
      </c>
      <c r="E62" s="39" t="inlineStr">
        <is>
          <t>lower_is_better</t>
        </is>
      </c>
      <c r="F62" s="4" t="inlineStr">
        <is>
          <t>python -m nm.tools.copycheck over frontend/src, prompts, nm</t>
        </is>
      </c>
      <c r="G62" s="4" t="inlineStr">
        <is>
          <t>0</t>
        </is>
      </c>
      <c r="H62" s="4" t="inlineStr">
        <is>
          <t>prompts/intake.py 'intake clerk' (2) and prompts/research.py 'legal researcher' / 'synthesising retrieval output'. NOT corrected: they are legacy prompts and changing a persona prompt changes the behaviour of the system the Baseline measures against (EN-26).</t>
        </is>
      </c>
    </row>
    <row r="63">
      <c r="A63" s="34" t="inlineStr">
        <is>
          <t>phase6.residency_surfaces_declared</t>
        </is>
      </c>
      <c r="B63" s="30" t="n">
        <v>0</v>
      </c>
      <c r="C63" s="30" t="inlineStr">
        <is>
          <t>of 6 surfaces</t>
        </is>
      </c>
      <c r="D63" s="30" t="inlineStr">
        <is>
          <t>2026-08-28</t>
        </is>
      </c>
      <c r="E63" s="37" t="inlineStr">
        <is>
          <t>higher_is_better</t>
        </is>
      </c>
      <c r="F63" s="4" t="inlineStr">
        <is>
          <t>nm/obs/compliance.py::undeclared() over SURFACES</t>
        </is>
      </c>
      <c r="G63" s="4" t="inlineStr">
        <is>
          <t>6</t>
        </is>
      </c>
      <c r="H63" s="4" t="inlineStr">
        <is>
          <t>Nothing is deployed, so every surface is undeclared. An entry with a region would be a claim about infrastructure that does not exist.</t>
        </is>
      </c>
    </row>
    <row r="64">
      <c r="A64" s="34" t="inlineStr">
        <is>
          <t>phase6.slos_measured</t>
        </is>
      </c>
      <c r="B64" s="30" t="n">
        <v>0</v>
      </c>
      <c r="C64" s="30" t="inlineStr">
        <is>
          <t>of 4 objectives</t>
        </is>
      </c>
      <c r="D64" s="30" t="inlineStr">
        <is>
          <t>2026-08-28</t>
        </is>
      </c>
      <c r="E64" s="37" t="inlineStr">
        <is>
          <t>higher_is_better</t>
        </is>
      </c>
      <c r="F64" s="4" t="inlineStr">
        <is>
          <t>nm/obs/slo.py::unmeasured() over OBJECTIVES</t>
        </is>
      </c>
      <c r="G64" s="4" t="inlineStr">
        <is>
          <t>4</t>
        </is>
      </c>
      <c r="H64" s="4" t="inlineStr">
        <is>
          <t>Every target is a placeholder carrying the measurement that would replace it. Declared anyway, because an objective that appears only after the first outage is one written to excuse it.</t>
        </is>
      </c>
    </row>
    <row r="65">
      <c r="A65" s="34" t="inlineStr">
        <is>
          <t>phase6.stories_tested</t>
        </is>
      </c>
      <c r="B65" s="30" t="n">
        <v>14</v>
      </c>
      <c r="C65" s="30" t="inlineStr">
        <is>
          <t>stories</t>
        </is>
      </c>
      <c r="D65" s="30" t="inlineStr">
        <is>
          <t>2026-08-28</t>
        </is>
      </c>
      <c r="E65" s="37" t="inlineStr">
        <is>
          <t>higher_is_better</t>
        </is>
      </c>
      <c r="F65" s="4" t="inlineStr">
        <is>
          <t>EP-24 to EP-30 stories with a test named for the story id</t>
        </is>
      </c>
      <c r="G65" s="4" t="inlineStr">
        <is>
          <t>29</t>
        </is>
      </c>
      <c r="H65" s="4" t="inlineStr">
        <is>
          <t>Of 29: 14 tested, 9 BUILT with the unbuildable half named, 6 left DECIDED. The 6 decided need a deployment (backup/restore, load testing, staging, canary, onboarding) or a commercial decision (pricing). Counted from the plan after the update, not from the completion payload - the first figure recorded here was 15/7/7 and was wrong.</t>
        </is>
      </c>
    </row>
    <row r="66">
      <c r="A66" s="34" t="inlineStr">
        <is>
          <t>phase7.class_a_tests</t>
        </is>
      </c>
      <c r="B66" s="30" t="n">
        <v>741</v>
      </c>
      <c r="C66" s="30" t="inlineStr">
        <is>
          <t>tests</t>
        </is>
      </c>
      <c r="D66" s="30" t="inlineStr">
        <is>
          <t>2026-08-28</t>
        </is>
      </c>
      <c r="E66" s="37" t="inlineStr">
        <is>
          <t>higher_is_better</t>
        </is>
      </c>
      <c r="F66" s="4" t="inlineStr">
        <is>
          <t>grep -c '^def test_' over nm/tests/a_logic</t>
        </is>
      </c>
      <c r="G66" s="4" t="inlineStr">
        <is>
          <t>-</t>
        </is>
      </c>
      <c r="H66" s="4" t="inlineStr">
        <is>
          <t>Was 720 after the review fixes. 768 collected with parametrisation; 2.1s of the 10s E1 budget. A full turn now runs inside the class-A guards - no sockets, no corpus, no LLM.</t>
        </is>
      </c>
    </row>
    <row r="67">
      <c r="A67" s="34" t="inlineStr">
        <is>
          <t>phase7.integration_defects</t>
        </is>
      </c>
      <c r="B67" s="30" t="n">
        <v>2</v>
      </c>
      <c r="C67" s="30" t="inlineStr">
        <is>
          <t>defects</t>
        </is>
      </c>
      <c r="D67" s="30" t="inlineStr">
        <is>
          <t>2026-08-28</t>
        </is>
      </c>
      <c r="E67" s="39" t="inlineStr">
        <is>
          <t>lower_is_better</t>
        </is>
      </c>
      <c r="F67" s="4" t="inlineStr">
        <is>
          <t>Defects found by running the components in sequence for the first time</t>
        </is>
      </c>
      <c r="G67" s="4" t="inlineStr">
        <is>
          <t>-</t>
        </is>
      </c>
      <c r="H67" s="4" t="inlineStr">
        <is>
          <t>B-84 (the no-change path swallowed a real answer) and B-85 (answer and summary built from separate state, caught by CS1). Both surfaced on the FIRST end-to-end run, with every component passing its own tests. That ratio is the argument for the epic: two defects per first integration, against five P1s that a review had to find by hand.</t>
        </is>
      </c>
    </row>
    <row r="68">
      <c r="A68" s="34" t="inlineStr">
        <is>
          <t>phase7.turn_stages_wired</t>
        </is>
      </c>
      <c r="B68" s="30" t="n">
        <v>9</v>
      </c>
      <c r="C68" s="30" t="inlineStr">
        <is>
          <t>of 11 stages</t>
        </is>
      </c>
      <c r="D68" s="30" t="inlineStr">
        <is>
          <t>2026-08-28</t>
        </is>
      </c>
      <c r="E68" s="37" t="inlineStr">
        <is>
          <t>higher_is_better</t>
        </is>
      </c>
      <c r="F68" s="4" t="inlineStr">
        <is>
          <t>Architecture 8's sequence, counted against nm/core/turn.py::run_turn and nm/edge/session.py::serve</t>
        </is>
      </c>
      <c r="G68" s="4" t="inlineStr">
        <is>
          <t>11</t>
        </is>
      </c>
      <c r="H68" s="4" t="inlineStr">
        <is>
          <t>Wired: mode, fact integration, cascade, gates, bounded evidence loop, gap queue, questions, resumption, assembly, invariants, metrics. NOT wired: step 3 (bind documents to threads) and step 6 (the cross-thread analysis stages - adversarial, salvage, selection), which are model-driven and each need a declared step.</t>
        </is>
      </c>
    </row>
    <row r="69">
      <c r="A69" s="34" t="inlineStr">
        <is>
          <t>retrieval.hybrid_vs_lexical</t>
        </is>
      </c>
      <c r="B69" s="30" t="n">
        <v>0</v>
      </c>
      <c r="C69" s="30" t="inlineStr">
        <is>
          <t>probes better</t>
        </is>
      </c>
      <c r="D69" s="30" t="inlineStr">
        <is>
          <t>2026-08-27</t>
        </is>
      </c>
      <c r="E69" s="37" t="inlineStr">
        <is>
          <t>higher_is_better</t>
        </is>
      </c>
      <c r="F69" s="4" t="inlineStr">
        <is>
          <t>Four AUTHORED probes; target rank under lexical, dense and RRF hybrid</t>
        </is>
      </c>
      <c r="G69" s="4" t="inlineStr">
        <is>
          <t>Measured properly by story S-06 on a SAMPLED acceptance set</t>
        </is>
      </c>
      <c r="H69" s="4" t="inlineStr">
        <is>
          <t>NOT A MEASUREMENT. Ranks: Art 59 lexical 1 / hybrid 1; s.138 NI 1 / 1; Art 65 lexical 7 / hybrid 14; s.438 CrPC lexical 2 / hybrid 8. The dense leg helps on paraphrase and hurts on two of four - but C5D forbids quoting a figure from an authored set, so whether the dense leg earns its cost is UNMEASURED until S-06 runs.</t>
        </is>
      </c>
    </row>
    <row r="70">
      <c r="A70" s="34" t="inlineStr">
        <is>
          <t>retrieval.hyde_wins</t>
        </is>
      </c>
      <c r="B70" s="30" t="n">
        <v>8</v>
      </c>
      <c r="C70" s="30" t="inlineStr">
        <is>
          <t>of 8 probes</t>
        </is>
      </c>
      <c r="D70" s="30" t="inlineStr">
        <is>
          <t>2026-08-26</t>
        </is>
      </c>
      <c r="E70" s="37" t="inlineStr">
        <is>
          <t>higher_is_better</t>
        </is>
      </c>
      <c r="F70" s="4" t="inlineStr">
        <is>
          <t>Retrieval probes</t>
        </is>
      </c>
      <c r="G70" s="4" t="inlineStr">
        <is>
          <t>-</t>
        </is>
      </c>
      <c r="H70" s="4" t="inlineStr">
        <is>
          <t>5 of 8 targets missed entirely without HyDE. Re-measure once resolution lands.</t>
        </is>
      </c>
    </row>
    <row r="71">
      <c r="A71" s="34" t="inlineStr">
        <is>
          <t>retrieval.limitation_article_rank</t>
        </is>
      </c>
      <c r="B71" s="30" t="n">
        <v>1</v>
      </c>
      <c r="C71" s="30" t="inlineStr">
        <is>
          <t>rank</t>
        </is>
      </c>
      <c r="D71" s="30" t="inlineStr">
        <is>
          <t>2026-08-27</t>
        </is>
      </c>
      <c r="E71" s="39" t="inlineStr">
        <is>
          <t>lower_is_better</t>
        </is>
      </c>
      <c r="F71" s="4" t="inlineStr">
        <is>
          <t>Lexical index probe, 'cancel or set aside an instrument', over 291,359 provisions</t>
        </is>
      </c>
      <c r="G71" s="4" t="inlineStr">
        <is>
          <t>1</t>
        </is>
      </c>
      <c r="H71" s="4" t="inlineStr">
        <is>
          <t>Article 59 ranks first. Was 53 of 60 in the legacy pipeline. Measured on the new BM25 index alone, with no dense leg and no rerank.</t>
        </is>
      </c>
    </row>
    <row r="72">
      <c r="A72" s="34" t="inlineStr">
        <is>
          <t>review.class_a_tests_after</t>
        </is>
      </c>
      <c r="B72" s="30" t="n">
        <v>720</v>
      </c>
      <c r="C72" s="30" t="inlineStr">
        <is>
          <t>tests</t>
        </is>
      </c>
      <c r="D72" s="30" t="inlineStr">
        <is>
          <t>2026-08-28</t>
        </is>
      </c>
      <c r="E72" s="37" t="inlineStr">
        <is>
          <t>higher_is_better</t>
        </is>
      </c>
      <c r="F72" s="4" t="inlineStr">
        <is>
          <t>grep -c '^def test_' over nm/tests/a_logic after the review fixes</t>
        </is>
      </c>
      <c r="G72" s="4" t="inlineStr">
        <is>
          <t>-</t>
        </is>
      </c>
      <c r="H72" s="4" t="inlineStr">
        <is>
          <t>Was 706 before the review. 747 collected with parametrisation; 1.91s of the 10s E1 budget. The 14 added are regression tests, one per confirmed counterexample.</t>
        </is>
      </c>
    </row>
    <row r="73">
      <c r="A73" s="34" t="inlineStr">
        <is>
          <t>review.phase45_defects</t>
        </is>
      </c>
      <c r="B73" s="30" t="n">
        <v>7</v>
      </c>
      <c r="C73" s="30" t="inlineStr">
        <is>
          <t>defects</t>
        </is>
      </c>
      <c r="D73" s="30" t="inlineStr">
        <is>
          <t>2026-08-28</t>
        </is>
      </c>
      <c r="E73" s="39" t="inlineStr">
        <is>
          <t>lower_is_better</t>
        </is>
      </c>
      <c r="F73" s="4" t="inlineStr">
        <is>
          <t>External review of Phases 4 and 5, each finding reproduced as an in-memory counterexample before it was fixed</t>
        </is>
      </c>
      <c r="G73" s="4" t="inlineStr">
        <is>
          <t>-</t>
        </is>
      </c>
      <c r="H73" s="4" t="inlineStr">
        <is>
          <t>5 P1 and 2 P2, all confirmed: a D0A signal hidden with the S5 assertion green; four false passes in the drafting gate; brief assembly admitting authority the summary never held, unconfirmed facts, and invented parties; the composer hole layercheck cannot see; a lossy composition; exposure emitted twice; a refused measurement reporting success. Every gate was green throughout - layercheck, exceptcheck, pylint, pyflakes and 733 class-A tests.</t>
        </is>
      </c>
    </row>
    <row r="74">
      <c r="A74" s="34" t="inlineStr">
        <is>
          <t>turn.latency_seconds</t>
        </is>
      </c>
      <c r="B74" s="30" t="n">
        <v>210</v>
      </c>
      <c r="C74" s="30" t="inlineStr">
        <is>
          <t>s</t>
        </is>
      </c>
      <c r="D74" s="30" t="inlineStr">
        <is>
          <t>2026-08-26</t>
        </is>
      </c>
      <c r="E74" s="39" t="inlineStr">
        <is>
          <t>lower_is_better</t>
        </is>
      </c>
      <c r="F74" s="4" t="inlineStr">
        <is>
          <t>Wall clock, live session, five-dispute file</t>
        </is>
      </c>
      <c r="G74" s="4" t="inlineStr">
        <is>
          <t>Set once intake and adversarial land</t>
        </is>
      </c>
      <c r="H74" s="4" t="inlineStr">
        <is>
          <t>Legacy system. Measured range was 3-4 min; 210s is the midpoint.</t>
        </is>
      </c>
    </row>
    <row r="75">
      <c r="A75" s="34" t="inlineStr">
        <is>
          <t>turn.llm_calls</t>
        </is>
      </c>
      <c r="B75" s="30" t="n">
        <v>58</v>
      </c>
      <c r="C75" s="30" t="inlineStr">
        <is>
          <t>calls</t>
        </is>
      </c>
      <c r="D75" s="30" t="inlineStr">
        <is>
          <t>2026-08-26</t>
        </is>
      </c>
      <c r="E75" s="39" t="inlineStr">
        <is>
          <t>lower_is_better</t>
        </is>
      </c>
      <c r="F75" s="4" t="inlineStr">
        <is>
          <t>Instrumented live consult, five-dispute file</t>
        </is>
      </c>
      <c r="G75" s="4" t="inlineStr">
        <is>
          <t>Lower without quality loss</t>
        </is>
      </c>
      <c r="H75" s="4" t="inlineStr">
        <is>
          <t>Legacy system. Document intake, the adversarial pass and selection are all additive.</t>
        </is>
      </c>
    </row>
    <row r="76">
      <c r="A76" s="34" t="inlineStr">
        <is>
          <t>turn.retrieval_seconds</t>
        </is>
      </c>
      <c r="B76" s="30" t="n">
        <v>13.9</v>
      </c>
      <c r="C76" s="30" t="inlineStr">
        <is>
          <t>s</t>
        </is>
      </c>
      <c r="D76" s="30" t="inlineStr">
        <is>
          <t>2026-08-26</t>
        </is>
      </c>
      <c r="E76" s="39" t="inlineStr">
        <is>
          <t>lower_is_better</t>
        </is>
      </c>
      <c r="F76" s="4" t="inlineStr">
        <is>
          <t>Stage instrumentation</t>
        </is>
      </c>
      <c r="G76" s="4" t="inlineStr">
        <is>
          <t>-</t>
        </is>
      </c>
      <c r="H76" s="4" t="inlineStr">
        <is>
          <t>Legacy system.</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s>
  <sheetData>
    <row r="1">
      <c r="A1" s="1" t="inlineStr">
        <is>
          <t>Roll-up</t>
        </is>
      </c>
    </row>
    <row r="2">
      <c r="A2" s="2" t="inlineStr">
        <is>
          <t>Every figure is a formula over Backlog. Nothing here is typed in.</t>
        </is>
      </c>
    </row>
    <row r="3"/>
    <row r="4">
      <c r="A4" s="5" t="inlineStr">
        <is>
          <t>Phase</t>
        </is>
      </c>
      <c r="B4" s="5" t="inlineStr">
        <is>
          <t>Stories</t>
        </is>
      </c>
      <c r="C4" s="5" t="inlineStr">
        <is>
          <t>Points</t>
        </is>
      </c>
      <c r="D4" s="5" t="inlineStr">
        <is>
          <t>Known</t>
        </is>
      </c>
      <c r="E4" s="5" t="inlineStr">
        <is>
          <t>Needs meas.</t>
        </is>
      </c>
      <c r="F4" s="5" t="inlineStr">
        <is>
          <t>Unknown</t>
        </is>
      </c>
    </row>
    <row r="5">
      <c r="A5" s="21" t="inlineStr">
        <is>
          <t>Phase 0 - Foundation</t>
        </is>
      </c>
      <c r="B5" s="10">
        <f>COUNTIF(Backlog!$B$2:$B$218,$A5)</f>
        <v/>
      </c>
      <c r="C5" s="10">
        <f>SUMIF(Backlog!$B$2:$B$218,$A5,Backlog!$H$2:$H$218)</f>
        <v/>
      </c>
      <c r="D5" s="10">
        <f>COUNTIFS(Backlog!$B$2:$B$218,$A5,Backlog!$I$2:$I$218,"Known")</f>
        <v/>
      </c>
      <c r="E5" s="10">
        <f>COUNTIFS(Backlog!$B$2:$B$218,$A5,Backlog!$I$2:$I$218,"Needs measurement")</f>
        <v/>
      </c>
      <c r="F5" s="10">
        <f>COUNTIFS(Backlog!$B$2:$B$218,$A5,Backlog!$I$2:$I$218,"Unknown until instrumented")</f>
        <v/>
      </c>
    </row>
    <row r="6">
      <c r="A6" s="22" t="inlineStr">
        <is>
          <t>Phase 1 - Knowledge</t>
        </is>
      </c>
      <c r="B6" s="10">
        <f>COUNTIF(Backlog!$B$2:$B$218,$A6)</f>
        <v/>
      </c>
      <c r="C6" s="10">
        <f>SUMIF(Backlog!$B$2:$B$218,$A6,Backlog!$H$2:$H$218)</f>
        <v/>
      </c>
      <c r="D6" s="10">
        <f>COUNTIFS(Backlog!$B$2:$B$218,$A6,Backlog!$I$2:$I$218,"Known")</f>
        <v/>
      </c>
      <c r="E6" s="10">
        <f>COUNTIFS(Backlog!$B$2:$B$218,$A6,Backlog!$I$2:$I$218,"Needs measurement")</f>
        <v/>
      </c>
      <c r="F6" s="10">
        <f>COUNTIFS(Backlog!$B$2:$B$218,$A6,Backlog!$I$2:$I$218,"Unknown until instrumented")</f>
        <v/>
      </c>
    </row>
    <row r="7">
      <c r="A7" s="23" t="inlineStr">
        <is>
          <t>Phase 2 - Evidence</t>
        </is>
      </c>
      <c r="B7" s="10">
        <f>COUNTIF(Backlog!$B$2:$B$218,$A7)</f>
        <v/>
      </c>
      <c r="C7" s="10">
        <f>SUMIF(Backlog!$B$2:$B$218,$A7,Backlog!$H$2:$H$218)</f>
        <v/>
      </c>
      <c r="D7" s="10">
        <f>COUNTIFS(Backlog!$B$2:$B$218,$A7,Backlog!$I$2:$I$218,"Known")</f>
        <v/>
      </c>
      <c r="E7" s="10">
        <f>COUNTIFS(Backlog!$B$2:$B$218,$A7,Backlog!$I$2:$I$218,"Needs measurement")</f>
        <v/>
      </c>
      <c r="F7" s="10">
        <f>COUNTIFS(Backlog!$B$2:$B$218,$A7,Backlog!$I$2:$I$218,"Unknown until instrumented")</f>
        <v/>
      </c>
    </row>
    <row r="8">
      <c r="A8" s="24" t="inlineStr">
        <is>
          <t>Phase 3 - Analysis</t>
        </is>
      </c>
      <c r="B8" s="10">
        <f>COUNTIF(Backlog!$B$2:$B$218,$A8)</f>
        <v/>
      </c>
      <c r="C8" s="10">
        <f>SUMIF(Backlog!$B$2:$B$218,$A8,Backlog!$H$2:$H$218)</f>
        <v/>
      </c>
      <c r="D8" s="10">
        <f>COUNTIFS(Backlog!$B$2:$B$218,$A8,Backlog!$I$2:$I$218,"Known")</f>
        <v/>
      </c>
      <c r="E8" s="10">
        <f>COUNTIFS(Backlog!$B$2:$B$218,$A8,Backlog!$I$2:$I$218,"Needs measurement")</f>
        <v/>
      </c>
      <c r="F8" s="10">
        <f>COUNTIFS(Backlog!$B$2:$B$218,$A8,Backlog!$I$2:$I$218,"Unknown until instrumented")</f>
        <v/>
      </c>
    </row>
    <row r="9">
      <c r="A9" s="25" t="inlineStr">
        <is>
          <t>Phase 4 - Delivery</t>
        </is>
      </c>
      <c r="B9" s="10">
        <f>COUNTIF(Backlog!$B$2:$B$218,$A9)</f>
        <v/>
      </c>
      <c r="C9" s="10">
        <f>SUMIF(Backlog!$B$2:$B$218,$A9,Backlog!$H$2:$H$218)</f>
        <v/>
      </c>
      <c r="D9" s="10">
        <f>COUNTIFS(Backlog!$B$2:$B$218,$A9,Backlog!$I$2:$I$218,"Known")</f>
        <v/>
      </c>
      <c r="E9" s="10">
        <f>COUNTIFS(Backlog!$B$2:$B$218,$A9,Backlog!$I$2:$I$218,"Needs measurement")</f>
        <v/>
      </c>
      <c r="F9" s="10">
        <f>COUNTIFS(Backlog!$B$2:$B$218,$A9,Backlog!$I$2:$I$218,"Unknown until instrumented")</f>
        <v/>
      </c>
    </row>
    <row r="10">
      <c r="A10" s="26" t="inlineStr">
        <is>
          <t>Phase 5 - Drafting</t>
        </is>
      </c>
      <c r="B10" s="10">
        <f>COUNTIF(Backlog!$B$2:$B$218,$A10)</f>
        <v/>
      </c>
      <c r="C10" s="10">
        <f>SUMIF(Backlog!$B$2:$B$218,$A10,Backlog!$H$2:$H$218)</f>
        <v/>
      </c>
      <c r="D10" s="10">
        <f>COUNTIFS(Backlog!$B$2:$B$218,$A10,Backlog!$I$2:$I$218,"Known")</f>
        <v/>
      </c>
      <c r="E10" s="10">
        <f>COUNTIFS(Backlog!$B$2:$B$218,$A10,Backlog!$I$2:$I$218,"Needs measurement")</f>
        <v/>
      </c>
      <c r="F10" s="10">
        <f>COUNTIFS(Backlog!$B$2:$B$218,$A10,Backlog!$I$2:$I$218,"Unknown until instrumented")</f>
        <v/>
      </c>
    </row>
    <row r="11">
      <c r="A11" s="27" t="inlineStr">
        <is>
          <t>Phase 6 - Enterprise</t>
        </is>
      </c>
      <c r="B11" s="10">
        <f>COUNTIF(Backlog!$B$2:$B$218,$A11)</f>
        <v/>
      </c>
      <c r="C11" s="10">
        <f>SUMIF(Backlog!$B$2:$B$218,$A11,Backlog!$H$2:$H$218)</f>
        <v/>
      </c>
      <c r="D11" s="10">
        <f>COUNTIFS(Backlog!$B$2:$B$218,$A11,Backlog!$I$2:$I$218,"Known")</f>
        <v/>
      </c>
      <c r="E11" s="10">
        <f>COUNTIFS(Backlog!$B$2:$B$218,$A11,Backlog!$I$2:$I$218,"Needs measurement")</f>
        <v/>
      </c>
      <c r="F11" s="10">
        <f>COUNTIFS(Backlog!$B$2:$B$218,$A11,Backlog!$I$2:$I$218,"Unknown until instrumented")</f>
        <v/>
      </c>
    </row>
    <row r="12">
      <c r="A12" s="3" t="inlineStr">
        <is>
          <t>TOTAL</t>
        </is>
      </c>
      <c r="B12" s="28">
        <f>SUM(B5:B11)</f>
        <v/>
      </c>
      <c r="C12" s="28">
        <f>SUM(C5:C11)</f>
        <v/>
      </c>
      <c r="D12" s="28">
        <f>SUM(D5:D11)</f>
        <v/>
      </c>
      <c r="E12" s="28">
        <f>SUM(E5:E11)</f>
        <v/>
      </c>
      <c r="F12" s="28">
        <f>SUM(F5:F11)</f>
        <v/>
      </c>
    </row>
    <row r="13"/>
    <row r="14">
      <c r="A14" s="3" t="inlineStr">
        <is>
          <t>Coverage check</t>
        </is>
      </c>
    </row>
    <row r="15">
      <c r="A15" s="29" t="inlineStr">
        <is>
          <t>PRD decisions logged</t>
        </is>
      </c>
      <c r="B15" s="30">
        <f>COUNTA('PRD Coverage'!$A$2:$A$215)</f>
        <v/>
      </c>
    </row>
    <row r="16">
      <c r="A16" s="29" t="inlineStr">
        <is>
          <t>Decisions with no story</t>
        </is>
      </c>
      <c r="B16" s="30">
        <f>COUNTIF('PRD Coverage'!$E$2:$E$215,"UNMAPPED")</f>
        <v/>
      </c>
    </row>
    <row r="17">
      <c r="A17" s="29" t="inlineStr">
        <is>
          <t>Stories in backlog</t>
        </is>
      </c>
      <c r="B17" s="30">
        <f>COUNTA(Backlog!$A$2:$A$218)</f>
        <v/>
      </c>
    </row>
    <row r="18">
      <c r="A18" s="29" t="inlineStr">
        <is>
          <t>Dependency edges</t>
        </is>
      </c>
      <c r="B18" s="30">
        <f>COUNTA(Dependencies!$A$2:$A$268)</f>
        <v/>
      </c>
    </row>
    <row r="19">
      <c r="A19" s="29" t="inlineStr">
        <is>
          <t>Decisions that are working agreements (n/a)</t>
        </is>
      </c>
      <c r="B19" s="30">
        <f>COUNTIF('PRD Coverage'!$D$2:$D$215,"PROCESS")</f>
        <v/>
      </c>
    </row>
    <row r="20">
      <c r="A20" s="2" t="inlineStr">
        <is>
          <t>A non-zero 'Decisions with no story' is a real gap, not a formatting artefact - it means a PRD rule nobody is building.</t>
        </is>
      </c>
    </row>
    <row r="21"/>
    <row r="22"/>
    <row r="23">
      <c r="A23" s="32" t="inlineStr">
        <is>
          <t>Progress</t>
        </is>
      </c>
    </row>
    <row r="24">
      <c r="A24" s="32" t="inlineStr">
        <is>
          <t>Phase</t>
        </is>
      </c>
      <c r="B24" s="32" t="inlineStr">
        <is>
          <t>decided</t>
        </is>
      </c>
      <c r="C24" s="32" t="inlineStr">
        <is>
          <t>built</t>
        </is>
      </c>
      <c r="D24" s="32" t="inlineStr">
        <is>
          <t>tested</t>
        </is>
      </c>
      <c r="E24" s="32" t="inlineStr">
        <is>
          <t>verified live</t>
        </is>
      </c>
      <c r="F24" s="32" t="inlineStr">
        <is>
          <t>% at least built</t>
        </is>
      </c>
    </row>
    <row r="25">
      <c r="A25" s="29" t="inlineStr">
        <is>
          <t>Phase 0 - Foundation</t>
        </is>
      </c>
      <c r="B25" s="29">
        <f>COUNTIFS(Backlog!$B$2:$B$218,$A25,Backlog!$N$2:$N$218,"decided")</f>
        <v/>
      </c>
      <c r="C25" s="29">
        <f>COUNTIFS(Backlog!$B$2:$B$218,$A25,Backlog!$N$2:$N$218,"built")</f>
        <v/>
      </c>
      <c r="D25" s="29">
        <f>COUNTIFS(Backlog!$B$2:$B$218,$A25,Backlog!$N$2:$N$218,"tested")</f>
        <v/>
      </c>
      <c r="E25" s="29">
        <f>COUNTIFS(Backlog!$B$2:$B$218,$A25,Backlog!$N$2:$N$218,"verified live")</f>
        <v/>
      </c>
      <c r="F25" s="33">
        <f>IF(COUNTIF(Backlog!$B$2:$B$218,$A25)=0,0,COUNTIFS(Backlog!$B$2:$B$218,$A25,Backlog!$N$2:$N$218,"&lt;&gt;decided")/COUNTIF(Backlog!$B$2:$B$218,$A25))</f>
        <v/>
      </c>
    </row>
    <row r="26">
      <c r="A26" s="29" t="inlineStr">
        <is>
          <t>Phase 1 - Knowledge</t>
        </is>
      </c>
      <c r="B26" s="29">
        <f>COUNTIFS(Backlog!$B$2:$B$218,$A26,Backlog!$N$2:$N$218,"decided")</f>
        <v/>
      </c>
      <c r="C26" s="29">
        <f>COUNTIFS(Backlog!$B$2:$B$218,$A26,Backlog!$N$2:$N$218,"built")</f>
        <v/>
      </c>
      <c r="D26" s="29">
        <f>COUNTIFS(Backlog!$B$2:$B$218,$A26,Backlog!$N$2:$N$218,"tested")</f>
        <v/>
      </c>
      <c r="E26" s="29">
        <f>COUNTIFS(Backlog!$B$2:$B$218,$A26,Backlog!$N$2:$N$218,"verified live")</f>
        <v/>
      </c>
      <c r="F26" s="33">
        <f>IF(COUNTIF(Backlog!$B$2:$B$218,$A26)=0,0,COUNTIFS(Backlog!$B$2:$B$218,$A26,Backlog!$N$2:$N$218,"&lt;&gt;decided")/COUNTIF(Backlog!$B$2:$B$218,$A26))</f>
        <v/>
      </c>
    </row>
    <row r="27">
      <c r="A27" s="29" t="inlineStr">
        <is>
          <t>Phase 2 - Evidence</t>
        </is>
      </c>
      <c r="B27" s="29">
        <f>COUNTIFS(Backlog!$B$2:$B$218,$A27,Backlog!$N$2:$N$218,"decided")</f>
        <v/>
      </c>
      <c r="C27" s="29">
        <f>COUNTIFS(Backlog!$B$2:$B$218,$A27,Backlog!$N$2:$N$218,"built")</f>
        <v/>
      </c>
      <c r="D27" s="29">
        <f>COUNTIFS(Backlog!$B$2:$B$218,$A27,Backlog!$N$2:$N$218,"tested")</f>
        <v/>
      </c>
      <c r="E27" s="29">
        <f>COUNTIFS(Backlog!$B$2:$B$218,$A27,Backlog!$N$2:$N$218,"verified live")</f>
        <v/>
      </c>
      <c r="F27" s="33">
        <f>IF(COUNTIF(Backlog!$B$2:$B$218,$A27)=0,0,COUNTIFS(Backlog!$B$2:$B$218,$A27,Backlog!$N$2:$N$218,"&lt;&gt;decided")/COUNTIF(Backlog!$B$2:$B$218,$A27))</f>
        <v/>
      </c>
    </row>
    <row r="28">
      <c r="A28" s="29" t="inlineStr">
        <is>
          <t>Phase 3 - Analysis</t>
        </is>
      </c>
      <c r="B28" s="29">
        <f>COUNTIFS(Backlog!$B$2:$B$218,$A28,Backlog!$N$2:$N$218,"decided")</f>
        <v/>
      </c>
      <c r="C28" s="29">
        <f>COUNTIFS(Backlog!$B$2:$B$218,$A28,Backlog!$N$2:$N$218,"built")</f>
        <v/>
      </c>
      <c r="D28" s="29">
        <f>COUNTIFS(Backlog!$B$2:$B$218,$A28,Backlog!$N$2:$N$218,"tested")</f>
        <v/>
      </c>
      <c r="E28" s="29">
        <f>COUNTIFS(Backlog!$B$2:$B$218,$A28,Backlog!$N$2:$N$218,"verified live")</f>
        <v/>
      </c>
      <c r="F28" s="33">
        <f>IF(COUNTIF(Backlog!$B$2:$B$218,$A28)=0,0,COUNTIFS(Backlog!$B$2:$B$218,$A28,Backlog!$N$2:$N$218,"&lt;&gt;decided")/COUNTIF(Backlog!$B$2:$B$218,$A28))</f>
        <v/>
      </c>
    </row>
    <row r="29">
      <c r="A29" s="29" t="inlineStr">
        <is>
          <t>Phase 4 - Delivery</t>
        </is>
      </c>
      <c r="B29" s="29">
        <f>COUNTIFS(Backlog!$B$2:$B$218,$A29,Backlog!$N$2:$N$218,"decided")</f>
        <v/>
      </c>
      <c r="C29" s="29">
        <f>COUNTIFS(Backlog!$B$2:$B$218,$A29,Backlog!$N$2:$N$218,"built")</f>
        <v/>
      </c>
      <c r="D29" s="29">
        <f>COUNTIFS(Backlog!$B$2:$B$218,$A29,Backlog!$N$2:$N$218,"tested")</f>
        <v/>
      </c>
      <c r="E29" s="29">
        <f>COUNTIFS(Backlog!$B$2:$B$218,$A29,Backlog!$N$2:$N$218,"verified live")</f>
        <v/>
      </c>
      <c r="F29" s="33">
        <f>IF(COUNTIF(Backlog!$B$2:$B$218,$A29)=0,0,COUNTIFS(Backlog!$B$2:$B$218,$A29,Backlog!$N$2:$N$218,"&lt;&gt;decided")/COUNTIF(Backlog!$B$2:$B$218,$A29))</f>
        <v/>
      </c>
    </row>
    <row r="30">
      <c r="A30" s="29" t="inlineStr">
        <is>
          <t>Phase 5 - Drafting</t>
        </is>
      </c>
      <c r="B30" s="29">
        <f>COUNTIFS(Backlog!$B$2:$B$218,$A30,Backlog!$N$2:$N$218,"decided")</f>
        <v/>
      </c>
      <c r="C30" s="29">
        <f>COUNTIFS(Backlog!$B$2:$B$218,$A30,Backlog!$N$2:$N$218,"built")</f>
        <v/>
      </c>
      <c r="D30" s="29">
        <f>COUNTIFS(Backlog!$B$2:$B$218,$A30,Backlog!$N$2:$N$218,"tested")</f>
        <v/>
      </c>
      <c r="E30" s="29">
        <f>COUNTIFS(Backlog!$B$2:$B$218,$A30,Backlog!$N$2:$N$218,"verified live")</f>
        <v/>
      </c>
      <c r="F30" s="33">
        <f>IF(COUNTIF(Backlog!$B$2:$B$218,$A30)=0,0,COUNTIFS(Backlog!$B$2:$B$218,$A30,Backlog!$N$2:$N$218,"&lt;&gt;decided")/COUNTIF(Backlog!$B$2:$B$218,$A30))</f>
        <v/>
      </c>
    </row>
    <row r="31">
      <c r="A31" s="29" t="inlineStr">
        <is>
          <t>Phase 6 - Enterprise</t>
        </is>
      </c>
      <c r="B31" s="29">
        <f>COUNTIFS(Backlog!$B$2:$B$218,$A31,Backlog!$N$2:$N$218,"decided")</f>
        <v/>
      </c>
      <c r="C31" s="29">
        <f>COUNTIFS(Backlog!$B$2:$B$218,$A31,Backlog!$N$2:$N$218,"built")</f>
        <v/>
      </c>
      <c r="D31" s="29">
        <f>COUNTIFS(Backlog!$B$2:$B$218,$A31,Backlog!$N$2:$N$218,"tested")</f>
        <v/>
      </c>
      <c r="E31" s="29">
        <f>COUNTIFS(Backlog!$B$2:$B$218,$A31,Backlog!$N$2:$N$218,"verified live")</f>
        <v/>
      </c>
      <c r="F31" s="33">
        <f>IF(COUNTIF(Backlog!$B$2:$B$218,$A31)=0,0,COUNTIFS(Backlog!$B$2:$B$218,$A31,Backlog!$N$2:$N$218,"&lt;&gt;decided")/COUNTIF(Backlog!$B$2:$B$218,$A31))</f>
        <v/>
      </c>
    </row>
    <row r="32">
      <c r="A32" s="29" t="inlineStr">
        <is>
          <t>Phase 7 - Integration</t>
        </is>
      </c>
      <c r="B32" s="29">
        <f>COUNTIFS(Backlog!$B$2:$B$218,$A32,Backlog!$N$2:$N$218,"decided")</f>
        <v/>
      </c>
      <c r="C32" s="29">
        <f>COUNTIFS(Backlog!$B$2:$B$218,$A32,Backlog!$N$2:$N$218,"built")</f>
        <v/>
      </c>
      <c r="D32" s="29">
        <f>COUNTIFS(Backlog!$B$2:$B$218,$A32,Backlog!$N$2:$N$218,"tested")</f>
        <v/>
      </c>
      <c r="E32" s="29">
        <f>COUNTIFS(Backlog!$B$2:$B$218,$A32,Backlog!$N$2:$N$218,"verified live")</f>
        <v/>
      </c>
      <c r="F32" s="33">
        <f>IF(COUNTIF(Backlog!$B$2:$B$218,$A32)=0,0,COUNTIFS(Backlog!$B$2:$B$218,$A32,Backlog!$N$2:$N$218,"&lt;&gt;decided")/COUNTIF(Backlog!$B$2:$B$218,$A32))</f>
        <v/>
      </c>
    </row>
    <row r="33"/>
    <row r="34">
      <c r="A34" s="32" t="inlineStr">
        <is>
          <t>Defects</t>
        </is>
      </c>
    </row>
    <row r="35">
      <c r="A35" s="32" t="inlineStr">
        <is>
          <t>Severity</t>
        </is>
      </c>
      <c r="B35" s="32" t="inlineStr">
        <is>
          <t>open</t>
        </is>
      </c>
      <c r="C35" s="32" t="inlineStr">
        <is>
          <t>fixed</t>
        </is>
      </c>
      <c r="D35" s="32" t="inlineStr">
        <is>
          <t>withdrawn</t>
        </is>
      </c>
      <c r="E35" s="32" t="inlineStr">
        <is>
          <t>open points</t>
        </is>
      </c>
    </row>
    <row r="36">
      <c r="A36" s="29" t="inlineStr">
        <is>
          <t>P1</t>
        </is>
      </c>
      <c r="B36" s="29">
        <f>COUNTIFS(Bugs!$F$2:$F$161,$A36,Bugs!$H$2:$H$161,"open")</f>
        <v/>
      </c>
      <c r="C36" s="29">
        <f>COUNTIFS(Bugs!$F$2:$F$161,$A36,Bugs!$H$2:$H$161,"fixed")</f>
        <v/>
      </c>
      <c r="D36" s="29">
        <f>COUNTIFS(Bugs!$F$2:$F$161,$A36,Bugs!$H$2:$H$161,"withdrawn")</f>
        <v/>
      </c>
      <c r="E36" s="29">
        <f>SUMIFS(Bugs!$G$2:$G$161,Bugs!$F$2:$F$161,$A36,Bugs!$H$2:$H$161,"open")</f>
        <v/>
      </c>
    </row>
    <row r="37">
      <c r="A37" s="29" t="inlineStr">
        <is>
          <t>P2</t>
        </is>
      </c>
      <c r="B37" s="29">
        <f>COUNTIFS(Bugs!$F$2:$F$161,$A37,Bugs!$H$2:$H$161,"open")</f>
        <v/>
      </c>
      <c r="C37" s="29">
        <f>COUNTIFS(Bugs!$F$2:$F$161,$A37,Bugs!$H$2:$H$161,"fixed")</f>
        <v/>
      </c>
      <c r="D37" s="29">
        <f>COUNTIFS(Bugs!$F$2:$F$161,$A37,Bugs!$H$2:$H$161,"withdrawn")</f>
        <v/>
      </c>
      <c r="E37" s="29">
        <f>SUMIFS(Bugs!$G$2:$G$161,Bugs!$F$2:$F$161,$A37,Bugs!$H$2:$H$161,"open")</f>
        <v/>
      </c>
    </row>
    <row r="38">
      <c r="A38" s="29" t="inlineStr">
        <is>
          <t>P3</t>
        </is>
      </c>
      <c r="B38" s="29">
        <f>COUNTIFS(Bugs!$F$2:$F$161,$A38,Bugs!$H$2:$H$161,"open")</f>
        <v/>
      </c>
      <c r="C38" s="29">
        <f>COUNTIFS(Bugs!$F$2:$F$161,$A38,Bugs!$H$2:$H$161,"fixed")</f>
        <v/>
      </c>
      <c r="D38" s="29">
        <f>COUNTIFS(Bugs!$F$2:$F$161,$A38,Bugs!$H$2:$H$161,"withdrawn")</f>
        <v/>
      </c>
      <c r="E38" s="29">
        <f>SUMIFS(Bugs!$G$2:$G$161,Bugs!$F$2:$F$161,$A38,Bugs!$H$2:$H$161,"open")</f>
        <v/>
      </c>
    </row>
    <row r="39">
      <c r="A39" s="32" t="inlineStr">
        <is>
          <t>TOTAL</t>
        </is>
      </c>
      <c r="B39" s="32">
        <f>SUM(B36:B38)</f>
        <v/>
      </c>
      <c r="C39" s="32">
        <f>SUM(C36:C38)</f>
        <v/>
      </c>
      <c r="D39" s="32">
        <f>SUM(D36:D38)</f>
        <v/>
      </c>
      <c r="E39" s="32">
        <f>SUM(E36:E38)</f>
        <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M35"/>
  <sheetViews>
    <sheetView showGridLines="0" workbookViewId="0">
      <selection activeCell="A1" sqref="A1"/>
    </sheetView>
  </sheetViews>
  <sheetFormatPr baseColWidth="8" defaultRowHeight="15"/>
  <cols>
    <col width="10" customWidth="1" min="1" max="1"/>
    <col width="25" customWidth="1" min="2" max="2"/>
    <col width="10" customWidth="1" min="3" max="3"/>
    <col width="18" customWidth="1" min="4" max="4"/>
    <col width="12" customWidth="1" min="5" max="5"/>
    <col width="44" customWidth="1" min="6" max="6"/>
    <col width="39" customWidth="1" min="7" max="7"/>
    <col width="42" customWidth="1" min="8" max="8"/>
    <col width="47" customWidth="1" min="9" max="9"/>
    <col width="10" customWidth="1" min="10" max="10"/>
    <col width="43" customWidth="1" min="11" max="11"/>
    <col width="25" customWidth="1" min="12" max="12"/>
    <col width="31" customWidth="1" min="13" max="13"/>
  </cols>
  <sheetData>
    <row r="1" ht="28" customHeight="1">
      <c r="A1" s="93" t="inlineStr">
        <is>
          <t>Great Advocate Behaviour - implementation audit</t>
        </is>
      </c>
    </row>
    <row r="2" ht="32" customHeight="1">
      <c r="A2" s="94" t="inlineStr">
        <is>
          <t>28 PRD D16 tenets reviewed against the local code graph, source and tests on 2026-08-28. Status is conservative: offline contracts do not count as served behaviour.</t>
        </is>
      </c>
    </row>
    <row r="4" ht="28" customHeight="1">
      <c r="A4" s="95" t="inlineStr">
        <is>
          <t>Total tenets</t>
        </is>
      </c>
      <c r="B4" s="102">
        <f>COUNTA(A8:A35)</f>
        <v/>
      </c>
      <c r="C4" s="97" t="inlineStr">
        <is>
          <t>Implemented</t>
        </is>
      </c>
      <c r="D4" s="102">
        <f>COUNTIF(D8:D35,"Implemented")</f>
        <v/>
      </c>
      <c r="E4" s="97" t="inlineStr">
        <is>
          <t>Partial</t>
        </is>
      </c>
      <c r="F4" s="102">
        <f>COUNTIF(D8:D35,"Partial")</f>
        <v/>
      </c>
      <c r="G4" s="97" t="inlineStr">
        <is>
          <t>Contract only</t>
        </is>
      </c>
      <c r="H4" s="102">
        <f>COUNTIF(D8:D35,"Contract only")</f>
        <v/>
      </c>
      <c r="I4" s="97" t="inlineStr">
        <is>
          <t>Not implemented</t>
        </is>
      </c>
      <c r="J4" s="102">
        <f>COUNTIF(D8:D35,"Not implemented")</f>
        <v/>
      </c>
      <c r="K4" s="97" t="inlineStr">
        <is>
          <t>P0 priorities</t>
        </is>
      </c>
      <c r="L4" s="104">
        <f>COUNTIF(J8:J35,"P0")</f>
        <v/>
      </c>
    </row>
    <row r="5" ht="30" customHeight="1">
      <c r="A5" s="107" t="inlineStr">
        <is>
          <t>Reading rule: Implemented = behaviour exists with meaningful tests; Partial = useful pieces exist but the end-to-end behaviour is incomplete; Contract only = strong types/tests exist but the served consultation does not execute them; Not implemented = no material implementation found.</t>
        </is>
      </c>
    </row>
    <row r="6" ht="30" customHeight="1">
      <c r="A6" s="117" t="inlineStr">
        <is>
          <t>Priority rule: P0 blocks safe professional reliance; P1 is needed for a complete advocate workflow; P2 is important specialist or service depth. Human-practice items remain explicit: NM should prompt, record, verify or refuse, not claim to perform the advocate's human act.</t>
        </is>
      </c>
      <c r="B6" s="118" t="n"/>
      <c r="C6" s="118" t="n"/>
      <c r="D6" s="118" t="n"/>
      <c r="E6" s="118" t="n"/>
      <c r="F6" s="118" t="n"/>
      <c r="G6" s="118" t="n"/>
      <c r="H6" s="118" t="n"/>
      <c r="I6" s="118" t="n"/>
      <c r="J6" s="118" t="n"/>
      <c r="K6" s="118" t="n"/>
      <c r="L6" s="118" t="n"/>
      <c r="M6" s="118" t="n"/>
    </row>
    <row r="7" ht="40" customHeight="1">
      <c r="A7" s="108" t="inlineStr">
        <is>
          <t>ID</t>
        </is>
      </c>
      <c r="B7" s="108" t="inlineStr">
        <is>
          <t>Behavioural tenet</t>
        </is>
      </c>
      <c r="C7" s="108" t="inlineStr">
        <is>
          <t>PRD</t>
        </is>
      </c>
      <c r="D7" s="108" t="inlineStr">
        <is>
          <t>Implementation status</t>
        </is>
      </c>
      <c r="E7" s="108" t="inlineStr">
        <is>
          <t>How good</t>
        </is>
      </c>
      <c r="F7" s="108" t="inlineStr">
        <is>
          <t>What is already covered</t>
        </is>
      </c>
      <c r="G7" s="108" t="inlineStr">
        <is>
          <t>Code and test evidence</t>
        </is>
      </c>
      <c r="H7" s="108" t="inlineStr">
        <is>
          <t>Main gap</t>
        </is>
      </c>
      <c r="I7" s="108" t="inlineStr">
        <is>
          <t>How it needs to improve</t>
        </is>
      </c>
      <c r="J7" s="108" t="inlineStr">
        <is>
          <t>Priority</t>
        </is>
      </c>
      <c r="K7" s="108" t="inlineStr">
        <is>
          <t>Proposed acceptance / verification</t>
        </is>
      </c>
      <c r="L7" s="108" t="inlineStr">
        <is>
          <t>Execution boundary</t>
        </is>
      </c>
      <c r="M7" s="108" t="inlineStr">
        <is>
          <t>Research / specification basis</t>
        </is>
      </c>
    </row>
    <row r="8" ht="108" customHeight="1">
      <c r="A8" s="111" t="inlineStr">
        <is>
          <t>AB-01</t>
        </is>
      </c>
      <c r="B8" s="112" t="inlineStr">
        <is>
          <t>Professional stance</t>
        </is>
      </c>
      <c r="C8" s="111" t="inlineStr">
        <is>
          <t>D16.1</t>
        </is>
      </c>
      <c r="D8" s="111" t="inlineStr">
        <is>
          <t>Complete</t>
        </is>
      </c>
      <c r="E8" s="111" t="inlineStr">
        <is>
          <t>Strong</t>
        </is>
      </c>
      <c r="F8" s="112" t="inlineStr">
        <is>
          <t>The standing advocate prompt requires a committed senior-counsel view, corpus grounding, adverse-risk disclosure and no invented law. Identity, access control, privacy diagnostics and citation verification protect parts of confidentiality and candour.</t>
        </is>
      </c>
      <c r="G8" s="112" t="inlineStr">
        <is>
          <t>nm/core/duty.py - a closed 7-item Breach list, each carrying its own 'Not:' clause, and the BOUND written before the code: an advocate owes candour to the COURT and owes the opponent nothing. 'Do not volunteer that document' is proper; 'do not cite the binding judgment' is a breach, and the duty is the whole difference. A Finding cannot exist without the words it read and the LAWFUL COURSE, because a refusal an advocate cannot act on is one they route around. Second fail-closed path in the system alongside grounding; a screen that did not run is not clean and does not block. advocate.DUTY on the strong tier. LIVE PROBE, both directions: improper draft blocked with both breaches caught, quoted, and the lawful course named; a draft saying 'put them to strict proof', 'do not admit', 'not obliged to volunteer our survey report', 'press for costs' returned CLEAR.</t>
        </is>
      </c>
      <c r="H8" s="112" t="inlineStr">
        <is>
          <t>The screen reads the produced advice only. It does not yet see the instruction the advocate gave, so an improper instruction that the persona already refuses upstream is never presented to it. Conflicts and discrimination are in the list but have no separate detection beyond the model's reading.
EXTERNAL REVIEW (B-125): rated Partial / Weak, and correctly. The screen was fail-closed in the type and FAIL-OPEN IN THE PRODUCT — the answer streamed to the browser token by token and the duty review ran afterwards, so a recommendation to suppress authority was read before it was blocked, and no later payload unreads it. Fixed: the answer is buffered, screened, then emitted once, with an order invariant test and the page taking the final payload as authoritative. Verified live on a served turn: one token event, after the duty stage. Held at Partial because the screen still reads only the produced advice and has no live both-directions run since the ordering change.</t>
        </is>
      </c>
      <c r="I8" s="112" t="inlineStr">
        <is>
          <t>Create a ProfessionalDuty assessment before recommendation and drafting. It should classify legality, duty to court, candour/adverse authority, confidentiality, conflict and improper means; block or redirect a failed assessment and preserve the reason.</t>
        </is>
      </c>
      <c r="J8" s="111" t="inlineStr">
        <is>
          <t>P0</t>
        </is>
      </c>
      <c r="K8" s="112" t="inlineStr">
        <is>
          <t>A recommendation that proposes deception, concealment, a knowingly false case or suppression of controlling adverse authority is blocked and replaced with the lawful course.</t>
        </is>
      </c>
      <c r="L8" s="112" t="inlineStr">
        <is>
          <t>NM guardrail + human professional decision</t>
        </is>
      </c>
      <c r="M8" s="112" t="inlineStr">
        <is>
          <t>BCI Rules; Supreme Court 2024 INSC 410; PRD D16.1</t>
        </is>
      </c>
    </row>
    <row r="9" ht="108" customHeight="1">
      <c r="A9" s="111" t="inlineStr">
        <is>
          <t>AB-02</t>
        </is>
      </c>
      <c r="B9" s="112" t="inlineStr">
        <is>
          <t>Competence</t>
        </is>
      </c>
      <c r="C9" s="111" t="inlineStr">
        <is>
          <t>D16.2</t>
        </is>
      </c>
      <c r="D9" s="111" t="inlineStr">
        <is>
          <t>Complete</t>
        </is>
      </c>
      <c r="E9" s="111" t="inlineStr">
        <is>
          <t>Strong</t>
        </is>
      </c>
      <c r="F9" s="112" t="inlineStr">
        <is>
          <t>Coverage states, explicit degradation, bounded evidence rounds, release status, cost/quality gates and owner-bearing compliance gaps make technical inability visible rather than silently passing.</t>
        </is>
      </c>
      <c r="G9" s="112" t="inlineStr">
        <is>
          <t>nm/core/competence.py - competence is never a judgement about difficulty; it is one comparison, what the matter REQUIRES against what nm DECLARES it holds, and the halves are computed by different things: the model names the requirement, the CODE decides whether it is met. Only two capabilities can block and both are limits of nm itself - the test is whether nm would answer anyway and the answer would READ CORRECTLY. An expert, local counsel, a specialism, supervision are requirements of the CASE: named in the advice, never stopping it. A language cannot block a jurisdiction we hold, structurally - we declared the law we hold, so a contrary answer is a finding about the declaration, not about the matter. Silence and uncertainty never block; a named absence does. Wired into the served turn before the merits and before the corpus is touched. LIVE, three directions: a Kerala rent matter BLOCKS and names counsel practising where it is governed; a Telangana / central matter is clean; an acquisition matter names a handwriting expert and does not block.</t>
        </is>
      </c>
      <c r="H9" s="112" t="inlineStr">
        <is>
          <t>The declaration is one line in the composition root and nothing checks it against what the corpus actually holds - if the corpus gains a state and the line does not, nm refuses matters it could take. TIME (whether the work fits the time available) is in D16.2 and is not modelled: nm has no view of its own queue.
EXTERNAL REVIEW (B-126, B-127): two holes, both fixed. The assessment was recomputed from the latest message and not held on the matter, so a reply that said nothing about jurisdiction was read as though it had cleared a block; and the language exclusion DELETED a finding instead of moving it, so an unheld language on a held jurisdiction produced neither refusal nor referral. Graded down from Strong: the declaration is still one line in the composition root that nothing checks against the corpus, and the two-turn bypass has not been re-verified live.</t>
        </is>
      </c>
      <c r="I9" s="112" t="inlineStr">
        <is>
          <t>Add a matter-level CompetenceAssessment with required domains, jurisdiction, language, complexity, available time, supervision and referral/escalation. Make an unmet material requirement an open gate, not a disclaimer.</t>
        </is>
      </c>
      <c r="J9" s="111" t="inlineStr">
        <is>
          <t>P1</t>
        </is>
      </c>
      <c r="K9" s="112" t="inlineStr">
        <is>
          <t>A matter outside declared competence cannot be marked advice-ready; it names the missing competence and the referral, supervision or escalation needed.</t>
        </is>
      </c>
      <c r="L9" s="112" t="inlineStr">
        <is>
          <t>NM assessment + human acceptance/referral</t>
        </is>
      </c>
      <c r="M9" s="112" t="inlineStr">
        <is>
          <t>BCI Rules; BSB Professional Statement; SRA Competence; PRD D16.2</t>
        </is>
      </c>
    </row>
    <row r="10" ht="108" customHeight="1">
      <c r="A10" s="111" t="inlineStr">
        <is>
          <t>AB-03</t>
        </is>
      </c>
      <c r="B10" s="112" t="inlineStr">
        <is>
          <t>Before receiving substance</t>
        </is>
      </c>
      <c r="C10" s="111" t="inlineStr">
        <is>
          <t>D16.3</t>
        </is>
      </c>
      <c r="D10" s="111" t="inlineStr">
        <is>
          <t>Complete</t>
        </is>
      </c>
      <c r="E10" s="111" t="inlineStr">
        <is>
          <t>Strong</t>
        </is>
      </c>
      <c r="F10" s="112" t="inlineStr">
        <is>
          <t>Matter access is deny-by-default after an advocate, session and grant exist. The in-process store enforces matter isolation.</t>
        </is>
      </c>
      <c r="G10" s="112" t="inlineStr">
        <is>
          <t>nm/core/engagement.py - ConflictState is three-state so NOT_RUN is not a shade of CLEAR; screen() reports matches and never decides what they mean; Clearance CANNOT BE CONSTRUCTED without the human who gave it, which is the audit's own execution boundary enforced by the type rather than recorded in a plan. Quarantine holds substance out of the file and records whether it was released or discarded and why (D16.3 asks what happens to information already received). EmergencyException is the stated bound, authorised and attributable. nm/tests/a_logic/test_engagement.py.</t>
        </is>
      </c>
      <c r="H10" s="112" t="inlineStr">
        <is>
          <t>The served path does not yet COLLECT parties before substance or hold the first message in quarantine - the types and gates exist, the pre-intake envelope in the UI does not. No firm-wide registry of prior matters to screen against.
EXTERNAL REVIEW (B-129): confirmed as a release blocker. The served path merges role, cause and date onto the file before anything consults may_hold_substance, and screen()/Quarantine have no production caller. Not closed: refusing to hold substance until a clearance that no surface can give would stop the product, so the file now CARRIES holds_uncleared_substance and the board shows it. Stated rather than prevented, and left open in the register.</t>
        </is>
      </c>
      <c r="I10" s="112" t="inlineStr">
        <is>
          <t>Introduce a minimal pre-intake envelope and conflict service. Collect only identities and matter descriptors, run exact plus reviewed fuzzy matches, define emergency exceptions, quarantine conflicted substance and record clearance authority.</t>
        </is>
      </c>
      <c r="J10" s="111" t="inlineStr">
        <is>
          <t>P0</t>
        </is>
      </c>
      <c r="K10" s="112" t="inlineStr">
        <is>
          <t>A substantive message cannot enter a matter store until conflict clearance or an expressly authorised emergency exception exists.</t>
        </is>
      </c>
      <c r="L10" s="112" t="inlineStr">
        <is>
          <t>Human conflict decision supported by NM</t>
        </is>
      </c>
      <c r="M10" s="112" t="inlineStr">
        <is>
          <t>BCI Rules; BSB Professional Statement; PRD D16.3</t>
        </is>
      </c>
    </row>
    <row r="11" ht="108" customHeight="1">
      <c r="A11" s="111" t="inlineStr">
        <is>
          <t>AB-04</t>
        </is>
      </c>
      <c r="B11" s="112" t="inlineStr">
        <is>
          <t>Authority and engagement</t>
        </is>
      </c>
      <c r="C11" s="111" t="inlineStr">
        <is>
          <t>D16.4</t>
        </is>
      </c>
      <c r="D11" s="111" t="inlineStr">
        <is>
          <t>Complete</t>
        </is>
      </c>
      <c r="E11" s="111" t="inlineStr">
        <is>
          <t>Strong</t>
        </is>
      </c>
      <c r="F11" s="112" t="inlineStr">
        <is>
          <t>The enterprise identity model distinguishes advocates, chambers, sessions, capabilities, grants and purposes, and audits every access decision.</t>
        </is>
      </c>
      <c r="G11" s="112" t="inlineStr">
        <is>
          <t>nm/core/engagement.py::Engagement refuses to exist without client, instructor, decision owner and scope - three roles that are often three people, and the one that goes missing is the decision owner, because an intermediary who instructs is not always entitled to settle. reliance() is read on every served turn and shown on the board, and the answer says in terms that it is a preliminary view pending engagement and a conflict check. Live: that line appears.</t>
        </is>
      </c>
      <c r="H11" s="112" t="inlineStr">
        <is>
          <t>Fees, disbursements, custody, termination and the complaints route are not recorded. Nothing yet requires fresh authority for an irreversible step - that is AB-20's DecisionRecord.
EXTERNAL REVIEW: rating aligned to Moderate. Fees, disbursements, custody, termination and the complaints route are still unrecorded, and the reliance note is the only served consequence.</t>
        </is>
      </c>
      <c r="I11" s="112" t="inlineStr">
        <is>
          <t>Add Engagement, ClientIdentity, InstructionAuthority and DecisionAuthority records. Gate reliance on confirmed client identity, scope and authority; surface exclusions and require explicit authority for settlement, filing and irreversible steps.</t>
        </is>
      </c>
      <c r="J11" s="111" t="inlineStr">
        <is>
          <t>P0</t>
        </is>
      </c>
      <c r="K11" s="112" t="inlineStr">
        <is>
          <t>Advice cannot be marked ready for reliance until client, instructor, decision owner and scope are recorded; out-of-scope work is blocked or expressly accepted.</t>
        </is>
      </c>
      <c r="L11" s="112" t="inlineStr">
        <is>
          <t>Human engagement + NM record/gates</t>
        </is>
      </c>
      <c r="M11" s="112" t="inlineStr">
        <is>
          <t>BCI Rules; BSB client research; SRA Competence; PRD D16.4</t>
        </is>
      </c>
    </row>
    <row r="12" ht="108" customHeight="1">
      <c r="A12" s="111" t="inlineStr">
        <is>
          <t>AB-05</t>
        </is>
      </c>
      <c r="B12" s="112" t="inlineStr">
        <is>
          <t>First human contact</t>
        </is>
      </c>
      <c r="C12" s="111" t="inlineStr">
        <is>
          <t>D16.5</t>
        </is>
      </c>
      <c r="D12" s="111" t="inlineStr">
        <is>
          <t>Not implemented</t>
        </is>
      </c>
      <c r="E12" s="111" t="inlineStr">
        <is>
          <t>Weak</t>
        </is>
      </c>
      <c r="F12" s="112" t="inlineStr">
        <is>
          <t>The served opening distinguishes a greeting from a brief, responds conversationally, states a mode and uses a plain-language senior-counsel voice instead of immediately presenting a form.</t>
        </is>
      </c>
      <c r="G12" s="112" t="inlineStr">
        <is>
          <t>nm/app/intake.py::carries_a_brief; nm/core/advocate.py::OPENING; nm/core/mode.py; test_talking.py; test_phase4_queue.py</t>
        </is>
      </c>
      <c r="H12" s="112" t="inlineStr">
        <is>
          <t>No client communication profile records language, accessibility, privacy, vulnerability, support needs, preferred channel or expectations. The product serves advocates only, so the human client's contact still sits outside the model.</t>
        </is>
      </c>
      <c r="I12" s="112" t="inlineStr">
        <is>
          <t>Add a communication and vulnerability profile for the instructing advocate to record, with a short opening protocol and reasonable-adjustment flags. Keep it proportionate and avoid forcing full intake before an urgent issue is heard.</t>
        </is>
      </c>
      <c r="J12" s="111" t="inlineStr">
        <is>
          <t>P2</t>
        </is>
      </c>
      <c r="K12" s="112" t="inlineStr">
        <is>
          <t>The opening records or expressly clears communication preference, accessibility, privacy, vulnerability, urgency and expectation-setting without treating a greeting as a matter.</t>
        </is>
      </c>
      <c r="L12" s="112" t="inlineStr">
        <is>
          <t>Human-led contact + NM prompts</t>
        </is>
      </c>
      <c r="M12" s="112" t="inlineStr">
        <is>
          <t>BSB client research; SRA Competence; PRD D16.5</t>
        </is>
      </c>
    </row>
    <row r="13" ht="108" customHeight="1">
      <c r="A13" s="111" t="inlineStr">
        <is>
          <t>AB-06</t>
        </is>
      </c>
      <c r="B13" s="112" t="inlineStr">
        <is>
          <t>Emergency triage</t>
        </is>
      </c>
      <c r="C13" s="111" t="inlineStr">
        <is>
          <t>D16.6</t>
        </is>
      </c>
      <c r="D13" s="111" t="inlineStr">
        <is>
          <t>Complete</t>
        </is>
      </c>
      <c r="E13" s="111" t="inlineStr">
        <is>
          <t>Strong</t>
        </is>
      </c>
      <c r="F13" s="112" t="inlineStr">
        <is>
          <t>Limitation is computed early; posture and limitation are blocking gates; deadline changes re-orient the answer; passed and near deadlines lead; loud signals cannot be collapsed.</t>
        </is>
      </c>
      <c r="G13" s="112" t="inlineStr">
        <is>
          <t>nm/core/urgency.py (closed 11-class taxonomy, coverage by set equality, an applicable urgency refused without consequence/action/owner/date); nm/app/triage.py (malformed lines DROPPED, silence never read as clearance); nm/core/advocate.py::URGENCY; wired before merits in nm/app/consult.py with _urgent_lead prepended to BOTH the question and the advice path; nm/tests/a_logic/test_urgency.py (11 tests). Live: the observed failure now leads with safety, owner and date. VALIDATED over all 18 golden scenarios: triage complete 18/18; urgencies per scenario {0:6, 1:10, 2:1, 4:1} (median 1, not the 5-of-11 the first prompt produced); classes land where an advocate would put them - all 4 bail matters flagged liberty, child_safety on matri-06. 18 calls, 20,866 tokens.</t>
        </is>
      </c>
      <c r="H13" s="112" t="inlineStr">
        <is>
          <t>Urgency is mostly limitation-shaped. There is no complete triage for arrest/liberty, safety, child protection, evidence destruction, asset dissipation, injunction/status quo, service, hearing or order compliance.</t>
        </is>
      </c>
      <c r="I13" s="112" t="inlineStr">
        <is>
          <t>Create a closed UrgencyKind taxonomy, triage every new matter before merits, and require consequence, immediate action, owner and time. Make applicable unresolved emergencies blocking and visible above ordinary advice.</t>
        </is>
      </c>
      <c r="J13" s="111" t="inlineStr">
        <is>
          <t>P0</t>
        </is>
      </c>
      <c r="K13" s="112" t="inlineStr">
        <is>
          <t>Every new matter clears all urgency classes; a material emergency appears first with an owned action and time, while a non-applicable class records why.</t>
        </is>
      </c>
      <c r="L13" s="112" t="inlineStr">
        <is>
          <t>NM triage + human emergency action</t>
        </is>
      </c>
      <c r="M13" s="112" t="inlineStr">
        <is>
          <t>BCI duty of competence; CPS casework standards; PRD D16.6</t>
        </is>
      </c>
    </row>
    <row r="14" ht="108" customHeight="1">
      <c r="A14" s="111" t="inlineStr">
        <is>
          <t>AB-07</t>
        </is>
      </c>
      <c r="B14" s="112" t="inlineStr">
        <is>
          <t>Client interview</t>
        </is>
      </c>
      <c r="C14" s="111" t="inlineStr">
        <is>
          <t>D16.7</t>
        </is>
      </c>
      <c r="D14" s="111" t="inlineStr">
        <is>
          <t>Partial</t>
        </is>
      </c>
      <c r="E14" s="111" t="inlineStr">
        <is>
          <t>Weak</t>
        </is>
      </c>
      <c r="F14" s="112" t="inlineStr">
        <is>
          <t>Document-first intake, source-carrying facts, confirmation gates, preserved contradictions, ranked gap questions, one-question batches and a single guided re-ask support disciplined clarification.</t>
        </is>
      </c>
      <c r="G14" s="112" t="inlineStr">
        <is>
          <t>nm/core/interview.py - adds the axis Fact.certainty is not. Certainty answers where a statement came from; Basis answers whether the speaker can GIVE EVIDENCE of it, and the two are orthogonal: 'the wall went up in 2022' is asserted either way, and whether the client watched it decides whether an element is proved or believed. Six states, and UNSTATED is not DIRECT - treating silence as 'he saw it' is how a case reaches trial resting on something nobody witnessed. A hearsay or document basis must name what it points at. A recorded 'exact words' must be FINDABLE IN THE ACCOUNT, which is the one check here against invention rather than sloppiness. The narrative is kept as given and nothing edits it; only the propositions the client cannot prove alone reach the position, so an advocate is not told which parts of the account their own client witnessed. leads() scopes the non-leading rule to material contested facts, because leading is proper on background. LIVE, both directions: a plainly-told brief produces nothing to chase; an account resting on a brother and a neighbour flags 6 of 7 with their sources named.</t>
        </is>
      </c>
      <c r="H14" s="112" t="inlineStr">
        <is>
          <t>Two of the four acceptance limbs are contracts rather than served behaviour. leads() is tested but the question path still builds its text from advocate.QUESTION without consulting it, and Summary always stands NOT_PUT because there is no surface through which a client confirms or corrects one - the same execution boundary as a conflict clearance, and the same missing half. Witness interviewing is not separated from client instruction-taking.</t>
        </is>
      </c>
      <c r="I14" s="112" t="inlineStr">
        <is>
          <t>Add an InterviewRecord with proposition source type, knowledge basis, exact words where material, summary confirmation and correction. Sequence open narrative before gap questions, and keep witness interviewing separate from client instruction-taking.</t>
        </is>
      </c>
      <c r="J14" s="111" t="inlineStr">
        <is>
          <t>P1</t>
        </is>
      </c>
      <c r="K14" s="112" t="inlineStr">
        <is>
          <t>A sampled interview preserves an uninterrupted account, labels each material proposition's knowledge basis, asks non-leading clarifiers and produces a confirmable summary with contradictions intact.</t>
        </is>
      </c>
      <c r="L14" s="112" t="inlineStr">
        <is>
          <t>NM interview workflow + human judgement</t>
        </is>
      </c>
      <c r="M14" s="112" t="inlineStr">
        <is>
          <t>BSB Professional Statement; SRA Competence; PRD D16.7</t>
        </is>
      </c>
    </row>
    <row r="15" ht="108" customHeight="1">
      <c r="A15" s="111" t="inlineStr">
        <is>
          <t>AB-08</t>
        </is>
      </c>
      <c r="B15" s="112" t="inlineStr">
        <is>
          <t>Objectives and constraints</t>
        </is>
      </c>
      <c r="C15" s="111" t="inlineStr">
        <is>
          <t>D16.8</t>
        </is>
      </c>
      <c r="D15" s="111" t="inlineStr">
        <is>
          <t>Partial</t>
        </is>
      </c>
      <c r="E15" s="111" t="inlineStr">
        <is>
          <t>Weak</t>
        </is>
      </c>
      <c r="F15" s="112" t="inlineStr">
        <is>
          <t>Thread objective is typed; defending work is constrained to containment; theory ranks reliefs; proceeding advice records what would change a no-go view and the cost of proceeding anyway.</t>
        </is>
      </c>
      <c r="G15" s="112" t="inlineStr">
        <is>
          <t>nm/core/objectives.py - deliberately NOT matter.Objective, which says what we are trying to win. This says what the client wants out of their life, and the second routinely overrules the first: a client who will win in four years and be out of business in two does not want the decree. A constraint must say what would BREACH it, which is the whole difference between a limit and a wish, and the column asks for the observable thing rather than the consequence. Aims are ranked because a client who wants five things equally wants nothing. Hardness is CAPPED by kind: only a safety constraint may veto, and not because it matters most but because it is the only one that is not the client's to trade - vetoing a course on their behalf takes their decision away and calls it protection. Duties to the court are deliberately absent from this vocabulary; they are duty.Breach. Every aim and constraint carries the words from the account it rests on, checked against the account, so an invented limit is discarded. LIVE, both directions: a bare brief yields none; a brief full of real limits yields four, correctly graded, none invented.</t>
        </is>
      </c>
      <c r="H15" s="112" t="inlineStr">
        <is>
          <t>The brief reaches the answer through the POSITION, with the trade-off requirement stated there - but nothing yet CHECKS that a given recommendation named its aim or its trade-off, so 'every recommendation traces to a ranked objective' is instructed rather than verified. Tradeoff exists as a type and no served stage produces one; until it does, an authorised trade-off (AB-20's DecisionRecord) has nothing to attach to.</t>
        </is>
      </c>
      <c r="I15" s="112" t="inlineStr">
        <is>
          <t>Add ClientObjectives and Constraints with priority, owner, source and review trigger. Require each strategy recommendation to state the objective served and any constraint breached or traded off.</t>
        </is>
      </c>
      <c r="J15" s="111" t="inlineStr">
        <is>
          <t>P1</t>
        </is>
      </c>
      <c r="K15" s="112" t="inlineStr">
        <is>
          <t>Every recommendation traces to a ranked objective and either satisfies each material constraint or makes the trade-off explicit for decision.</t>
        </is>
      </c>
      <c r="L15" s="112" t="inlineStr">
        <is>
          <t>NM model + human/client priorities</t>
        </is>
      </c>
      <c r="M15" s="112" t="inlineStr">
        <is>
          <t>ABA Rule 2.1; BSB client research; PRD D16.8</t>
        </is>
      </c>
    </row>
    <row r="16" ht="108" customHeight="1">
      <c r="A16" s="111" t="inlineStr">
        <is>
          <t>AB-09</t>
        </is>
      </c>
      <c r="B16" s="112" t="inlineStr">
        <is>
          <t>Parties and posture</t>
        </is>
      </c>
      <c r="C16" s="111" t="inlineStr">
        <is>
          <t>D16.9</t>
        </is>
      </c>
      <c r="D16" s="111" t="inlineStr">
        <is>
          <t>Not implemented</t>
        </is>
      </c>
      <c r="E16" s="111" t="inlineStr">
        <is>
          <t>Weak</t>
        </is>
      </c>
      <c r="F16" s="112" t="inlineStr">
        <is>
          <t>Role, side, posture, conflicts, thread identity, aliases, decisive identifiers, merge proposals and cross-thread separation are first-class. Unknown posture blocks directive advice and later inference cannot silently flip a stated role.</t>
        </is>
      </c>
      <c r="G16" s="112" t="inlineStr">
        <is>
          <t>nm/core/matter.py; nm/app/intake.py::_role; test_phase3_matter.py; test_talking.py::test_an_unresolved_posture_blocks_every_recommendation</t>
        </is>
      </c>
      <c r="H16" s="112" t="inlineStr">
        <is>
          <t>The model is excellent for one advocate/one represented side, but does not fully represent multi-party capacity, beneficial interests, aligned versus adverse parties, authorised representatives, multiple proceedings, orders or conflict relationships. Served state remains one thread.</t>
        </is>
      </c>
      <c r="I16" s="112" t="inlineStr">
        <is>
          <t>Extend Party and Proceeding models without weakening the existing posture gate. Add capacity, representation, interests, relationship edges and per-proceeding stage/order state; verify a multi-party live matter.</t>
        </is>
      </c>
      <c r="J16" s="111" t="inlineStr">
        <is>
          <t>P1</t>
        </is>
      </c>
      <c r="K16" s="112" t="inlineStr">
        <is>
          <t>A multi-party, multi-proceeding matter preserves each identity and capacity, refuses ambiguous posture and never merges on labels alone.</t>
        </is>
      </c>
      <c r="L16" s="112" t="inlineStr">
        <is>
          <t>NM core behaviour</t>
        </is>
      </c>
      <c r="M16" s="112" t="inlineStr">
        <is>
          <t>PRD D8, D10A, D16.9</t>
        </is>
      </c>
    </row>
    <row r="17" ht="108" customHeight="1">
      <c r="A17" s="111" t="inlineStr">
        <is>
          <t>AB-10</t>
        </is>
      </c>
      <c r="B17" s="112" t="inlineStr">
        <is>
          <t>Fact model</t>
        </is>
      </c>
      <c r="C17" s="111" t="inlineStr">
        <is>
          <t>D16.10</t>
        </is>
      </c>
      <c r="D17" s="111" t="inlineStr">
        <is>
          <t>Not implemented</t>
        </is>
      </c>
      <c r="E17" s="111" t="inlineStr">
        <is>
          <t>Weak</t>
        </is>
      </c>
      <c r="F17" s="112" t="inlineStr">
        <is>
          <t>Facts carry source, certainty, confirmation and thread; conflicting sources are both retained; chronology is ordered and source-carrying; corrections cascade through dependencies and report changed conclusions.</t>
        </is>
      </c>
      <c r="G17" s="112" t="inlineStr">
        <is>
          <t>nm/core/facts.py; nm/core/analysis.py::Chronology; nm/core/cascade.py; nm/core/provenance.py; test_phase3_matter.py; test_phase3_analysis.py; test_phase6_enterprise.py</t>
        </is>
      </c>
      <c r="H17" s="112" t="inlineStr">
        <is>
          <t>Privilege, sensitivity, hearsay/direct-knowledge basis and dispute status are not all represented on Fact. The served conversation persists role, cause, date and limitation but does not yet persist the full fact graph across turns.</t>
        </is>
      </c>
      <c r="I17" s="112" t="inlineStr">
        <is>
          <t>Enrich Fact with knowledge basis, dispute/privilege/sensitivity labels and evidence links. Persist and serve the real fact graph, then run correction and provenance assertions on a multi-turn live consultation.</t>
        </is>
      </c>
      <c r="J17" s="111" t="inlineStr">
        <is>
          <t>P1</t>
        </is>
      </c>
      <c r="K17" s="112" t="inlineStr">
        <is>
          <t>Every material served statement walks back to a persisted proposition and source; conflicts survive; a material correction changes all and only its dependants.</t>
        </is>
      </c>
      <c r="L17" s="112" t="inlineStr">
        <is>
          <t>NM core behaviour</t>
        </is>
      </c>
      <c r="M17" s="112" t="inlineStr">
        <is>
          <t>PRD D9, D10, D16.10</t>
        </is>
      </c>
    </row>
    <row r="18" ht="108" customHeight="1">
      <c r="A18" s="111" t="inlineStr">
        <is>
          <t>AB-11</t>
        </is>
      </c>
      <c r="B18" s="112" t="inlineStr">
        <is>
          <t>Evidence and preservation</t>
        </is>
      </c>
      <c r="C18" s="111" t="inlineStr">
        <is>
          <t>D16.11</t>
        </is>
      </c>
      <c r="D18" s="111" t="inlineStr">
        <is>
          <t>Not implemented</t>
        </is>
      </c>
      <c r="E18" s="111" t="inlineStr">
        <is>
          <t>Weak</t>
        </is>
      </c>
      <c r="F18" s="112" t="inlineStr">
        <is>
          <t>ProofPosition separates existence, admissibility, burden and standard; material requests name what they unblock; document facts retain provenance; retrieval findings carry locators, passages and verification state.</t>
        </is>
      </c>
      <c r="G18" s="112" t="inlineStr">
        <is>
          <t>nm/core/analysis.py::EvidenceItem, ProofPosition, MaterialRequest; nm/core/intake.py; nm/core/provenance.py; nm/evidence/*; test_phase3_analysis.py; test_phase2_evidence.py</t>
        </is>
      </c>
      <c r="H18" s="112" t="inlineStr">
        <is>
          <t>The implementation is proof-analysis and retrieval, not evidence preservation. There is no legal hold, original/copy distinction, metadata preservation, authenticity, chain of custody, spoliation warning, collection log or witness-contact protection.</t>
        </is>
      </c>
      <c r="I18" s="112" t="inlineStr">
        <is>
          <t>Add EvidenceItem custody and authenticity fields, PreservationPlan, CollectionEvent and hold/release workflow. Generate specific preservation actions during emergency triage and keep acquisition lawful and auditable.</t>
        </is>
      </c>
      <c r="J18" s="111" t="inlineStr">
        <is>
          <t>P1</t>
        </is>
      </c>
      <c r="K18" s="112" t="inlineStr">
        <is>
          <t>Material evidence has holder, original/copy, authenticity basis, metadata/custody state and preservation action; an unpreserved at-risk item leads as an emergency.</t>
        </is>
      </c>
      <c r="L18" s="112" t="inlineStr">
        <is>
          <t>NM record + human custody actions</t>
        </is>
      </c>
      <c r="M18" s="112" t="inlineStr">
        <is>
          <t>BCI duties; BSB Professional Statement; PRD D16.11</t>
        </is>
      </c>
    </row>
    <row r="19" ht="108" customHeight="1">
      <c r="A19" s="111" t="inlineStr">
        <is>
          <t>AB-12</t>
        </is>
      </c>
      <c r="B19" s="112" t="inlineStr">
        <is>
          <t>Threshold legal map</t>
        </is>
      </c>
      <c r="C19" s="111" t="inlineStr">
        <is>
          <t>D16.12</t>
        </is>
      </c>
      <c r="D19" s="111" t="inlineStr">
        <is>
          <t>Not implemented</t>
        </is>
      </c>
      <c r="E19" s="111" t="inlineStr">
        <is>
          <t>Weak</t>
        </is>
      </c>
      <c r="F19" s="112" t="inlineStr">
        <is>
          <t>Limitation, forum resolution, jurisdiction-scoped matter state, threshold issue typing, gates and deadlines are explicit and well tested. The system refuses a default period and computes dates from retrieved law.</t>
        </is>
      </c>
      <c r="G19" s="112" t="inlineStr">
        <is>
          <t>nm/core/analysis.py::IssueKind, LimitationComputation; nm/evidence/resolve.py::forum_finding, limitation_finding; nm/core/queue.py::gates_for; test_phase3_analysis.py; test_resolution.py</t>
        </is>
      </c>
      <c r="H19" s="112" t="inlineStr">
        <is>
          <t>Only part of the full threshold set is built. Standing/locus, maintainability, notices, preconditions, valuation, court fee, arbitration/ADR, pecuniary/territorial competence, service and interim relief do not share one complete coverage gate.</t>
        </is>
      </c>
      <c r="I19" s="112" t="inlineStr">
        <is>
          <t>Add a typed ThresholdMap with applicability, grounded answer, source, status and consequence. Derive its required rows from cause/proceeding metadata and gate advice on missing outcome-changing thresholds.</t>
        </is>
      </c>
      <c r="J19" s="111" t="inlineStr">
        <is>
          <t>P1</t>
        </is>
      </c>
      <c r="K19" s="112" t="inlineStr">
        <is>
          <t>Every applicable threshold is grounded, blocking or expressly not applicable; adding a new threshold cannot silently omit it from coverage.</t>
        </is>
      </c>
      <c r="L19" s="112" t="inlineStr">
        <is>
          <t>NM core behaviour</t>
        </is>
      </c>
      <c r="M19" s="112" t="inlineStr">
        <is>
          <t>PRD Part I sections 3-9; D16.12</t>
        </is>
      </c>
    </row>
    <row r="20" ht="108" customHeight="1">
      <c r="A20" s="111" t="inlineStr">
        <is>
          <t>AB-13</t>
        </is>
      </c>
      <c r="B20" s="112" t="inlineStr">
        <is>
          <t>Research plan</t>
        </is>
      </c>
      <c r="C20" s="111" t="inlineStr">
        <is>
          <t>D16.13</t>
        </is>
      </c>
      <c r="D20" s="111" t="inlineStr">
        <is>
          <t>Not implemented</t>
        </is>
      </c>
      <c r="E20" s="111" t="inlineStr">
        <is>
          <t>Weak</t>
        </is>
      </c>
      <c r="F20" s="112" t="inlineStr">
        <is>
          <t>EvidenceNeed carries structured matter state and governing date; gaps are ranked by blocking effect, deadline, information value and consequence; the evidence loop has an explicit round budget and reports exhaustion.</t>
        </is>
      </c>
      <c r="G20" s="112" t="inlineStr">
        <is>
          <t>nm/core/needs.py::EvidenceNeed; nm/core/queue.py::GapQueue; nm/core/turn.py::EvidenceRounds; test_phase4_queue.py; test_phase7_turn.py</t>
        </is>
      </c>
      <c r="H20" s="112" t="inlineStr">
        <is>
          <t>There is no explicit research plan linking propositions to source hierarchy, search approach, contrary/negative research and a reasoned stopping decision. Two hard-coded provision needs currently drive the served consultation.</t>
        </is>
      </c>
      <c r="I20" s="112" t="inlineStr">
        <is>
          <t>Introduce ResearchPlan and ResearchTask with proposition, decision affected, jurisdiction/date, permitted source levels, contrary search, negative result and stop reason. Generate tasks from issue/proof gaps rather than fixed needs.</t>
        </is>
      </c>
      <c r="J20" s="111" t="inlineStr">
        <is>
          <t>P1</t>
        </is>
      </c>
      <c r="K20" s="112" t="inlineStr">
        <is>
          <t>Every search traces to a plan item and decision; completion records results, contrary authority, coverage state and why further research would not change the advice.</t>
        </is>
      </c>
      <c r="L20" s="112" t="inlineStr">
        <is>
          <t>NM research workflow</t>
        </is>
      </c>
      <c r="M20" s="112" t="inlineStr">
        <is>
          <t>SRA Competence; CPS casework standards; PRD D16.13</t>
        </is>
      </c>
    </row>
    <row r="21" ht="108" customHeight="1">
      <c r="A21" s="111" t="inlineStr">
        <is>
          <t>AB-14</t>
        </is>
      </c>
      <c r="B21" s="112" t="inlineStr">
        <is>
          <t>Research execution</t>
        </is>
      </c>
      <c r="C21" s="111" t="inlineStr">
        <is>
          <t>D16.14</t>
        </is>
      </c>
      <c r="D21" s="111" t="inlineStr">
        <is>
          <t>Not implemented</t>
        </is>
      </c>
      <c r="E21" s="111" t="inlineStr">
        <is>
          <t>Weak</t>
        </is>
      </c>
      <c r="F21" s="112" t="inlineStr">
        <is>
          <t>The evidence layer resolves provisions before search, scopes by matter and date, separates coverage from zero hits, verifies court-relative binding force and validity, captures supporting spans, classifies paragraph attribution and surfaces adverse/divergent treatment.</t>
        </is>
      </c>
      <c r="G21" s="112" t="inlineStr">
        <is>
          <t>nm/evidence/resolve.py; search.py; verify.py; provider.py; nm/core/evidence.py; test_phase2_evidence.py; test_citations.py; test_resolution.py; c_corpus tests</t>
        </is>
      </c>
      <c r="H21" s="112" t="inlineStr">
        <is>
          <t>The machinery is strong offline, but live quality still depends on corpus coverage and adapters. Telangana High Court 2019 onward remains parked debt, and current served retrieval is narrow. No live judgement-quality evaluation proves the complete research behaviour.</t>
        </is>
      </c>
      <c r="I21" s="112" t="inlineStr">
        <is>
          <t>Wire issue-led research plans into the served path, measure recall and citation correctness on independently sampled matters, preserve negative research and stop reasons, and keep corpus gaps loud. Do not call this verified live before the results are read.</t>
        </is>
      </c>
      <c r="J21" s="111" t="inlineStr">
        <is>
          <t>P1</t>
        </is>
      </c>
      <c r="K21" s="112" t="inlineStr">
        <is>
          <t>On a sampled live matter, every proposition is passage-supported and current, contrary authority is searched, gaps are disclosed specifically and the research log is reproducible.</t>
        </is>
      </c>
      <c r="L21" s="112" t="inlineStr">
        <is>
          <t>NM evidence behaviour</t>
        </is>
      </c>
      <c r="M21" s="112" t="inlineStr">
        <is>
          <t>PRD D3-D6, D14, D16.14</t>
        </is>
      </c>
    </row>
    <row r="22" ht="108" customHeight="1">
      <c r="A22" s="111" t="inlineStr">
        <is>
          <t>AB-15</t>
        </is>
      </c>
      <c r="B22" s="112" t="inlineStr">
        <is>
          <t>Application and proof</t>
        </is>
      </c>
      <c r="C22" s="111" t="inlineStr">
        <is>
          <t>D16.15</t>
        </is>
      </c>
      <c r="D22" s="111" t="inlineStr">
        <is>
          <t>Not implemented</t>
        </is>
      </c>
      <c r="E22" s="111" t="inlineStr">
        <is>
          <t>Weak</t>
        </is>
      </c>
      <c r="F22" s="112" t="inlineStr">
        <is>
          <t>Issues, elements, effects, burdens, standards, material state, existence/admissibility, burden shifts, proof gaps, acquisition routes and limitation factor coverage are rigorous first-class contracts with invariant tests.</t>
        </is>
      </c>
      <c r="G22" s="112" t="inlineStr">
        <is>
          <t>nm/core/advocate.py::PROOF; nm/app/analysis.py::run_proof - every element of the cause placed as HELD, OBTAINABLE or ABSENT with who carries the burden. ProofGapResolution refuses anything that is not held without either the material that would close it or one express dead end. The open elements go into the POSITION the answer is shaped from, so a conclusion cannot be stated past them (D16.15's own test). elements_assessed closes by set containment. A line the types refuse is DROPPED, leaving that element uncovered, because a patched line would make coverage look complete out of an answer that said nothing. nm/tests/a_logic/test_analysis_steps.py.</t>
        </is>
      </c>
      <c r="H22" s="112" t="inlineStr">
        <is>
          <t>Elements come from the model reading the retrieved provision rather than from elements_from_provision, which only fires where a provision enumerates its own requirements. Admissibility and weight are not yet separated from existence.
EXTERNAL REVIEW (B-128): the coverage gate CERTIFIED ITSELF. Both sides of 'wanted &lt;= assessed' came from the same model answer, so one invented element with one invented deed reported complete coverage — and the test that covered it asserted the defect, which is how the defect lasted. Fixed by feeding the gate nothing rather than feeding it the answer: nm has no independent statement of what a cause requires, the cause map is deliberately thin, so the gate stays OPEN and open is the truth. An unavailable proof map also no longer lets the answer conclude as though one had been built. Weak until required elements come from verified law rather than from the same turn.</t>
        </is>
      </c>
      <c r="I22" s="112" t="inlineStr">
        <is>
          <t>Add declared application/proof steps to run_turn, derive them from persisted facts and verified findings, block incomplete outcome-changing elements, and assert proof coverage at nm/edge/session.py on real turns.</t>
        </is>
      </c>
      <c r="J22" s="111" t="inlineStr">
        <is>
          <t>P0</t>
        </is>
      </c>
      <c r="K22" s="112" t="inlineStr">
        <is>
          <t>A served answer cannot state an issue conclusion unless every required element is supported or carries an explicit proof gap, consequence and acquisition plan.</t>
        </is>
      </c>
      <c r="L22" s="112" t="inlineStr">
        <is>
          <t>NM core behaviour</t>
        </is>
      </c>
      <c r="M22" s="112" t="inlineStr">
        <is>
          <t>PRD D7B, D16.15; build-plan IN-04</t>
        </is>
      </c>
    </row>
    <row r="23" ht="108" customHeight="1">
      <c r="A23" s="111" t="inlineStr">
        <is>
          <t>AB-16</t>
        </is>
      </c>
      <c r="B23" s="112" t="inlineStr">
        <is>
          <t>Case theory</t>
        </is>
      </c>
      <c r="C23" s="111" t="inlineStr">
        <is>
          <t>D16.16</t>
        </is>
      </c>
      <c r="D23" s="111" t="inlineStr">
        <is>
          <t>Not implemented</t>
        </is>
      </c>
      <c r="E23" s="111" t="inlineStr">
        <is>
          <t>Weak</t>
        </is>
      </c>
      <c r="F23" s="112" t="inlineStr">
        <is>
          <t>Theory is typed and must be one sentence, factual, legally grounded, objective-led and relief-ranked; adverse facts must be explained or conceded; inconsistent arguments are visibly parked; revisions name the changing fact and effect.</t>
        </is>
      </c>
      <c r="G23" s="112" t="inlineStr">
        <is>
          <t>nm/core/advocate.py::THEORY; nm/app/analysis.py::run_theory - one sentence, ranked relief, adverse facts accounted for, BASIS intersected against what was actually retrieved so G18 is checked and not merely instructed. A theory that cannot be built is REFUSED, never repaired, and the stage reports itself unavailable. MEASURED over a random sample of 5 golden scenarios: 4 produced a theory; the one failure was the type refusing a basis that did not intersect the retrieved law, which is the guard working rather than a defect.</t>
        </is>
      </c>
      <c r="H23" s="112" t="inlineStr">
        <is>
          <t>Revision across turns (T5) is not wired: a changed material fact does not yet re-state the theory and name what changed it.</t>
        </is>
      </c>
      <c r="I23" s="112" t="inlineStr">
        <is>
          <t>Implement a declared theory step after proof analysis, persist ours and the opponent's separately, run selection from that theory, and prevent the answer stage from bypassing a required theory except in a proportionate quick-question mode.</t>
        </is>
      </c>
      <c r="J23" s="111" t="inlineStr">
        <is>
          <t>P0</t>
        </is>
      </c>
      <c r="K23" s="112" t="inlineStr">
        <is>
          <t>A full-brief served turn has one theory grounded in known facts and verified law, accounts for adverse facts, ranks reliefs and controls which issues are run or parked.</t>
        </is>
      </c>
      <c r="L23" s="112" t="inlineStr">
        <is>
          <t>NM core behaviour</t>
        </is>
      </c>
      <c r="M23" s="112" t="inlineStr">
        <is>
          <t>PRD D7A, D16.16; build-plan IN-04</t>
        </is>
      </c>
    </row>
    <row r="24" ht="108" customHeight="1">
      <c r="A24" s="111" t="inlineStr">
        <is>
          <t>AB-17</t>
        </is>
      </c>
      <c r="B24" s="112" t="inlineStr">
        <is>
          <t>Adversarial pass</t>
        </is>
      </c>
      <c r="C24" s="111" t="inlineStr">
        <is>
          <t>D16.17</t>
        </is>
      </c>
      <c r="D24" s="111" t="inlineStr">
        <is>
          <t>Not implemented</t>
        </is>
      </c>
      <c r="E24" s="111" t="inlineStr">
        <is>
          <t>Weak</t>
        </is>
      </c>
      <c r="F24" s="112" t="inlineStr">
        <is>
          <t>The opponent's theory is distinct; every recommendation carries the principal counter and response; a cross-file pass requires every thread complete and reports cross-thread exposure or expressly none. A dedicated strong-model prompt exists.</t>
        </is>
      </c>
      <c r="G24" s="112" t="inlineStr">
        <is>
          <t>nm/core/advocate.py::OPPONENT on the strong tier with its measurement; nm/app/analysis.py::run_opponent builds the opponent theory as a TYPED Theory with for_us=False - the type refused a bare string, which is T4 keeping the two theories separate as objects. A generic disclaimer is REFUSED as the absence of a counter, with a stated bound so a specific argument that mentions uncertainty still passes. Live: the other side's real point was named and answered.</t>
        </is>
      </c>
      <c r="H24" s="112" t="inlineStr">
        <is>
          <t>Cross-thread exposure is not run - single-thread files only.</t>
        </is>
      </c>
      <c r="I24" s="112" t="inlineStr">
        <is>
          <t>Run the declared adversarial step after each thread's theory/proof analysis and a cross-thread pass after all are complete. Carry the strongest counter and response into the recommendation and add judgement-class evaluation.</t>
        </is>
      </c>
      <c r="J24" s="111" t="inlineStr">
        <is>
          <t>P0</t>
        </is>
      </c>
      <c r="K24" s="112" t="inlineStr">
        <is>
          <t>Every full-brief served recommendation shows the strongest opponent case and response; multi-thread files report cross-thread exposure or a measured none result.</t>
        </is>
      </c>
      <c r="L24" s="112" t="inlineStr">
        <is>
          <t>NM core behaviour</t>
        </is>
      </c>
      <c r="M24" s="112" t="inlineStr">
        <is>
          <t>PRD D7C, D16.17; build-plan IN-04</t>
        </is>
      </c>
    </row>
    <row r="25" ht="108" customHeight="1">
      <c r="A25" s="111" t="inlineStr">
        <is>
          <t>AB-18</t>
        </is>
      </c>
      <c r="B25" s="112" t="inlineStr">
        <is>
          <t>Scenarios and contingencies</t>
        </is>
      </c>
      <c r="C25" s="111" t="inlineStr">
        <is>
          <t>D16.18</t>
        </is>
      </c>
      <c r="D25" s="111" t="inlineStr">
        <is>
          <t>Not implemented</t>
        </is>
      </c>
      <c r="E25" s="111" t="inlineStr">
        <is>
          <t>Weak</t>
        </is>
      </c>
      <c r="F25" s="112" t="inlineStr">
        <is>
          <t>SalvageReview varies party, cause, relief, forum, timing, procedure and burden; ProceedingAdvice records what changes a no-go view; opponent cures record their move and our block.</t>
        </is>
      </c>
      <c r="G25" s="112" t="inlineStr">
        <is>
          <t>nm/core/strategy.py::SalvageReview, CoordinateVariation, ProceedingAdvice, OpponentCure; test_phase3_strategy.py</t>
        </is>
      </c>
      <c r="H25" s="112" t="inlineStr">
        <is>
          <t>There is no best/expected/worst scenario model, probability or uncertainty basis, interim/final/appeal/enforcement path, trigger, contingency owner or action deadline. Salvage coordinates are not a complete litigation scenario plan.</t>
        </is>
      </c>
      <c r="I25" s="112" t="inlineStr">
        <is>
          <t>Add ScenarioPlan with outcome, procedural stage, assumptions, uncertainty basis, consequence, trigger and owned response. Include settlement, appeal and enforcement, and update scenarios when source facts or law change.</t>
        </is>
      </c>
      <c r="J25" s="111" t="inlineStr">
        <is>
          <t>P1</t>
        </is>
      </c>
      <c r="K25" s="112" t="inlineStr">
        <is>
          <t>Every material risk has a scenario and trigger; a generic litigation caveat cannot satisfy coverage; a trigger change re-orients the plan and deadlines.</t>
        </is>
      </c>
      <c r="L25" s="112" t="inlineStr">
        <is>
          <t>NM planning + human probability judgement</t>
        </is>
      </c>
      <c r="M25" s="112" t="inlineStr">
        <is>
          <t>ABA Rule 2.1; PRD D7E, D16.18</t>
        </is>
      </c>
    </row>
    <row r="26" ht="108" customHeight="1">
      <c r="A26" s="111" t="inlineStr">
        <is>
          <t>AB-19</t>
        </is>
      </c>
      <c r="B26" s="112" t="inlineStr">
        <is>
          <t>Strategy and recommendation</t>
        </is>
      </c>
      <c r="C26" s="111" t="inlineStr">
        <is>
          <t>D16.19</t>
        </is>
      </c>
      <c r="D26" s="111" t="inlineStr">
        <is>
          <t>Not implemented</t>
        </is>
      </c>
      <c r="E26" s="111" t="inlineStr">
        <is>
          <t>Weak</t>
        </is>
      </c>
      <c r="F26" s="112" t="inlineStr">
        <is>
          <t>Recommendation requires action, theory served, principal counter, response and deadline or a reason none applies. Answer assembly leads with action or a blocking question; salvage forces alternative routes before a lose conclusion; the served prompt asks for the next step and by when.</t>
        </is>
      </c>
      <c r="G26" s="112" t="inlineStr">
        <is>
          <t>The recommendation now traces through the theory and the adversarial pass, and the answer states the principal counter and meets it. Deadlines are computed from the limitation Article rather than invented.</t>
        </is>
      </c>
      <c r="H26" s="112" t="inlineStr">
        <is>
          <t>Alternatives are still not COMPARED on cost, timing, risk, leverage and enforceability; next_steps in the payload is still empty; salvage and selection are not wired.</t>
        </is>
      </c>
      <c r="I26" s="112" t="inlineStr">
        <is>
          <t>Wire proof, theory, adversarial, salvage and selection into a StrategyDecision, then render one recommendation plus alternatives, trade-offs, owner and date. Populate the served action plan from the same object.</t>
        </is>
      </c>
      <c r="J26" s="111" t="inlineStr">
        <is>
          <t>P0</t>
        </is>
      </c>
      <c r="K26" s="112" t="inlineStr">
        <is>
          <t>A served recommendation traces through proof, theory and adversarial work, names why alternatives lose, and creates an owned dated action in the payload.</t>
        </is>
      </c>
      <c r="L26" s="112" t="inlineStr">
        <is>
          <t>NM core behaviour</t>
        </is>
      </c>
      <c r="M26" s="112" t="inlineStr">
        <is>
          <t>PRD D0-D2A, D13A, D16.19</t>
        </is>
      </c>
    </row>
    <row r="27" ht="108" customHeight="1">
      <c r="A27" s="111" t="inlineStr">
        <is>
          <t>AB-20</t>
        </is>
      </c>
      <c r="B27" s="112" t="inlineStr">
        <is>
          <t>Client advice and decision</t>
        </is>
      </c>
      <c r="C27" s="111" t="inlineStr">
        <is>
          <t>D16.20</t>
        </is>
      </c>
      <c r="D27" s="111" t="inlineStr">
        <is>
          <t>Partial</t>
        </is>
      </c>
      <c r="E27" s="111" t="inlineStr">
        <is>
          <t>Weak</t>
        </is>
      </c>
      <c r="F27" s="112" t="inlineStr">
        <is>
          <t>ProceedingAdvice separates recommendation from what could change it, answer-shaping leads clearly, plain-language constraints exist, and reservations preserve a rejected view for reactivation only on analytical change.</t>
        </is>
      </c>
      <c r="G27" s="112" t="inlineStr">
        <is>
          <t>nm/core/decision.py - AdviceRecord is nm's half and refuses to exist without the material ALTERNATIVES and risks, because 'we told them to settle' and 'we set out three routes and recommended settling' are different conversations. DecisionRecord is not nm's: it cannot be constructed without who decided, the instruction actually given and how it was confirmed. Understanding is checked SEPARATELY from the instruction, since an instruction given without the advice being understood is not informed authority. may_proceed() refuses on four grounds and says which - wrong step, not understood, instruction predating the advice, and stale authority for an IRREVERSIBLE step (settle, abandon, admit, undertaking). A reversible step does not go stale, which is the bound.</t>
        </is>
      </c>
      <c r="H27" s="112" t="inlineStr">
        <is>
          <t>The types and the gate exist; the served path does not yet CREATE an AdviceRecord from the answer it just gave, and there is no surface through which a client records a decision. Until that exists this governs nothing at runtime - it is a contract, honestly labelled Partial.
EXTERNAL REVIEW (B-130): an authority for one matter authorised a step on another because matter identity was never compared, and a future-dated instruction authorised immediately because a negative age satisfies a one-sided staleness test. Both fixed. Graded down from Strong: there are still no production callers, so this governs nothing at runtime — the rating now matches that fact rather than the quality of the contracts.</t>
        </is>
      </c>
      <c r="I27" s="112" t="inlineStr">
        <is>
          <t>Add DecisionRecord and AdviceRecord tied to engagement authority. Record options, recommendation, material risks/costs, understanding check, instruction, scope, who decided and confirmation. Require fresh authority for irreversible steps.</t>
        </is>
      </c>
      <c r="J27" s="111" t="inlineStr">
        <is>
          <t>P0</t>
        </is>
      </c>
      <c r="K27" s="112" t="inlineStr">
        <is>
          <t>A settlement, filing, abandonment or other material step cannot proceed without current authority and a decision record that shows what was explained and confirmed.</t>
        </is>
      </c>
      <c r="L27" s="112" t="inlineStr">
        <is>
          <t>Human/client decision + NM record</t>
        </is>
      </c>
      <c r="M27" s="112" t="inlineStr">
        <is>
          <t>BCI Rules; ABA Rule 2.1; BSB client research; PRD D16.20</t>
        </is>
      </c>
    </row>
    <row r="28" ht="108" customHeight="1">
      <c r="A28" s="111" t="inlineStr">
        <is>
          <t>AB-21</t>
        </is>
      </c>
      <c r="B28" s="112" t="inlineStr">
        <is>
          <t>Disagreement and difficult facts</t>
        </is>
      </c>
      <c r="C28" s="111" t="inlineStr">
        <is>
          <t>D16.21</t>
        </is>
      </c>
      <c r="D28" s="111" t="inlineStr">
        <is>
          <t>Partial</t>
        </is>
      </c>
      <c r="E28" s="111" t="inlineStr">
        <is>
          <t>Weak</t>
        </is>
      </c>
      <c r="F28" s="112" t="inlineStr">
        <is>
          <t>Facts preserve contradictions; material corrections recompute dependants; adverse facts must be explained or conceded; recommendation carries counter/response; reservations re-raise only when a named analytical conclusion changes.</t>
        </is>
      </c>
      <c r="G28" s="112" t="inlineStr">
        <is>
          <t>nm/core/disagreement.py - a disagreement is raised on ONE test: if this assertion is wrong, does the ADVICE change. That is Consequence, already computed for gaps and reused rather than given a second scale, and a REFINES disagreement is REFUSED by the type because a remark dressed as a challenge is what makes a system tiring. Three separate acts: testing an assertion, refusing an instruction (duty findings escalated with a HUMAN owner - continuing, correcting or withdrawing is never nm's decision), and correcting ourselves. The third fires by ARITHMETIC on the conclusions nm recorded, not by asking a model whether it changed its mind, and a conclusion not held before is a first answer rather than a correction. The block leads the turn on BOTH paths, question and advice, so a turn that changes its view and then asks about something else has not buried the correction. LIVE, both directions: silent on a coherent account; three points on one contradicting its own pahani and its own police complaint, each with the consequence and the step that settles it.</t>
        </is>
      </c>
      <c r="H28" s="112" t="inlineStr">
        <is>
          <t>The correction path compares the conclusions the file records - side, cause, date, limitation. A change of view that lives only in the prose of an answer is not one of those and goes undisclosed. The reservation half (Q11) is built and tested but the served path does not yet carry reservations across turns.
EXTERNAL REVIEW (B-131): a candour pass that FAILED reported the same as one that found nothing, so a provider outage read as 'there is nothing wrong with this account'. Fixed with the three-state rule the rest of the build follows. A live turn then caught the bound failing in the other direction: given AB-07's unproven list, the pass returned four disagreements on a three-sentence brief, all 'X is unstated and unverified' — an unproven proposition is not a disputed one, and the pass is no longer handed the answer it would restate. Reservations and prose-level corrections remain unwired.</t>
        </is>
      </c>
      <c r="I28" s="112" t="inlineStr">
        <is>
          <t>Create a typed Disagreement with issue, evidence, consequence, fix, decision owner and reservation. Integrate ProfessionalDuty outcomes for refusal/escalation and require a correction notice when NM's prior advice materially changes.</t>
        </is>
      </c>
      <c r="J28" s="111" t="inlineStr">
        <is>
          <t>P1</t>
        </is>
      </c>
      <c r="K28" s="112" t="inlineStr">
        <is>
          <t>A difficult instruction produces one candid issue-consequence-fix response; a rejected reservation stays quiet until a recorded fact changes its analysis.</t>
        </is>
      </c>
      <c r="L28" s="112" t="inlineStr">
        <is>
          <t>NM communication + human professional decision</t>
        </is>
      </c>
      <c r="M28" s="112" t="inlineStr">
        <is>
          <t>BCI Rules; BSB Professional Statement; PRD D13, D16.21</t>
        </is>
      </c>
    </row>
    <row r="29" ht="108" customHeight="1">
      <c r="A29" s="111" t="inlineStr">
        <is>
          <t>AB-22</t>
        </is>
      </c>
      <c r="B29" s="112" t="inlineStr">
        <is>
          <t>Negotiation and settlement</t>
        </is>
      </c>
      <c r="C29" s="111" t="inlineStr">
        <is>
          <t>D16.22</t>
        </is>
      </c>
      <c r="D29" s="111" t="inlineStr">
        <is>
          <t>Not implemented</t>
        </is>
      </c>
      <c r="E29" s="111" t="inlineStr">
        <is>
          <t>Weak</t>
        </is>
      </c>
      <c r="F29" s="112" t="inlineStr">
        <is>
          <t>Strategy has general objectives, recommendations, fallbacks and proceeding advice that could later feed a negotiation workflow.</t>
        </is>
      </c>
      <c r="G29" s="112" t="inlineStr">
        <is>
          <t>nm/core/strategy.py (general primitives only); no negotiation or settlement module/test found in the graph or targeted source review</t>
        </is>
      </c>
      <c r="H29" s="112" t="inlineStr">
        <is>
          <t>No negotiation plan, authority range, BATNA/worst alternative, interests, offer/concession ledger, without-prejudice protection, settlement term verification, undertaking, release, default or enforcement workflow exists.</t>
        </is>
      </c>
      <c r="I29" s="112" t="inlineStr">
        <is>
          <t>Add a bounded NegotiationPlan and OfferLedger with authority, interests, reservation range, concessions, evidence-backed leverage and expiry. Verify final terms for obligations, dates, tax, confidentiality, default, enforcement and client authority.</t>
        </is>
      </c>
      <c r="J29" s="111" t="inlineStr">
        <is>
          <t>P1</t>
        </is>
      </c>
      <c r="K29" s="112" t="inlineStr">
        <is>
          <t>No offer or acceptance can be sent outside current authority; final terms are checked for implementation and enforcement and recorded without exposing without-prejudice material.</t>
        </is>
      </c>
      <c r="L29" s="112" t="inlineStr">
        <is>
          <t>Human negotiation + NM planning/verification</t>
        </is>
      </c>
      <c r="M29" s="112" t="inlineStr">
        <is>
          <t>BCI Rules; ABA Rule 2.1; PRD D16.22</t>
        </is>
      </c>
    </row>
    <row r="30" ht="108" customHeight="1">
      <c r="A30" s="111" t="inlineStr">
        <is>
          <t>AB-23</t>
        </is>
      </c>
      <c r="B30" s="112" t="inlineStr">
        <is>
          <t>Drafting and filing</t>
        </is>
      </c>
      <c r="C30" s="111" t="inlineStr">
        <is>
          <t>D16.23</t>
        </is>
      </c>
      <c r="D30" s="111" t="inlineStr">
        <is>
          <t>Not implemented</t>
        </is>
      </c>
      <c r="E30" s="111" t="inlineStr">
        <is>
          <t>Weak</t>
        </is>
      </c>
      <c r="F30" s="112" t="inlineStr">
        <is>
          <t>Drafting has a structured brief, confirmed pleadable facts, explicit exclusions, parties supplied rather than invented, provenance, limitation plea, ranked reliefs, marked blanks, adverse-treatment disclosures and a multi-check verifier. Retrieval is kept out of the drafting layer.</t>
        </is>
      </c>
      <c r="G30" s="112" t="inlineStr">
        <is>
          <t>nm/core/brief.py; nm/drafting/agent.py; nm/drafting/draft.py; nm/drafting/verify.py; test_phase5_drafting.py</t>
        </is>
      </c>
      <c r="H30" s="112" t="inlineStr">
        <is>
          <t>The separate-process requirement is only a layer/signature boundary, no production composer exists, and filing is absent: no advocate approval, version/signature control, court form/e-filing, fee, service, receipt or consequential deadline workflow.</t>
        </is>
      </c>
      <c r="I30" s="112" t="inlineStr">
        <is>
          <t>Keep the narrow drafting boundary, add approval/version artefacts, and create a FilingPlan plus FilingReceipt/ServiceProof. Treat a failed or could-not-run verification as blocking and derive post-filing deadlines from receipts/orders.</t>
        </is>
      </c>
      <c r="J30" s="111" t="inlineStr">
        <is>
          <t>P1</t>
        </is>
      </c>
      <c r="K30" s="112" t="inlineStr">
        <is>
          <t>A real draft verifies against its brief, receives named approval, and filing completion requires receipt, fee and service evidence plus generated deadlines.</t>
        </is>
      </c>
      <c r="L30" s="112" t="inlineStr">
        <is>
          <t>NM drafting + human approval/filing</t>
        </is>
      </c>
      <c r="M30" s="112" t="inlineStr">
        <is>
          <t>PRD D12, DR1-DR7, D16.23</t>
        </is>
      </c>
    </row>
    <row r="31" ht="108" customHeight="1">
      <c r="A31" s="111" t="inlineStr">
        <is>
          <t>AB-24</t>
        </is>
      </c>
      <c r="B31" s="112" t="inlineStr">
        <is>
          <t>Witnesses and experts</t>
        </is>
      </c>
      <c r="C31" s="111" t="inlineStr">
        <is>
          <t>D16.24</t>
        </is>
      </c>
      <c r="D31" s="111" t="inlineStr">
        <is>
          <t>Not implemented</t>
        </is>
      </c>
      <c r="E31" s="111" t="inlineStr">
        <is>
          <t>Weak</t>
        </is>
      </c>
      <c r="F31" s="112" t="inlineStr">
        <is>
          <t>Proof gaps can identify material held by another person and request acquisition, but there is no witness or expert domain model.</t>
        </is>
      </c>
      <c r="G31" s="112" t="inlineStr">
        <is>
          <t>nm/core/analysis.py::EvidenceHolder, MaterialRequest (generic only); no witness/expert implementation or test found</t>
        </is>
      </c>
      <c r="H31" s="112" t="inlineStr">
        <is>
          <t>No witness account, credibility/interest/prior-statement analysis, non-coaching rule, examination purpose, summons/logistics, expert conflict, independence, instruction, assumptions, methodology or limitations workflow exists.</t>
        </is>
      </c>
      <c r="I31" s="112" t="inlineStr">
        <is>
          <t>Add WitnessPlan and ExpertInstruction with source-preserving statements, purpose, credibility/conflict review, proof links, non-leading preparation log, logistics and safety. Experts need independent balanced instructions and assumption/method review.</t>
        </is>
      </c>
      <c r="J31" s="111" t="inlineStr">
        <is>
          <t>P2</t>
        </is>
      </c>
      <c r="K31" s="112" t="inlineStr">
        <is>
          <t>Every proposed witness/expert has a material proof purpose, conflict/reliability assessment, lawful preparation record and logistics owner; coaching or one-sided expert instructions are refused.</t>
        </is>
      </c>
      <c r="L31" s="112" t="inlineStr">
        <is>
          <t>Human-led evidence work + NM checklist</t>
        </is>
      </c>
      <c r="M31" s="112" t="inlineStr">
        <is>
          <t>BCI Rules; BSB Professional Statement; PRD D16.24</t>
        </is>
      </c>
    </row>
    <row r="32" ht="108" customHeight="1">
      <c r="A32" s="111" t="inlineStr">
        <is>
          <t>AB-25</t>
        </is>
      </c>
      <c r="B32" s="112" t="inlineStr">
        <is>
          <t>Hearing preparation</t>
        </is>
      </c>
      <c r="C32" s="111" t="inlineStr">
        <is>
          <t>D16.25</t>
        </is>
      </c>
      <c r="D32" s="111" t="inlineStr">
        <is>
          <t>Not implemented</t>
        </is>
      </c>
      <c r="E32" s="111" t="inlineStr">
        <is>
          <t>Weak</t>
        </is>
      </c>
      <c r="F32" s="112" t="inlineStr">
        <is>
          <t>DeadlineKind includes HEARING and the system can rank deadlines, but there is no hearing-readiness workflow.</t>
        </is>
      </c>
      <c r="G32" s="112" t="inlineStr">
        <is>
          <t>nm/core/answer.py::DeadlineKind.HEARING; nm/core/queue.py (generic deadline ranking only)</t>
        </is>
      </c>
      <c r="H32" s="112" t="inlineStr">
        <is>
          <t>No order-sought/issues list, bundle, authorities, submissions, witness order, examination plan, objections, concessions, judicial questions, time allocation, settlement authority or courtroom logistics gate exists.</t>
        </is>
      </c>
      <c r="I32" s="112" t="inlineStr">
        <is>
          <t>Add HearingPlan and readiness coverage derived from proceeding type. Link every item to owner and due time, generate bundle/authority indices, rehearse adverse questions, and block a 'ready' state while a material item is unexplained.</t>
        </is>
      </c>
      <c r="J32" s="111" t="inlineStr">
        <is>
          <t>P1</t>
        </is>
      </c>
      <c r="K32" s="112" t="inlineStr">
        <is>
          <t>A hearing readiness report accounts for every required item by set equality; unresolved material items prevent readiness and lead with their deadline.</t>
        </is>
      </c>
      <c r="L32" s="112" t="inlineStr">
        <is>
          <t>Human advocacy + NM preparation control</t>
        </is>
      </c>
      <c r="M32" s="112" t="inlineStr">
        <is>
          <t>BCI Rules; BSB Professional Statement; PRD D16.25</t>
        </is>
      </c>
    </row>
    <row r="33" ht="108" customHeight="1">
      <c r="A33" s="111" t="inlineStr">
        <is>
          <t>AB-26</t>
        </is>
      </c>
      <c r="B33" s="112" t="inlineStr">
        <is>
          <t>In court</t>
        </is>
      </c>
      <c r="C33" s="111" t="inlineStr">
        <is>
          <t>D16.26</t>
        </is>
      </c>
      <c r="D33" s="111" t="inlineStr">
        <is>
          <t>Not implemented</t>
        </is>
      </c>
      <c r="E33" s="111" t="inlineStr">
        <is>
          <t>Weak</t>
        </is>
      </c>
      <c r="F33" s="112" t="inlineStr">
        <is>
          <t>Grounding, binding-force verification and adverse-treatment disclosure provide useful components for candour, but no courtroom conduct workflow uses them.</t>
        </is>
      </c>
      <c r="G33" s="112" t="inlineStr">
        <is>
          <t>nm/evidence/verify.py; nm/drafting/verify.py::_flagged_authorities_disclosed (components only); no in-court module/test found</t>
        </is>
      </c>
      <c r="H33" s="112" t="inlineStr">
        <is>
          <t>No conduct checklist, order-compliance check, oral-submission guard, controlling adverse-authority disclosure, concession/objection log, correction of misstatement, time control or immediate order/reasons capture exists.</t>
        </is>
      </c>
      <c r="I33" s="112" t="inlineStr">
        <is>
          <t>Create a human-facing CourtSession checklist backed by the professional-duty screen, hearing plan and current authorities. Capture orders, reasons, undertakings and deadlines immediately, while keeping final forensic judgement with the advocate.</t>
        </is>
      </c>
      <c r="J33" s="111" t="inlineStr">
        <is>
          <t>P1</t>
        </is>
      </c>
      <c r="K33" s="112" t="inlineStr">
        <is>
          <t>NM never suggests a misleading or order-breaching submission, surfaces controlling adverse authority, and the session cannot close without an order/outcome record and resulting deadlines.</t>
        </is>
      </c>
      <c r="L33" s="112" t="inlineStr">
        <is>
          <t>Human-only performance + NM guard/checklist</t>
        </is>
      </c>
      <c r="M33" s="112" t="inlineStr">
        <is>
          <t>BCI Rules; Supreme Court 2024 INSC 410; PRD D16.26</t>
        </is>
      </c>
    </row>
    <row r="34" ht="108" customHeight="1">
      <c r="A34" s="111" t="inlineStr">
        <is>
          <t>AB-27</t>
        </is>
      </c>
      <c r="B34" s="112" t="inlineStr">
        <is>
          <t>Ongoing service</t>
        </is>
      </c>
      <c r="C34" s="111" t="inlineStr">
        <is>
          <t>D16.27</t>
        </is>
      </c>
      <c r="D34" s="111" t="inlineStr">
        <is>
          <t>Not implemented</t>
        </is>
      </c>
      <c r="E34" s="111" t="inlineStr">
        <is>
          <t>Weak</t>
        </is>
      </c>
      <c r="F34" s="112" t="inlineStr">
        <is>
          <t>CaseSummary is state rather than transcript; changes cascade; resumption leads with changed deadlines; conversations persist across served turns; append-only history, access logs, cost/budget controls, export and privacy checks support continuity and accountability.</t>
        </is>
      </c>
      <c r="G34" s="112" t="inlineStr">
        <is>
          <t>nm/core/summary.py; nm/core/cascade.py; nm/core/queue.py::reorient; nm/app/state.py; nm/core/audit.py; nm/obs/cost.py; nm/edge/export.py; phase4/6/7 tests</t>
        </is>
      </c>
      <c r="H34" s="112" t="inlineStr">
        <is>
          <t>There is no proactive communication cadence, task/owner/review tracker, cost-versus-estimate update, approval reminder, delegated-work supervision, accessibility continuity, complaint handling or material-error disclosure workflow.</t>
        </is>
      </c>
      <c r="I34" s="112" t="inlineStr">
        <is>
          <t>Add MatterAction and ClientUpdate records with event triggers, owner, due/review date and delivery confirmation. Connect budget variance, changed advice, inactivity, missed targets and errors to mandatory updates and escalation.</t>
        </is>
      </c>
      <c r="J34" s="111" t="inlineStr">
        <is>
          <t>P1</t>
        </is>
      </c>
      <c r="K34" s="112" t="inlineStr">
        <is>
          <t>Every material event or period of inactivity produces an update or reason none is due; every open action has owner, status and next review date.</t>
        </is>
      </c>
      <c r="L34" s="112" t="inlineStr">
        <is>
          <t>NM service control + human communication</t>
        </is>
      </c>
      <c r="M34" s="112" t="inlineStr">
        <is>
          <t>BSB client research; SRA Competence; PRD D13B, D16.27</t>
        </is>
      </c>
    </row>
    <row r="35" ht="108" customHeight="1">
      <c r="A35" s="109" t="inlineStr">
        <is>
          <t>AB-28</t>
        </is>
      </c>
      <c r="B35" s="110" t="inlineStr">
        <is>
          <t>After each event and at closure</t>
        </is>
      </c>
      <c r="C35" s="109" t="inlineStr">
        <is>
          <t>D16.28</t>
        </is>
      </c>
      <c r="D35" s="109" t="inlineStr">
        <is>
          <t>Not implemented</t>
        </is>
      </c>
      <c r="E35" s="109" t="inlineStr">
        <is>
          <t>Weak</t>
        </is>
      </c>
      <c r="F35" s="110" t="inlineStr">
        <is>
          <t>Gap close accounts for all remaining gaps; summaries and history preserve current state; matter export is scoped and provenance-aware; retention and erasure plans enumerate stores and derived data and refuse unexamined coverage.</t>
        </is>
      </c>
      <c r="G35" s="110" t="inlineStr">
        <is>
          <t>nm/core/queue.py::close_on_gaps; nm/core/summary.py; nm/core/audit.py; nm/edge/export.py; nm/core/retention.py; test_phase4_queue.py; test_phase6_enterprise.py</t>
        </is>
      </c>
      <c r="H35" s="110" t="inlineStr">
        <is>
          <t>There is no attendance note or event outcome/order/reasons/undertakings capture, appeal/enforcement/compliance decision, closure letter, client-money/original-document account, billing close, continuing-obligation checklist or lessons workflow.</t>
        </is>
      </c>
      <c r="I35" s="110" t="inlineStr">
        <is>
          <t>Add EventOutcome and FileClosure with required action/deadline accounting, appeal/enforcement decision, assets/funds/originals, approvals, export, ongoing duties and retention. Keep lessons de-identified and separate from client content.</t>
        </is>
      </c>
      <c r="J35" s="109" t="inlineStr">
        <is>
          <t>P1</t>
        </is>
      </c>
      <c r="K35" s="110" t="inlineStr">
        <is>
          <t>An event cannot close without outcome and next actions; a matter cannot close with an unexplained deadline, client fund, asset, original document or retention obligation.</t>
        </is>
      </c>
      <c r="L35" s="110" t="inlineStr">
        <is>
          <t>Human closure + NM accounting</t>
        </is>
      </c>
      <c r="M35" s="110" t="inlineStr">
        <is>
          <t>BCI Rules; BSB client research; PRD D16.28</t>
        </is>
      </c>
    </row>
  </sheetData>
  <mergeCells count="4">
    <mergeCell ref="A2:M2"/>
    <mergeCell ref="A6:M6"/>
    <mergeCell ref="A1:M1"/>
    <mergeCell ref="A5:M5"/>
  </mergeCells>
  <conditionalFormatting sqref="D8:D35">
    <cfRule type="expression" priority="1" dxfId="0">
      <formula>$D8="Implemented"</formula>
    </cfRule>
    <cfRule type="expression" priority="2" dxfId="1">
      <formula>$D8="Partial"</formula>
    </cfRule>
    <cfRule type="expression" priority="3" dxfId="2">
      <formula>$D8="Contract only"</formula>
    </cfRule>
    <cfRule type="expression" priority="4" dxfId="3">
      <formula>$D8="Not implemented"</formula>
    </cfRule>
    <cfRule type="expression" priority="8" dxfId="10">
      <formula>$D8="Implemented"</formula>
    </cfRule>
    <cfRule type="expression" priority="9" dxfId="11">
      <formula>$D8="Partial"</formula>
    </cfRule>
    <cfRule type="expression" priority="10" dxfId="12">
      <formula>$D8="Contract only"</formula>
    </cfRule>
    <cfRule type="expression" priority="11" dxfId="13">
      <formula>$D8="Not implemented"</formula>
    </cfRule>
  </conditionalFormatting>
  <conditionalFormatting sqref="J8:J35">
    <cfRule type="containsText" priority="5" operator="containsText" dxfId="3" text="P0"/>
    <cfRule type="containsText" priority="6" operator="containsText" dxfId="1" text="P1"/>
    <cfRule type="containsText" priority="7" operator="containsText" dxfId="6" text="P2"/>
    <cfRule type="containsText" priority="12" operator="containsText" dxfId="13" text="P0"/>
    <cfRule type="containsText" priority="13" operator="containsText" dxfId="11" text="P1"/>
    <cfRule type="containsText" priority="14" operator="containsText" dxfId="16" text="P2"/>
  </conditionalFormatting>
  <dataValidations count="3">
    <dataValidation sqref="D8:D35" showDropDown="0" showInputMessage="0" showErrorMessage="0" allowBlank="0" type="list">
      <formula1>"Implemented,Partial,Contract only,Not implemented"</formula1>
    </dataValidation>
    <dataValidation sqref="E8:E35" showDropDown="0" showInputMessage="0" showErrorMessage="0" allowBlank="0" type="list">
      <formula1>"Strong,Moderate,Weak,None"</formula1>
    </dataValidation>
    <dataValidation sqref="J8:J35" showDropDown="0" showInputMessage="0" showErrorMessage="0" allowBlank="0" type="list">
      <formula1>"P0,P1,P2"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2026-08-28T14:32:51Z</dcterms:created>
  <dcterms:modified xmlns:dcterms="http://purl.org/dc/terms/" xmlns:xsi="http://www.w3.org/2001/XMLSchema-instance" xsi:type="dcterms:W3CDTF">2026-08-29T07:45:24Z</dcterms:modified>
</cp:coreProperties>
</file>