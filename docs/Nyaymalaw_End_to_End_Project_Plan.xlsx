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8f14341a2a5416f" /></Relationships>
</file>

<file path=xl/workbook.xml><?xml version="1.0" encoding="utf-8"?>
<x:workbook xmlns:x="http://schemas.openxmlformats.org/spreadsheetml/2006/main">
  <x:sheets>
    <x:sheet xmlns:r="http://schemas.openxmlformats.org/officeDocument/2006/relationships" name="Read Me" sheetId="1" r:id="R149a85123355467a"/>
    <x:sheet xmlns:r="http://schemas.openxmlformats.org/officeDocument/2006/relationships" name="Overview" sheetId="2" r:id="Ra6f8f47771294c03"/>
    <x:sheet xmlns:r="http://schemas.openxmlformats.org/officeDocument/2006/relationships" name="Delivery Plan" sheetId="3" r:id="R54fb45b3a24f41fb"/>
    <x:sheet xmlns:r="http://schemas.openxmlformats.org/officeDocument/2006/relationships" name="Journey Steps" sheetId="4" r:id="R7d80180826e14508"/>
    <x:sheet xmlns:r="http://schemas.openxmlformats.org/officeDocument/2006/relationships" name="Step Contracts" sheetId="5" r:id="Rd8be2d1a09854696"/>
    <x:sheet xmlns:r="http://schemas.openxmlformats.org/officeDocument/2006/relationships" name="Features" sheetId="6" r:id="R30bd3f3520a9460b"/>
    <x:sheet xmlns:r="http://schemas.openxmlformats.org/officeDocument/2006/relationships" name="Work Items" sheetId="7" r:id="R971a417322734914"/>
    <x:sheet xmlns:r="http://schemas.openxmlformats.org/officeDocument/2006/relationships" name="Traceability" sheetId="8" r:id="R6f4ec5f58851464c"/>
    <x:sheet xmlns:r="http://schemas.openxmlformats.org/officeDocument/2006/relationships" name="Build Assurance" sheetId="9" r:id="R2d0c8492971245c3"/>
    <x:sheet xmlns:r="http://schemas.openxmlformats.org/officeDocument/2006/relationships" name="Release Gates" sheetId="10" r:id="R38efe9503bbb45a0"/>
    <x:sheet xmlns:r="http://schemas.openxmlformats.org/officeDocument/2006/relationships" name="Release Profiles" sheetId="11" r:id="Rcea66ec887c54e9a"/>
    <x:sheet xmlns:r="http://schemas.openxmlformats.org/officeDocument/2006/relationships" name="Readiness Plan" sheetId="12" r:id="R82f596232cbe4b8a"/>
    <x:sheet xmlns:r="http://schemas.openxmlformats.org/officeDocument/2006/relationships" name="Readiness Gaps" sheetId="13" r:id="R33d926ca54b046f1"/>
    <x:sheet xmlns:r="http://schemas.openxmlformats.org/officeDocument/2006/relationships" name="Journey Scenarios" sheetId="14" r:id="Re6b9ea4f08b54cdf"/>
    <x:sheet xmlns:r="http://schemas.openxmlformats.org/officeDocument/2006/relationships" name="Risks" sheetId="15" r:id="Rb7e1de15607746ff"/>
    <x:sheet xmlns:r="http://schemas.openxmlformats.org/officeDocument/2006/relationships" name="Advocate Standard" sheetId="16" r:id="R3e2ff563d679423e"/>
    <x:sheet xmlns:r="http://schemas.openxmlformats.org/officeDocument/2006/relationships" name="Expert Workflow" sheetId="17" r:id="R19c5892c44cd4d92"/>
    <x:sheet xmlns:r="http://schemas.openxmlformats.org/officeDocument/2006/relationships" name="Advice Maturity" sheetId="18" r:id="R58c69acc0e6f43d6"/>
    <x:sheet xmlns:r="http://schemas.openxmlformats.org/officeDocument/2006/relationships" name="Roles &amp; Authority" sheetId="19" r:id="R5a36a41b7feb4a58"/>
    <x:sheet xmlns:r="http://schemas.openxmlformats.org/officeDocument/2006/relationships" name="Gap Closure" sheetId="20" r:id="R4f68e0b1f4c94c28"/>
    <x:sheet xmlns:r="http://schemas.openxmlformats.org/officeDocument/2006/relationships" name="Modules" sheetId="21" r:id="R154a3c545b14493a"/>
    <x:sheet xmlns:r="http://schemas.openxmlformats.org/officeDocument/2006/relationships" name="Execution Packets" sheetId="22" r:id="Rf7a8c1637fd64e27"/>
    <x:sheet xmlns:r="http://schemas.openxmlformats.org/officeDocument/2006/relationships" name="Packet Guide" sheetId="23" r:id="R3f21fd3075a54d1f"/>
    <x:sheet xmlns:r="http://schemas.openxmlformats.org/officeDocument/2006/relationships" name="Acceptance" sheetId="24" r:id="R227c44d84c134c90"/>
    <x:sheet xmlns:r="http://schemas.openxmlformats.org/officeDocument/2006/relationships" name="Decisions" sheetId="25" r:id="R09c8859ca222416b"/>
    <x:sheet xmlns:r="http://schemas.openxmlformats.org/officeDocument/2006/relationships" name="Command Contracts" sheetId="26" r:id="Rfcd94f51db4f496c"/>
    <x:sheet xmlns:r="http://schemas.openxmlformats.org/officeDocument/2006/relationships" name="Evaluation Specs" sheetId="27" r:id="Rcc641b70184a4a06"/>
    <x:sheet xmlns:r="http://schemas.openxmlformats.org/officeDocument/2006/relationships" name="Evaluation Details" sheetId="28" r:id="R3c00c4cbb6d54fad"/>
    <x:sheet xmlns:r="http://schemas.openxmlformats.org/officeDocument/2006/relationships" name="Sources" sheetId="29" r:id="R8819cc8c1a574815"/>
    <x:sheet xmlns:r="http://schemas.openxmlformats.org/officeDocument/2006/relationships" name="Reconciliation" sheetId="30" r:id="R2a93e310751147c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f5089009fa649b7" /><Relationship Type="http://schemas.openxmlformats.org/officeDocument/2006/relationships/theme" Target="/xl/theme/theme1.xml" Id="R349a29a57adc45fd" /><Relationship Type="http://schemas.openxmlformats.org/officeDocument/2006/relationships/sharedStrings" Target="/xl/sharedStrings.xml" Id="R1b6d6a82f946439d" /><Relationship Type="http://schemas.openxmlformats.org/officeDocument/2006/relationships/worksheet" Target="/xl/worksheets/sheet1.xml" Id="R149a85123355467a" /><Relationship Type="http://schemas.openxmlformats.org/officeDocument/2006/relationships/worksheet" Target="/xl/worksheets/sheet2.xml" Id="Ra6f8f47771294c03" /><Relationship Type="http://schemas.openxmlformats.org/officeDocument/2006/relationships/worksheet" Target="/xl/worksheets/sheet3.xml" Id="R54fb45b3a24f41fb" /><Relationship Type="http://schemas.openxmlformats.org/officeDocument/2006/relationships/worksheet" Target="/xl/worksheets/sheet4.xml" Id="R7d80180826e14508" /><Relationship Type="http://schemas.openxmlformats.org/officeDocument/2006/relationships/worksheet" Target="/xl/worksheets/sheet5.xml" Id="Rd8be2d1a09854696" /><Relationship Type="http://schemas.openxmlformats.org/officeDocument/2006/relationships/worksheet" Target="/xl/worksheets/sheet6.xml" Id="R30bd3f3520a9460b" /><Relationship Type="http://schemas.openxmlformats.org/officeDocument/2006/relationships/worksheet" Target="/xl/worksheets/sheet7.xml" Id="R971a417322734914" /><Relationship Type="http://schemas.openxmlformats.org/officeDocument/2006/relationships/worksheet" Target="/xl/worksheets/sheet8.xml" Id="R6f4ec5f58851464c" /><Relationship Type="http://schemas.openxmlformats.org/officeDocument/2006/relationships/worksheet" Target="/xl/worksheets/sheet9.xml" Id="R2d0c8492971245c3" /><Relationship Type="http://schemas.openxmlformats.org/officeDocument/2006/relationships/worksheet" Target="/xl/worksheets/sheet10.xml" Id="R38efe9503bbb45a0" /><Relationship Type="http://schemas.openxmlformats.org/officeDocument/2006/relationships/worksheet" Target="/xl/worksheets/sheet11.xml" Id="Rcea66ec887c54e9a" /><Relationship Type="http://schemas.openxmlformats.org/officeDocument/2006/relationships/worksheet" Target="/xl/worksheets/sheet12.xml" Id="R82f596232cbe4b8a" /><Relationship Type="http://schemas.openxmlformats.org/officeDocument/2006/relationships/worksheet" Target="/xl/worksheets/sheet13.xml" Id="R33d926ca54b046f1" /><Relationship Type="http://schemas.openxmlformats.org/officeDocument/2006/relationships/worksheet" Target="/xl/worksheets/sheet14.xml" Id="Re6b9ea4f08b54cdf" /><Relationship Type="http://schemas.openxmlformats.org/officeDocument/2006/relationships/worksheet" Target="/xl/worksheets/sheet15.xml" Id="Rb7e1de15607746ff" /><Relationship Type="http://schemas.openxmlformats.org/officeDocument/2006/relationships/worksheet" Target="/xl/worksheets/sheet16.xml" Id="R3e2ff563d679423e" /><Relationship Type="http://schemas.openxmlformats.org/officeDocument/2006/relationships/worksheet" Target="/xl/worksheets/sheet17.xml" Id="R19c5892c44cd4d92" /><Relationship Type="http://schemas.openxmlformats.org/officeDocument/2006/relationships/worksheet" Target="/xl/worksheets/sheet18.xml" Id="R58c69acc0e6f43d6" /><Relationship Type="http://schemas.openxmlformats.org/officeDocument/2006/relationships/worksheet" Target="/xl/worksheets/sheet19.xml" Id="R5a36a41b7feb4a58" /><Relationship Type="http://schemas.openxmlformats.org/officeDocument/2006/relationships/worksheet" Target="/xl/worksheets/sheet20.xml" Id="R4f68e0b1f4c94c28" /><Relationship Type="http://schemas.openxmlformats.org/officeDocument/2006/relationships/worksheet" Target="/xl/worksheets/sheet21.xml" Id="R154a3c545b14493a" /><Relationship Type="http://schemas.openxmlformats.org/officeDocument/2006/relationships/worksheet" Target="/xl/worksheets/sheet22.xml" Id="Rf7a8c1637fd64e27" /><Relationship Type="http://schemas.openxmlformats.org/officeDocument/2006/relationships/worksheet" Target="/xl/worksheets/sheet23.xml" Id="R3f21fd3075a54d1f" /><Relationship Type="http://schemas.openxmlformats.org/officeDocument/2006/relationships/worksheet" Target="/xl/worksheets/sheet24.xml" Id="R227c44d84c134c90" /><Relationship Type="http://schemas.openxmlformats.org/officeDocument/2006/relationships/worksheet" Target="/xl/worksheets/sheet25.xml" Id="R09c8859ca222416b" /><Relationship Type="http://schemas.openxmlformats.org/officeDocument/2006/relationships/worksheet" Target="/xl/worksheets/sheet26.xml" Id="Rfcd94f51db4f496c" /><Relationship Type="http://schemas.openxmlformats.org/officeDocument/2006/relationships/worksheet" Target="/xl/worksheets/sheet27.xml" Id="Rcc641b70184a4a06" /><Relationship Type="http://schemas.openxmlformats.org/officeDocument/2006/relationships/worksheet" Target="/xl/worksheets/sheet28.xml" Id="R3c00c4cbb6d54fad" /><Relationship Type="http://schemas.openxmlformats.org/officeDocument/2006/relationships/worksheet" Target="/xl/worksheets/sheet29.xml" Id="R8819cc8c1a574815" /><Relationship Type="http://schemas.openxmlformats.org/officeDocument/2006/relationships/worksheet" Target="/xl/worksheets/sheet30.xml" Id="R2a93e310751147c9" /></Relationships>
</file>

<file path=xl/tables/table1.xml><?xml version="1.0" encoding="utf-8"?>
<x:table xmlns:x="http://schemas.openxmlformats.org/spreadsheetml/2006/main" id="1" name="Plan_ReadMe" displayName="Plan_ReadMe" ref="A3:B52" headerRowCount="1" totalsRowCount="0" totalsRowShown="0">
  <x:autoFilter ref="A3:B5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ReadinessPlan" displayName="Plan_ReadinessPlan" ref="A3:X15" headerRowCount="1" totalsRowCount="0" totalsRowShown="0">
  <x:autoFilter ref="A3:X15"/>
  <x:tableColumns count="24">
    <x:tableColumn id="1" name="Stage"/>
    <x:tableColumn id="2" name="Stage name"/>
    <x:tableColumn id="3" name="Goal"/>
    <x:tableColumn id="4" name="Journey steps"/>
    <x:tableColumn id="5" name="Named work"/>
    <x:tableColumn id="6" name="Release profile"/>
    <x:tableColumn id="7" name="Depends on"/>
    <x:tableColumn id="8" name="Authority needed"/>
    <x:tableColumn id="9" name="Actions"/>
    <x:tableColumn id="10" name="Pilot exit"/>
    <x:tableColumn id="11" name="Production exit"/>
    <x:tableColumn id="12" name="Open decisions"/>
    <x:tableColumn id="13" name="All linked work"/>
    <x:tableColumn id="14" name="Criteria"/>
    <x:tableColumn id="15" name="Criteria recorded PASS"/>
    <x:tableColumn id="16" name="Criteria currently bound PASS"/>
    <x:tableColumn id="17" name="Open code rows"/>
    <x:tableColumn id="18" name="Open browser rows"/>
    <x:tableColumn id="19" name="Open counsel rows"/>
    <x:tableColumn id="20" name="Open model rows"/>
    <x:tableColumn id="21" name="Open production rows"/>
    <x:tableColumn id="22" name="Absent evidence rows"/>
    <x:tableColumn id="23" name="Derived done work"/>
    <x:tableColumn id="24" name="Owning packets"/>
  </x:tableColumns>
  <x:tableStyleInfo name="TableStyleMedium2" showFirstColumn="0" showLastColumn="0" showRowStripes="1" showColumnStripes="0"/>
</x:table>
</file>

<file path=xl/tables/table13.xml><?xml version="1.0" encoding="utf-8"?>
<x:table xmlns:x="http://schemas.openxmlformats.org/spreadsheetml/2006/main" id="13" name="Plan_ReadinessGaps" displayName="Plan_ReadinessGaps" ref="A3:T50" headerRowCount="1" totalsRowCount="0" totalsRowShown="0">
  <x:autoFilter ref="A3:T50"/>
  <x:tableColumns count="20">
    <x:tableColumn id="1" name="Seq"/>
    <x:tableColumn id="2" name="Phase"/>
    <x:tableColumn id="3" name="Step ID"/>
    <x:tableColumn id="4" name="Journey step"/>
    <x:tableColumn id="5" name="Readiness stage"/>
    <x:tableColumn id="6" name="Features (registry implementation)"/>
    <x:tableColumn id="7" name="Registered work"/>
    <x:tableColumn id="8" name="Pilot-required work"/>
    <x:tableColumn id="9" name="Production-required work"/>
    <x:tableColumn id="10" name="Criteria"/>
    <x:tableColumn id="11" name="Criteria recorded PASS"/>
    <x:tableColumn id="12" name="Criteria currently bound PASS"/>
    <x:tableColumn id="13" name="Open code rows"/>
    <x:tableColumn id="14" name="Open browser rows"/>
    <x:tableColumn id="15" name="Open counsel rows"/>
    <x:tableColumn id="16" name="Open model rows"/>
    <x:tableColumn id="17" name="Open production rows"/>
    <x:tableColumn id="18" name="Absent evidence rows"/>
    <x:tableColumn id="19" name="Derived done work"/>
    <x:tableColumn id="20" name="Owning packets"/>
  </x:tableColumns>
  <x:tableStyleInfo name="TableStyleMedium2" showFirstColumn="0" showLastColumn="0" showRowStripes="1" showColumnStripes="0"/>
</x:table>
</file>

<file path=xl/tables/table14.xml><?xml version="1.0" encoding="utf-8"?>
<x:table xmlns:x="http://schemas.openxmlformats.org/spreadsheetml/2006/main" id="14"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5.xml><?xml version="1.0" encoding="utf-8"?>
<x:table xmlns:x="http://schemas.openxmlformats.org/spreadsheetml/2006/main" id="15"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6.xml><?xml version="1.0" encoding="utf-8"?>
<x:table xmlns:x="http://schemas.openxmlformats.org/spreadsheetml/2006/main" id="16"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20.xml><?xml version="1.0" encoding="utf-8"?>
<x:table xmlns:x="http://schemas.openxmlformats.org/spreadsheetml/2006/main" id="20"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21.xml><?xml version="1.0" encoding="utf-8"?>
<x:table xmlns:x="http://schemas.openxmlformats.org/spreadsheetml/2006/main" id="21"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2.xml><?xml version="1.0" encoding="utf-8"?>
<x:table xmlns:x="http://schemas.openxmlformats.org/spreadsheetml/2006/main" id="22"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3.xml><?xml version="1.0" encoding="utf-8"?>
<x:table xmlns:x="http://schemas.openxmlformats.org/spreadsheetml/2006/main" id="23" name="Plan_PacketGuide" displayName="Plan_PacketGuide" ref="A3:E454" headerRowCount="1" totalsRowCount="0" totalsRowShown="0">
  <x:autoFilter ref="A3:E454"/>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4.xml><?xml version="1.0" encoding="utf-8"?>
<x:table xmlns:x="http://schemas.openxmlformats.org/spreadsheetml/2006/main" id="24"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5.xml><?xml version="1.0" encoding="utf-8"?>
<x:table xmlns:x="http://schemas.openxmlformats.org/spreadsheetml/2006/main" id="25"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6.xml><?xml version="1.0" encoding="utf-8"?>
<x:table xmlns:x="http://schemas.openxmlformats.org/spreadsheetml/2006/main" id="26"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7.xml><?xml version="1.0" encoding="utf-8"?>
<x:table xmlns:x="http://schemas.openxmlformats.org/spreadsheetml/2006/main" id="27"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8.xml><?xml version="1.0" encoding="utf-8"?>
<x:table xmlns:x="http://schemas.openxmlformats.org/spreadsheetml/2006/main" id="28"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9.xml><?xml version="1.0" encoding="utf-8"?>
<x:table xmlns:x="http://schemas.openxmlformats.org/spreadsheetml/2006/main" id="29" name="Plan_Sources" displayName="Plan_Sources" ref="A3:D59" headerRowCount="1" totalsRowCount="0" totalsRowShown="0">
  <x:autoFilter ref="A3:D59"/>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30.xml><?xml version="1.0" encoding="utf-8"?>
<x:table xmlns:x="http://schemas.openxmlformats.org/spreadsheetml/2006/main" id="30" name="Plan_Reconciliation" displayName="Plan_Reconciliation" ref="A3:F25" headerRowCount="1" totalsRowCount="0" totalsRowShown="0">
  <x:autoFilter ref="A3:F25"/>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05905339a784959" /></Relationships>
</file>

<file path=xl/worksheets/_rels/sheet2.xml.rels>&#65279;<?xml version="1.0" encoding="utf-8"?><Relationships xmlns="http://schemas.openxmlformats.org/package/2006/relationships"><Relationship Type="http://schemas.openxmlformats.org/officeDocument/2006/relationships/table" Target="/xl/tables/table2.xml" Id="R9655a64f8508455b" /></Relationships>
</file>

<file path=xl/worksheets/_rels/sheet3.xml.rels>&#65279;<?xml version="1.0" encoding="utf-8"?><Relationships xmlns="http://schemas.openxmlformats.org/package/2006/relationships"><Relationship Type="http://schemas.openxmlformats.org/officeDocument/2006/relationships/table" Target="/xl/tables/table3.xml" Id="Ra2b0085b237c4a46" /></Relationships>
</file>

<file path=xl/worksheets/_rels/sheet4.xml.rels>&#65279;<?xml version="1.0" encoding="utf-8"?><Relationships xmlns="http://schemas.openxmlformats.org/package/2006/relationships"><Relationship Type="http://schemas.openxmlformats.org/officeDocument/2006/relationships/table" Target="/xl/tables/table4.xml" Id="Rcba44bb4ccb54890" /></Relationships>
</file>

<file path=xl/worksheets/_rels/sheet5.xml.rels>&#65279;<?xml version="1.0" encoding="utf-8"?><Relationships xmlns="http://schemas.openxmlformats.org/package/2006/relationships"><Relationship Type="http://schemas.openxmlformats.org/officeDocument/2006/relationships/table" Target="/xl/tables/table5.xml" Id="Rb585fe1f18cc461d" /></Relationships>
</file>

<file path=xl/worksheets/_rels/sheet6.xml.rels>&#65279;<?xml version="1.0" encoding="utf-8"?><Relationships xmlns="http://schemas.openxmlformats.org/package/2006/relationships"><Relationship Type="http://schemas.openxmlformats.org/officeDocument/2006/relationships/table" Target="/xl/tables/table6.xml" Id="R5d30596936e046bc" /></Relationships>
</file>

<file path=xl/worksheets/_rels/sheet7.xml.rels>&#65279;<?xml version="1.0" encoding="utf-8"?><Relationships xmlns="http://schemas.openxmlformats.org/package/2006/relationships"><Relationship Type="http://schemas.openxmlformats.org/officeDocument/2006/relationships/table" Target="/xl/tables/table7.xml" Id="R2abde9cd120247c0" /></Relationships>
</file>

<file path=xl/worksheets/_rels/sheet8.xml.rels>&#65279;<?xml version="1.0" encoding="utf-8"?><Relationships xmlns="http://schemas.openxmlformats.org/package/2006/relationships"><Relationship Type="http://schemas.openxmlformats.org/officeDocument/2006/relationships/table" Target="/xl/tables/table8.xml" Id="R852e0b21399b4f90" /></Relationships>
</file>

<file path=xl/worksheets/_rels/sheet9.xml.rels>&#65279;<?xml version="1.0" encoding="utf-8"?><Relationships xmlns="http://schemas.openxmlformats.org/package/2006/relationships"><Relationship Type="http://schemas.openxmlformats.org/officeDocument/2006/relationships/table" Target="/xl/tables/table9.xml" Id="Ra9c3396149a74743" /></Relationships>
</file>

<file path=xl/worksheets/_rels/sheet10.xml.rels>&#65279;<?xml version="1.0" encoding="utf-8"?><Relationships xmlns="http://schemas.openxmlformats.org/package/2006/relationships"><Relationship Type="http://schemas.openxmlformats.org/officeDocument/2006/relationships/table" Target="/xl/tables/table10.xml" Id="Rec7bcbbafeb54d56" /></Relationships>
</file>

<file path=xl/worksheets/_rels/sheet11.xml.rels>&#65279;<?xml version="1.0" encoding="utf-8"?><Relationships xmlns="http://schemas.openxmlformats.org/package/2006/relationships"><Relationship Type="http://schemas.openxmlformats.org/officeDocument/2006/relationships/table" Target="/xl/tables/table11.xml" Id="Rd7d73c172f8b405f" /></Relationships>
</file>

<file path=xl/worksheets/_rels/sheet12.xml.rels>&#65279;<?xml version="1.0" encoding="utf-8"?><Relationships xmlns="http://schemas.openxmlformats.org/package/2006/relationships"><Relationship Type="http://schemas.openxmlformats.org/officeDocument/2006/relationships/table" Target="/xl/tables/table12.xml" Id="R2b6add76d5a84b47" /></Relationships>
</file>

<file path=xl/worksheets/_rels/sheet13.xml.rels>&#65279;<?xml version="1.0" encoding="utf-8"?><Relationships xmlns="http://schemas.openxmlformats.org/package/2006/relationships"><Relationship Type="http://schemas.openxmlformats.org/officeDocument/2006/relationships/table" Target="/xl/tables/table13.xml" Id="R71291855e72b4bea" /></Relationships>
</file>

<file path=xl/worksheets/_rels/sheet14.xml.rels>&#65279;<?xml version="1.0" encoding="utf-8"?><Relationships xmlns="http://schemas.openxmlformats.org/package/2006/relationships"><Relationship Type="http://schemas.openxmlformats.org/officeDocument/2006/relationships/table" Target="/xl/tables/table14.xml" Id="R2cada7df3ce6446c" /></Relationships>
</file>

<file path=xl/worksheets/_rels/sheet15.xml.rels>&#65279;<?xml version="1.0" encoding="utf-8"?><Relationships xmlns="http://schemas.openxmlformats.org/package/2006/relationships"><Relationship Type="http://schemas.openxmlformats.org/officeDocument/2006/relationships/table" Target="/xl/tables/table15.xml" Id="R248d865bf618417c" /></Relationships>
</file>

<file path=xl/worksheets/_rels/sheet16.xml.rels>&#65279;<?xml version="1.0" encoding="utf-8"?><Relationships xmlns="http://schemas.openxmlformats.org/package/2006/relationships"><Relationship Type="http://schemas.openxmlformats.org/officeDocument/2006/relationships/table" Target="/xl/tables/table16.xml" Id="Reea1d35ab9014685" /></Relationships>
</file>

<file path=xl/worksheets/_rels/sheet17.xml.rels>&#65279;<?xml version="1.0" encoding="utf-8"?><Relationships xmlns="http://schemas.openxmlformats.org/package/2006/relationships"><Relationship Type="http://schemas.openxmlformats.org/officeDocument/2006/relationships/table" Target="/xl/tables/table17.xml" Id="Rd35314dc52ed4d01" /></Relationships>
</file>

<file path=xl/worksheets/_rels/sheet18.xml.rels>&#65279;<?xml version="1.0" encoding="utf-8"?><Relationships xmlns="http://schemas.openxmlformats.org/package/2006/relationships"><Relationship Type="http://schemas.openxmlformats.org/officeDocument/2006/relationships/table" Target="/xl/tables/table18.xml" Id="R146d26ba22b54ea0" /></Relationships>
</file>

<file path=xl/worksheets/_rels/sheet19.xml.rels>&#65279;<?xml version="1.0" encoding="utf-8"?><Relationships xmlns="http://schemas.openxmlformats.org/package/2006/relationships"><Relationship Type="http://schemas.openxmlformats.org/officeDocument/2006/relationships/table" Target="/xl/tables/table19.xml" Id="R32f0fb0180044800" /></Relationships>
</file>

<file path=xl/worksheets/_rels/sheet20.xml.rels>&#65279;<?xml version="1.0" encoding="utf-8"?><Relationships xmlns="http://schemas.openxmlformats.org/package/2006/relationships"><Relationship Type="http://schemas.openxmlformats.org/officeDocument/2006/relationships/table" Target="/xl/tables/table20.xml" Id="Rdcc7642d20c34328" /></Relationships>
</file>

<file path=xl/worksheets/_rels/sheet21.xml.rels>&#65279;<?xml version="1.0" encoding="utf-8"?><Relationships xmlns="http://schemas.openxmlformats.org/package/2006/relationships"><Relationship Type="http://schemas.openxmlformats.org/officeDocument/2006/relationships/table" Target="/xl/tables/table21.xml" Id="Rc812d90867ce424a" /></Relationships>
</file>

<file path=xl/worksheets/_rels/sheet22.xml.rels>&#65279;<?xml version="1.0" encoding="utf-8"?><Relationships xmlns="http://schemas.openxmlformats.org/package/2006/relationships"><Relationship Type="http://schemas.openxmlformats.org/officeDocument/2006/relationships/table" Target="/xl/tables/table22.xml" Id="Re353b6e30f42479c" /></Relationships>
</file>

<file path=xl/worksheets/_rels/sheet23.xml.rels>&#65279;<?xml version="1.0" encoding="utf-8"?><Relationships xmlns="http://schemas.openxmlformats.org/package/2006/relationships"><Relationship Type="http://schemas.openxmlformats.org/officeDocument/2006/relationships/table" Target="/xl/tables/table23.xml" Id="R3fdd5b746f2e42fe" /></Relationships>
</file>

<file path=xl/worksheets/_rels/sheet24.xml.rels>&#65279;<?xml version="1.0" encoding="utf-8"?><Relationships xmlns="http://schemas.openxmlformats.org/package/2006/relationships"><Relationship Type="http://schemas.openxmlformats.org/officeDocument/2006/relationships/table" Target="/xl/tables/table24.xml" Id="R65c82421dd7d4da5" /></Relationships>
</file>

<file path=xl/worksheets/_rels/sheet25.xml.rels>&#65279;<?xml version="1.0" encoding="utf-8"?><Relationships xmlns="http://schemas.openxmlformats.org/package/2006/relationships"><Relationship Type="http://schemas.openxmlformats.org/officeDocument/2006/relationships/table" Target="/xl/tables/table25.xml" Id="R469c9d06e04c49aa" /></Relationships>
</file>

<file path=xl/worksheets/_rels/sheet26.xml.rels>&#65279;<?xml version="1.0" encoding="utf-8"?><Relationships xmlns="http://schemas.openxmlformats.org/package/2006/relationships"><Relationship Type="http://schemas.openxmlformats.org/officeDocument/2006/relationships/table" Target="/xl/tables/table26.xml" Id="R71b69d90ae88472a" /></Relationships>
</file>

<file path=xl/worksheets/_rels/sheet27.xml.rels>&#65279;<?xml version="1.0" encoding="utf-8"?><Relationships xmlns="http://schemas.openxmlformats.org/package/2006/relationships"><Relationship Type="http://schemas.openxmlformats.org/officeDocument/2006/relationships/table" Target="/xl/tables/table27.xml" Id="R6685f2fe7bef4a17" /></Relationships>
</file>

<file path=xl/worksheets/_rels/sheet28.xml.rels>&#65279;<?xml version="1.0" encoding="utf-8"?><Relationships xmlns="http://schemas.openxmlformats.org/package/2006/relationships"><Relationship Type="http://schemas.openxmlformats.org/officeDocument/2006/relationships/table" Target="/xl/tables/table28.xml" Id="R6fdc334543ae4d22" /></Relationships>
</file>

<file path=xl/worksheets/_rels/sheet29.xml.rels>&#65279;<?xml version="1.0" encoding="utf-8"?><Relationships xmlns="http://schemas.openxmlformats.org/package/2006/relationships"><Relationship Type="http://schemas.openxmlformats.org/officeDocument/2006/relationships/table" Target="/xl/tables/table29.xml" Id="R2477c26bf18c40af" /></Relationships>
</file>

<file path=xl/worksheets/_rels/sheet30.xml.rels>&#65279;<?xml version="1.0" encoding="utf-8"?><Relationships xmlns="http://schemas.openxmlformats.org/package/2006/relationships"><Relationship Type="http://schemas.openxmlformats.org/officeDocument/2006/relationships/table" Target="/xl/tables/table30.xml" Id="R9c0638d80dca4288"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6692cae52cfaf2a5086fdb149b3e575f528f4371564c685d9828c52a9c8599e6 and this tree is aefad035dc3e62299f5464eb9b0173037311fd497187158cb57c6b243d9a1cc6, so it is stale</x:v>
      </x:c>
    </x:row>
    <x:row r="14" ht="40" customHeight="1">
      <x:c r="A14" s="3" t="str">
        <x:v>Execution evidence issue 3</x:v>
      </x:c>
      <x:c r="B14" s="3" t="str">
        <x:v>BK-31-AC22/browser_journey: the report is about 6692cae52cfaf2a5086fdb149b3e575f528f4371564c685d9828c52a9c8599e6 and this tree is aefad035dc3e62299f5464eb9b0173037311fd497187158cb57c6b243d9a1cc6, so it is stale</x:v>
      </x:c>
    </x:row>
    <x:row r="15" ht="40" customHeight="1">
      <x:c r="A15" s="14" t="str">
        <x:v>Execution evidence issue 4</x:v>
      </x:c>
      <x:c r="B15" s="14" t="str">
        <x:v>BK-32-AC1/browser_journey: the report is about 6692cae52cfaf2a5086fdb149b3e575f528f4371564c685d9828c52a9c8599e6 and this tree is aefad035dc3e62299f5464eb9b0173037311fd497187158cb57c6b243d9a1cc6, so it is stale</x:v>
      </x:c>
    </x:row>
    <x:row r="16" ht="40" customHeight="1">
      <x:c r="A16" s="3" t="str">
        <x:v>Execution evidence issue 5</x:v>
      </x:c>
      <x:c r="B16" s="3" t="str">
        <x:v>BK-33-AC2/browser_journey: the report is about 6692cae52cfaf2a5086fdb149b3e575f528f4371564c685d9828c52a9c8599e6 and this tree is aefad035dc3e62299f5464eb9b0173037311fd497187158cb57c6b243d9a1cc6, so it is stale</x:v>
      </x:c>
    </x:row>
    <x:row r="17" ht="40" customHeight="1">
      <x:c r="A17" s="14" t="str">
        <x:v>Execution evidence issue 6</x:v>
      </x:c>
      <x:c r="B17" s="14" t="str">
        <x:v>BK-38-AC1/browser_journey: the report is about 6692cae52cfaf2a5086fdb149b3e575f528f4371564c685d9828c52a9c8599e6 and this tree is aefad035dc3e62299f5464eb9b0173037311fd497187158cb57c6b243d9a1cc6, so it is stale</x:v>
      </x:c>
    </x:row>
    <x:row r="18" ht="40" customHeight="1">
      <x:c r="A18" s="3" t="str">
        <x:v>Execution evidence issue 7</x:v>
      </x:c>
      <x:c r="B18" s="3" t="str">
        <x:v>BK-38-AC2/browser_journey: the report is about 6692cae52cfaf2a5086fdb149b3e575f528f4371564c685d9828c52a9c8599e6 and this tree is aefad035dc3e62299f5464eb9b0173037311fd497187158cb57c6b243d9a1cc6, so it is stale</x:v>
      </x:c>
    </x:row>
    <x:row r="19" ht="40" customHeight="1">
      <x:c r="A19" s="14" t="str">
        <x:v>Execution evidence issue 8</x:v>
      </x:c>
      <x:c r="B19" s="14" t="str">
        <x:v>BK-39-AC2/browser_journey: the report is about 6692cae52cfaf2a5086fdb149b3e575f528f4371564c685d9828c52a9c8599e6 and this tree is aefad035dc3e62299f5464eb9b0173037311fd497187158cb57c6b243d9a1cc6, so it is stale</x:v>
      </x:c>
    </x:row>
    <x:row r="20" ht="40" customHeight="1">
      <x:c r="A20" s="3" t="str">
        <x:v>Execution evidence issue 9</x:v>
      </x:c>
      <x:c r="B20" s="3" t="str">
        <x:v>BK-42-AC7/browser_journey: the report is about 6692cae52cfaf2a5086fdb149b3e575f528f4371564c685d9828c52a9c8599e6 and this tree is aefad035dc3e62299f5464eb9b0173037311fd497187158cb57c6b243d9a1cc6, so it is stale</x:v>
      </x:c>
    </x:row>
    <x:row r="21" ht="40" customHeight="1">
      <x:c r="A21" s="14" t="str">
        <x:v>Execution evidence issue 10</x:v>
      </x:c>
      <x:c r="B21" s="14" t="str">
        <x:v>BK-56-AC4/browser_journey: the report is about 6692cae52cfaf2a5086fdb149b3e575f528f4371564c685d9828c52a9c8599e6 and this tree is aefad035dc3e62299f5464eb9b0173037311fd497187158cb57c6b243d9a1cc6, so it is stale</x:v>
      </x:c>
    </x:row>
    <x:row r="22" ht="40" customHeight="1">
      <x:c r="A22" s="3" t="str">
        <x:v>Execution evidence issue 11</x:v>
      </x:c>
      <x:c r="B22" s="3" t="str">
        <x:v>BK-58-AC3/browser_journey: the report is about 6692cae52cfaf2a5086fdb149b3e575f528f4371564c685d9828c52a9c8599e6 and this tree is aefad035dc3e62299f5464eb9b0173037311fd497187158cb57c6b243d9a1cc6, so it is stale</x:v>
      </x:c>
    </x:row>
    <x:row r="23" ht="40" customHeight="1">
      <x:c r="A23" s="14" t="str">
        <x:v>Execution evidence issue 12</x:v>
      </x:c>
      <x:c r="B23" s="14" t="str">
        <x:v>BK-65-AC1/browser_journey: the report is about 6692cae52cfaf2a5086fdb149b3e575f528f4371564c685d9828c52a9c8599e6 and this tree is aefad035dc3e62299f5464eb9b0173037311fd497187158cb57c6b243d9a1cc6, so it is stale</x:v>
      </x:c>
    </x:row>
    <x:row r="24" ht="40" customHeight="1">
      <x:c r="A24" s="3" t="str">
        <x:v>Execution evidence issue 13</x:v>
      </x:c>
      <x:c r="B24" s="3" t="str">
        <x:v>BK-66-AC3/browser_journey: the report is about 6692cae52cfaf2a5086fdb149b3e575f528f4371564c685d9828c52a9c8599e6 and this tree is aefad035dc3e62299f5464eb9b0173037311fd497187158cb57c6b243d9a1cc6, so it is stale</x:v>
      </x:c>
    </x:row>
    <x:row r="25" ht="40" customHeight="1">
      <x:c r="A25" s="14" t="str">
        <x:v>Execution evidence issue 14</x:v>
      </x:c>
      <x:c r="B25" s="14" t="str">
        <x:v>BK-68-AC1/browser_journey: the report is about 6692cae52cfaf2a5086fdb149b3e575f528f4371564c685d9828c52a9c8599e6 and this tree is aefad035dc3e62299f5464eb9b0173037311fd497187158cb57c6b243d9a1cc6, so it is stale</x:v>
      </x:c>
    </x:row>
    <x:row r="26" ht="40" customHeight="1">
      <x:c r="A26" s="3" t="str">
        <x:v>Execution evidence issue 15</x:v>
      </x:c>
      <x:c r="B26" s="3" t="str">
        <x:v>BK-72-AC1/browser_journey: the report is about 6692cae52cfaf2a5086fdb149b3e575f528f4371564c685d9828c52a9c8599e6 and this tree is aefad035dc3e62299f5464eb9b0173037311fd497187158cb57c6b243d9a1cc6, so it is stale</x:v>
      </x:c>
    </x:row>
    <x:row r="27" ht="40" customHeight="1">
      <x:c r="A27" s="14" t="str">
        <x:v>Execution evidence issue 16</x:v>
      </x:c>
      <x:c r="B27" s="14" t="str">
        <x:v>J-5-AC1/browser_journey: the report is about 6692cae52cfaf2a5086fdb149b3e575f528f4371564c685d9828c52a9c8599e6 and this tree is aefad035dc3e62299f5464eb9b0173037311fd497187158cb57c6b243d9a1cc6, so it is stale</x:v>
      </x:c>
    </x:row>
    <x:row r="28" ht="40" customHeight="1">
      <x:c r="A28" s="3" t="str">
        <x:v>Execution evidence issue 17</x:v>
      </x:c>
      <x:c r="B28" s="3" t="str">
        <x:v>J-7-AC1/browser_journey: the report is about 6692cae52cfaf2a5086fdb149b3e575f528f4371564c685d9828c52a9c8599e6 and this tree is aefad035dc3e62299f5464eb9b0173037311fd497187158cb57c6b243d9a1cc6, so it is stale</x:v>
      </x:c>
    </x:row>
    <x:row r="29" ht="40" customHeight="1">
      <x:c r="A29" s="14" t="str">
        <x:v>Execution evidence issue 18</x:v>
      </x:c>
      <x:c r="B29" s="14" t="str">
        <x:v>J-8-AC1/browser_journey: the report is about 6692cae52cfaf2a5086fdb149b3e575f528f4371564c685d9828c52a9c8599e6 and this tree is aefad035dc3e62299f5464eb9b0173037311fd497187158cb57c6b243d9a1cc6, so it is stale</x:v>
      </x:c>
    </x:row>
    <x:row r="30" ht="40" customHeight="1">
      <x:c r="A30" s="3" t="str">
        <x:v>Execution evidence issue 19</x:v>
      </x:c>
      <x:c r="B30" s="3" t="str">
        <x:v>BK-92-AC3/browser_journey: the report is about 6692cae52cfaf2a5086fdb149b3e575f528f4371564c685d9828c52a9c8599e6 and this tree is aefad035dc3e62299f5464eb9b0173037311fd497187158cb57c6b243d9a1cc6, so it is stale</x:v>
      </x:c>
    </x:row>
    <x:row r="31" ht="40" customHeight="1">
      <x:c r="A31" s="14" t="str">
        <x:v>Released</x:v>
      </x:c>
      <x:c r="B31" s="14" t="str">
        <x:v>This workbook records no deployment authorisation. Item readiness is not a release decision. Use a separately recorded release-profile decision with its exact population, environment, owners and current evidence.</x:v>
      </x:c>
    </x:row>
    <x:row r="32" ht="40" customHeight="1">
      <x:c r="A32" s="3" t="str">
        <x:v>Wave and release controls</x:v>
      </x:c>
      <x:c r="B32" s="3" t="str">
        <x:v>BK-80 checks exact release-profile criterion membership and current bound evidence. A populated profile, complete obligation report or green registry lint still cannot approve a release.</x:v>
      </x:c>
    </x:row>
    <x:row r="33" ht="55" customHeight="1">
      <x:c r="A33" s="14" t="str">
        <x:v>Core workflow</x:v>
      </x:c>
      <x:c r="B3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4" ht="40" customHeight="1">
      <x:c r="A34" s="3" t="str">
        <x:v>Senior-advocate quality</x:v>
      </x:c>
      <x:c r="B34" s="3" t="str">
        <x:v>Test independent judgment, adverse-case candour, proportionality, source discipline, scope and role authority. Accurate calculation does not establish the legal premise. Professional review is independent of code-test success.</x:v>
      </x:c>
    </x:row>
    <x:row r="35" ht="40" customHeight="1">
      <x:c r="A35" s="14" t="str">
        <x:v>Media scope</x:v>
      </x:c>
      <x:c r="B35" s="14" t="str">
        <x:v>The intended intake includes voice, audio/video, images and documents. Publish supported formats, limits, language and processing capability; quarantine or refuse unsupported, unsafe or unconsented material without pretending it was read.</x:v>
      </x:c>
    </x:row>
    <x:row r="36" ht="27" customHeight="1">
      <x:c r="A36" s="3" t="str">
        <x:v>Before a change</x:v>
      </x:c>
      <x:c r="B36" s="3" t="str">
        <x:v>docs/playbooks/START_A_CHANGE.md — register the claim, affected journey, acceptance, evidence scope, risk and authority.</x:v>
      </x:c>
    </x:row>
    <x:row r="37" ht="40" customHeight="1">
      <x:c r="A37" s="14" t="str">
        <x:v>While building</x:v>
      </x:c>
      <x:c r="B37" s="14" t="str">
        <x:v>docs/playbooks/BUILD_A_CHANGE.md — build the registered outcome, preserve boundaries and maintain recovery and correction behaviour.</x:v>
      </x:c>
    </x:row>
    <x:row r="38" ht="40" customHeight="1">
      <x:c r="A38" s="3" t="str">
        <x:v>While testing</x:v>
      </x:c>
      <x:c r="B38" s="3" t="str">
        <x:v>docs/playbooks/TEST_A_CHANGE.md — verify the promised outcome, negative controls and applicable integration, browser and legal evidence.</x:v>
      </x:c>
    </x:row>
    <x:row r="39" ht="40" customHeight="1">
      <x:c r="A39" s="14" t="str">
        <x:v>At sign-off</x:v>
      </x:c>
      <x:c r="B39" s="14" t="str">
        <x:v>docs/playbooks/SIGN_OFF_A_CHANGE.md — reconcile claims, evidence, residual risks and release authority. Do not turn a test-run approval into risk acceptance.</x:v>
      </x:c>
    </x:row>
    <x:row r="40" ht="40" customHeight="1">
      <x:c r="A40" s="3" t="str">
        <x:v>Maintenance</x:v>
      </x:c>
      <x:c r="B40" s="3" t="str">
        <x:v>Change the authoritative source, then regenerate. Do not edit workbook status cells. Source hashes in Sources identify this snapshot and prevent concurrent-source changes during export.</x:v>
      </x:c>
    </x:row>
    <x:row r="41" ht="27" customHeight="1">
      <x:c r="A41" s="14" t="str">
        <x:v>Source hash convention</x:v>
      </x:c>
      <x:c r="B41" s="14" t="str">
        <x:v>UTF-8 text .md/.json/.yaml/.js/.mjs/.py normalises CRLF to LF; other files hash exact bytes.</x:v>
      </x:c>
    </x:row>
    <x:row r="42" ht="40" customHeight="1">
      <x:c r="A42" s="3" t="str">
        <x:v>Prior plans</x:v>
      </x:c>
      <x:c r="B42" s="3" t="str">
        <x:v>The original vertical-slice workbook and the 9 September end-to-end workbook remain historical references. This is the current generated view; it does not replace their evidence record.</x:v>
      </x:c>
    </x:row>
    <x:row r="43" ht="40" customHeight="1">
      <x:c r="A43" s="14" t="str">
        <x:v>Scenario and risk catalogues</x:v>
      </x:c>
      <x:c r="B43" s="14" t="str">
        <x:v>JS-, R- and G-labels organise preserved design examples in assurance/specification/plan/view_content.json. They are not extra work items or executed proofs. Each points to registered delivery work; execution coverage must be recorded there.</x:v>
      </x:c>
    </x:row>
    <x:row r="44" ht="40" customHeight="1">
      <x:c r="A44" s="3" t="str">
        <x:v>Journey principle</x:v>
      </x:c>
      <x:c r="B44" s="3" t="str">
        <x:v>The 47 steps are observable obligations, not 47 mandatory screens. Take the Brief, Work the File and Advise share one current file and can loop.</x:v>
      </x:c>
    </x:row>
    <x:row r="45" ht="130" customHeight="1">
      <x:c r="A45" s="14" t="str">
        <x:v>Normal working loop</x:v>
      </x:c>
      <x:c r="B4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6" ht="85" customHeight="1">
      <x:c r="A46" s="3" t="str">
        <x:v>Return triggers</x:v>
      </x:c>
      <x:c r="B46" s="3" t="str">
        <x:v>new material fact or conflicting source
changed objective, authority or role
new party, event, deadline or legal premise
unavailable evidence or failed processing
advocate correction, disagreement or new task</x:v>
      </x:c>
    </x:row>
    <x:row r="47" ht="40" customHeight="1">
      <x:c r="A47" s="14" t="str">
        <x:v>Return behaviour</x:v>
      </x:c>
      <x:c r="B47" s="14" t="str">
        <x:v>Invalidate affected conclusions, clearance and readiness; preserve unchanged work and history; explain the change and return to the earliest necessary assessment, not the start of a fixed questionnaire.</x:v>
      </x:c>
    </x:row>
    <x:row r="48" ht="55" customHeight="1">
      <x:c r="A48" s="3" t="str">
        <x:v>Stop and resume</x:v>
      </x:c>
      <x:c r="B4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9" ht="40" customHeight="1">
      <x:c r="A49" s="14" t="str">
        <x:v>Maturity rule</x:v>
      </x:c>
      <x:c r="B49" s="14" t="str">
        <x:v>AM-01 to AM-05 are permissions for a particular output, not a confidence score or a one-way progress bar. New facts may downgrade readiness; action authority remains separate from advice quality.</x:v>
      </x:c>
    </x:row>
    <x:row r="50" ht="27" customHeight="1">
      <x:c r="A50" s="3" t="str">
        <x:v>Snapshot</x:v>
      </x:c>
      <x:c r="B50" s="15" t="n">
        <x:v>46279.712216747685</x:v>
      </x:c>
    </x:row>
    <x:row r="51" ht="27" customHeight="1">
      <x:c r="A51" s="14" t="str">
        <x:v>Git identity</x:v>
      </x:c>
      <x:c r="B51" s="14" t="str">
        <x:v>edd8d028321df62b3f3d47b55ecf41b9c4f78973+dirty</x:v>
      </x:c>
    </x:row>
    <x:row r="52" ht="27" customHeight="1">
      <x:c r="A52" s="3" t="str">
        <x:v>Execution fingerprint</x:v>
      </x:c>
      <x:c r="B52" s="3" t="str">
        <x:v>aefad035dc3e62299f5464eb9b0173037311fd497187158cb57c6b243d9a1cc6</x:v>
      </x:c>
    </x:row>
  </x:sheetData>
  <x:mergeCells>
    <x:mergeCell ref="A1:B1"/>
    <x:mergeCell ref="A2:B2"/>
  </x:mergeCells>
  <x:pageMargins left="0.7" right="0.7" top="0.75" bottom="0.75" header="0.3" footer="0.3"/>
  <x:tableParts count="1">
    <x:tablePart xmlns:r="http://schemas.openxmlformats.org/officeDocument/2006/relationships" r:id="Rb05905339a784959"/>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9655a64f8508455b"/>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a2b0085b237c4a46"/>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cba44bb4ccb54890"/>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b585fe1f18cc461d"/>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5d30596936e046bc"/>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frontend/app.js:446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2abde9cd120247c0"/>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70"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backend/nm/,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852e0b21399b4f90"/>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40" customHeight="1">
      <x:c r="A22" s="3" t="str">
        <x:v>BG-019</x:v>
      </x:c>
      <x:c r="B22" s="3" t="str">
        <x:v>before</x:v>
      </x:c>
      <x:c r="C22" s="3" t="str">
        <x:v>ready</x:v>
      </x:c>
      <x:c r="D22" s="3" t="str">
        <x:v>A registered item and one delivery wave own it.</x:v>
      </x:c>
      <x:c r="E22" s="3" t="str">
        <x:v>runner</x:v>
      </x:c>
      <x:c r="F22" s="3" t="str">
        <x:v>assurance/control_plane/backlog.py lint -- active item has no delivery wave</x:v>
      </x:c>
      <x:c r="G22" s="3" t="str"/>
      <x:c r="H22" s="3" t="str"/>
      <x:c r="I22" s="3" t="str">
        <x:v>docs/playbooks/START_A_CHANGE.md</x:v>
      </x:c>
    </x:row>
    <x:row r="23" ht="40" customHeight="1">
      <x:c r="A23" s="14" t="str">
        <x:v>BG-020</x:v>
      </x:c>
      <x:c r="B23" s="14" t="str">
        <x:v>before</x:v>
      </x:c>
      <x:c r="C23" s="14" t="str">
        <x:v>ready</x:v>
      </x:c>
      <x:c r="D23" s="14" t="str">
        <x:v>Dependencies are known and do not run backward.</x:v>
      </x:c>
      <x:c r="E23" s="14" t="str">
        <x:v>runner</x:v>
      </x:c>
      <x:c r="F23" s="14" t="str">
        <x:v>assurance/control_plane/backlog.py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assurance/control_plane/backlog.py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assurance/control_plane/backlog.py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assurance/control_plane/backlog.py lint -- row not in the registry, or no wave</x:v>
      </x:c>
      <x:c r="G51" s="14" t="str"/>
      <x:c r="H51" s="14" t="str"/>
      <x:c r="I51" s="14" t="str">
        <x:v>docs/playbooks/START_A_CHANGE.md</x:v>
      </x:c>
    </x:row>
    <x:row r="52" ht="40" customHeight="1">
      <x:c r="A52" s="3" t="str">
        <x:v>BG-049</x:v>
      </x:c>
      <x:c r="B52" s="3" t="str">
        <x:v>before</x:v>
      </x:c>
      <x:c r="C52" s="3" t="str">
        <x:v>stop</x:v>
      </x:c>
      <x:c r="D52" s="3" t="str">
        <x:v>a hard dependency is later than its consumer</x:v>
      </x:c>
      <x:c r="E52" s="3" t="str">
        <x:v>runner</x:v>
      </x:c>
      <x:c r="F52" s="3" t="str">
        <x:v>assurance/control_plane/backlog.py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a9c3396149a74743"/>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ec7bcbbafeb54d56"/>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d7d73c172f8b405f"/>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34" hidden="0" customWidth="1"/>
    <x:col min="3" max="3" width="60" hidden="0" customWidth="1"/>
    <x:col min="4" max="4" width="34" hidden="0" customWidth="1"/>
    <x:col min="5" max="5" width="26" hidden="0" customWidth="1"/>
    <x:col min="6" max="6" width="15" hidden="0" customWidth="1"/>
    <x:col min="7" max="7" width="26" hidden="0" customWidth="1"/>
    <x:col min="8" max="8" width="32" hidden="0" customWidth="1"/>
    <x:col min="9" max="9" width="80" hidden="0" customWidth="1"/>
    <x:col min="10" max="10" width="62" hidden="0" customWidth="1"/>
    <x:col min="11" max="11" width="50" hidden="0" customWidth="1"/>
    <x:col min="12" max="12" width="55" hidden="0" customWidth="1"/>
    <x:col min="13" max="13" width="40" hidden="0" customWidth="1"/>
    <x:col min="14" max="14" width="11" hidden="0" customWidth="1"/>
    <x:col min="15" max="15" width="15" hidden="0" customWidth="1"/>
    <x:col min="16" max="16" width="15" hidden="0" customWidth="1"/>
    <x:col min="17" max="17" width="12" hidden="0" customWidth="1"/>
    <x:col min="18" max="18" width="12" hidden="0" customWidth="1"/>
    <x:col min="19" max="19" width="12" hidden="0" customWidth="1"/>
    <x:col min="20" max="20" width="12" hidden="0" customWidth="1"/>
    <x:col min="21" max="21" width="12" hidden="0" customWidth="1"/>
    <x:col min="22" max="22" width="13" hidden="0" customWidth="1"/>
    <x:col min="23" max="23" width="12" hidden="0" customWidth="1"/>
    <x:col min="24" max="24" width="34" hidden="0" customWidth="1"/>
  </x:cols>
  <x:sheetData>
    <x:row r="1" ht="29" customHeight="1">
      <x:c r="A1" s="5" t="str">
        <x:v>The route to release, stage by stage through the journey</x:v>
      </x:c>
      <x:c r="B1" s="6"/>
      <x:c r="C1" s="6"/>
      <x:c r="D1" s="6"/>
      <x:c r="E1" s="6"/>
      <x:c r="F1" s="6"/>
      <x:c r="G1" s="6"/>
      <x:c r="H1" s="6"/>
      <x:c r="I1" s="6"/>
      <x:c r="J1" s="6"/>
      <x:c r="K1" s="6"/>
      <x:c r="L1" s="6"/>
      <x:c r="M1" s="6"/>
      <x:c r="N1" s="6"/>
      <x:c r="O1" s="6"/>
      <x:c r="P1" s="6"/>
      <x:c r="Q1" s="6"/>
      <x:c r="R1" s="6"/>
      <x:c r="S1" s="6"/>
      <x:c r="T1" s="6"/>
      <x:c r="U1" s="6"/>
      <x:c r="V1" s="6"/>
      <x:c r="W1" s="6"/>
      <x:c r="X1" s="6"/>
    </x:row>
    <x:row r="2" ht="43" customHeight="1">
      <x:c r="A2" s="7" t="str">
        <x:v>Authored sequence from the current state to a bounded pilot and a named production release, following the advocate's journey. Stages advance in journey order; a stage's exit is claimed only after the stages it depends on meet theirs. Every measured gap is derived at export from the registries -- this object carries intent, never a status, verdict or approval. Measured columns are this snapshot's derivation: "recorded" counts results written in status.yaml; "currently bound" counts only those bound to this tree's execution evidence. No stage exit is claimed by this sheet.</x:v>
      </x:c>
      <x:c r="B2" s="7"/>
      <x:c r="C2" s="7"/>
      <x:c r="D2" s="7"/>
      <x:c r="E2" s="7"/>
      <x:c r="F2" s="7"/>
      <x:c r="G2" s="7"/>
      <x:c r="H2" s="7"/>
      <x:c r="I2" s="7"/>
      <x:c r="J2" s="7"/>
      <x:c r="K2" s="7"/>
      <x:c r="L2" s="7"/>
      <x:c r="M2" s="7"/>
      <x:c r="N2" s="7"/>
      <x:c r="O2" s="7"/>
      <x:c r="P2" s="7"/>
      <x:c r="Q2" s="7"/>
      <x:c r="R2" s="7"/>
      <x:c r="S2" s="7"/>
      <x:c r="T2" s="7"/>
      <x:c r="U2" s="7"/>
      <x:c r="V2" s="7"/>
      <x:c r="W2" s="7"/>
      <x:c r="X2" s="7"/>
    </x:row>
    <x:row r="3" ht="40" customHeight="1">
      <x:c r="A3" s="12" t="str">
        <x:v>Stage</x:v>
      </x:c>
      <x:c r="B3" s="16" t="str">
        <x:v>Stage name</x:v>
      </x:c>
      <x:c r="C3" s="16" t="str">
        <x:v>Goal</x:v>
      </x:c>
      <x:c r="D3" s="16" t="str">
        <x:v>Journey steps</x:v>
      </x:c>
      <x:c r="E3" s="16" t="str">
        <x:v>Named work</x:v>
      </x:c>
      <x:c r="F3" s="16" t="str">
        <x:v>Release profile</x:v>
      </x:c>
      <x:c r="G3" s="16" t="str">
        <x:v>Depends on</x:v>
      </x:c>
      <x:c r="H3" s="16" t="str">
        <x:v>Authority needed</x:v>
      </x:c>
      <x:c r="I3" s="16" t="str">
        <x:v>Actions</x:v>
      </x:c>
      <x:c r="J3" s="16" t="str">
        <x:v>Pilot exit</x:v>
      </x:c>
      <x:c r="K3" s="16" t="str">
        <x:v>Production exit</x:v>
      </x:c>
      <x:c r="L3" s="16" t="str">
        <x:v>Open decisions</x:v>
      </x:c>
      <x:c r="M3" s="16" t="str">
        <x:v>All linked work</x:v>
      </x:c>
      <x:c r="N3" s="16" t="str">
        <x:v>Criteria</x:v>
      </x:c>
      <x:c r="O3" s="16" t="str">
        <x:v>Criteria recorded PASS</x:v>
      </x:c>
      <x:c r="P3" s="16" t="str">
        <x:v>Criteria currently bound PASS</x:v>
      </x:c>
      <x:c r="Q3" s="16" t="str">
        <x:v>Open code rows</x:v>
      </x:c>
      <x:c r="R3" s="16" t="str">
        <x:v>Open browser rows</x:v>
      </x:c>
      <x:c r="S3" s="16" t="str">
        <x:v>Open counsel rows</x:v>
      </x:c>
      <x:c r="T3" s="16" t="str">
        <x:v>Open model rows</x:v>
      </x:c>
      <x:c r="U3" s="16" t="str">
        <x:v>Open production rows</x:v>
      </x:c>
      <x:c r="V3" s="16" t="str">
        <x:v>Absent evidence rows</x:v>
      </x:c>
      <x:c r="W3" s="16" t="str">
        <x:v>Derived done work</x:v>
      </x:c>
      <x:c r="X3" s="13" t="str">
        <x:v>Owning packets</x:v>
      </x:c>
    </x:row>
    <x:row r="4" ht="220" customHeight="1">
      <x:c r="A4" s="3" t="str">
        <x:v>RP-00</x:v>
      </x:c>
      <x:c r="B4" s="3" t="str">
        <x:v>A truthful baseline</x:v>
      </x:c>
      <x:c r="C4" s="3" t="str">
        <x:v>Make every later claim measurable: the registry says what the code does, every required evidence level is counted, every served route has a contract, and the release scorecard describes the corpus the product actually reads.</x:v>
      </x:c>
      <x:c r="D4" s="3" t="str"/>
      <x:c r="E4" s="3" t="str">
        <x:v>BK-52, BK-80, BK-87, BK-89, BK-90</x:v>
      </x:c>
      <x:c r="F4" s="3" t="str">
        <x:v>None</x:v>
      </x:c>
      <x:c r="G4" s="3" t="str"/>
      <x:c r="H4" s="3" t="str">
        <x:v>engineering</x:v>
      </x:c>
      <x:c r="I4" s="3" t="str">
        <x:v>Land the evidence-population check and hold its exact, owned debt in known_failures.yaml.
Reconcile each feature's authored implementation state against its served code, feature by feature, with @implements and a named test -- never from a search result alone.
Correct items authored implementation none that carry behavioural PASS evidence, checking each against its source.
Bind every served route to a versioned command contract, or exclude it with a recorded reason; give each contract its current route.
Place criteria no packet claims as a final owner.
Re-measure assurance/specification/coverage.yaml against the published corpus snapshot.
Run assurance/gate/mutate.py to completion on a frozen tree so passing controls are shown able to fail.</x:v>
      </x:c>
      <x:c r="J4" s="3" t="str">
        <x:v>assurance/control_plane/backlog.py population reports only registered debt, and that debt shrinks with each stage.
trace reports no feature whose authored implementation contradicts its code.
Every served route is contracted or excluded with a reason.
The release scorecard's measurement is newer than the corpus publication it scores.
RG-11 is measured on the current tree.</x:v>
      </x:c>
      <x:c r="K4" s="3" t="str">
        <x:v>Pilot exit, held current on the production candidate.</x:v>
      </x:c>
      <x:c r="L4" s="3" t="str">
        <x:v>None recorded</x:v>
      </x:c>
      <x:c r="M4" s="3" t="str">
        <x:v>BK-52, BK-80, BK-87, BK-89, BK-90</x:v>
      </x:c>
      <x:c r="N4" s="3" t="n">
        <x:v>20</x:v>
      </x:c>
      <x:c r="O4" s="3" t="n">
        <x:v>15</x:v>
      </x:c>
      <x:c r="P4" s="3" t="n">
        <x:v>0</x:v>
      </x:c>
      <x:c r="Q4" s="3" t="n">
        <x:v>8</x:v>
      </x:c>
      <x:c r="R4" s="3" t="n">
        <x:v>0</x:v>
      </x:c>
      <x:c r="S4" s="3" t="n">
        <x:v>0</x:v>
      </x:c>
      <x:c r="T4" s="3" t="n">
        <x:v>0</x:v>
      </x:c>
      <x:c r="U4" s="3" t="n">
        <x:v>0</x:v>
      </x:c>
      <x:c r="V4" s="3" t="n">
        <x:v>8</x:v>
      </x:c>
      <x:c r="W4" s="3" t="n">
        <x:v>0</x:v>
      </x:c>
      <x:c r="X4" s="3" t="str">
        <x:v>UNOWNED, P03, P01, P42</x:v>
      </x:c>
    </x:row>
    <x:row r="5" ht="175" customHeight="1">
      <x:c r="A5" s="14" t="str">
        <x:v>RP-A</x:v>
      </x:c>
      <x:c r="B5" s="14" t="str">
        <x:v>Arrive: sign in, see the files, re-enter, search</x:v>
      </x:c>
      <x:c r="C5" s="14" t="str">
        <x:v>An advocate reaches their own workspace securely, recognises every file, re-enters where they left off and searches the corpus with honest coverage -- before any confidential material is handled.</x:v>
      </x:c>
      <x:c r="D5" s="14" t="str">
        <x:v>STEP-A-01, STEP-A-02, STEP-A-03, STEP-A-04</x:v>
      </x:c>
      <x:c r="E5" s="14" t="str">
        <x:v>BK-86, BK-88, BK-21, BK-85</x:v>
      </x:c>
      <x:c r="F5" s="14" t="str">
        <x:v>None</x:v>
      </x:c>
      <x:c r="G5" s="14" t="str">
        <x:v>RP-00</x:v>
      </x:c>
      <x:c r="H5" s="14" t="str">
        <x:v>engineering, counsel, security_review</x:v>
      </x:c>
      <x:c r="I5" s="14" t="str">
        <x:v>Build strong authentication end to end -- enrolment, challenge, recovery interplay and session binding -- against the begin-factor and complete-factor contracts.
Resolve the failing matter cover, board and reopen behaviour and bind its browser journey.
Bind the existing login and navigation journey phases to Arrive's browser criteria.
Clear the BLOCKED and STALE key-separation rows.
Prove the confidential path and key-processor engineering criteria.
Obtain counsel review of how search reports results, no results, unsupported coverage and an unavailable index.</x:v>
      </x:c>
      <x:c r="J5" s="14" t="str">
        <x:v>Every criterion of Arrive's pilot-required work is PASS on the current tree.
Strong authentication is PASS at every required level; no MFA exception is assumed.
Key separation carries no BLOCKED or STALE result.</x:v>
      </x:c>
      <x:c r="K5" s="14" t="str">
        <x:v>Confidential-path and key-processor production measures are PASS on the deployment shape.</x:v>
      </x:c>
      <x:c r="L5" s="14" t="str">
        <x:v>None recorded</x:v>
      </x:c>
      <x:c r="M5" s="14" t="str">
        <x:v>BK-31, BK-22, BK-20, BK-33, BK-32, J-1, BK-38, J-7, BK-86, BK-88, BK-21, BK-85</x:v>
      </x:c>
      <x:c r="N5" s="14" t="n">
        <x:v>47</x:v>
      </x:c>
      <x:c r="O5" s="14" t="n">
        <x:v>27</x:v>
      </x:c>
      <x:c r="P5" s="14" t="n">
        <x:v>0</x:v>
      </x:c>
      <x:c r="Q5" s="14" t="n">
        <x:v>9</x:v>
      </x:c>
      <x:c r="R5" s="14" t="n">
        <x:v>8</x:v>
      </x:c>
      <x:c r="S5" s="14" t="n">
        <x:v>2</x:v>
      </x:c>
      <x:c r="T5" s="14" t="n">
        <x:v>0</x:v>
      </x:c>
      <x:c r="U5" s="14" t="n">
        <x:v>10</x:v>
      </x:c>
      <x:c r="V5" s="14" t="n">
        <x:v>14</x:v>
      </x:c>
      <x:c r="W5" s="14" t="n">
        <x:v>3</x:v>
      </x:c>
      <x:c r="X5" s="14" t="str">
        <x:v>P08, P39, P36, P21, P38, P40, P07, P02, P13, P32, P09, P05, P33</x:v>
      </x:c>
    </x:row>
    <x:row r="6" ht="115" customHeight="1">
      <x:c r="A6" s="3" t="str">
        <x:v>RP-B</x:v>
      </x:c>
      <x:c r="B6" s="3" t="str">
        <x:v>Open a matter: route, triage, screen conflict, admit substance</x:v>
      </x:c>
      <x:c r="C6" s="3" t="str">
        <x:v>A new matter is routed correctly, an emergency admits only protective triage, conflicts are screened and quarantined, and substance is admitted only after competence, engagement and capacity are recorded.</x:v>
      </x:c>
      <x:c r="D6" s="3" t="str">
        <x:v>STEP-B-01, STEP-B-02, STEP-B-03, STEP-B-04</x:v>
      </x:c>
      <x:c r="E6" s="3" t="str"/>
      <x:c r="F6" s="3" t="str">
        <x:v>None</x:v>
      </x:c>
      <x:c r="G6" s="3" t="str">
        <x:v>RP-A</x:v>
      </x:c>
      <x:c r="H6" s="3" t="str">
        <x:v>engineering, counsel, model_budget</x:v>
      </x:c>
      <x:c r="I6" s="3" t="str">
        <x:v>Wire the conflict-screen quarantine into the served path.
Complete integration and adversarial proof for the front-door screens, commission, role authority and emergency admission.
Bind browser journeys for routing, emergency triage and admission.
Run an approved bounded model evaluation of opening-message routing.
Obtain counsel review of admission, competence, engagement, capacity and emergency behaviour.</x:v>
      </x:c>
      <x:c r="J6" s="3" t="str">
        <x:v>Every criterion of Open a matter's pilot-required work is PASS, including counsel review.</x:v>
      </x:c>
      <x:c r="K6" s="3" t="str">
        <x:v>Pilot exit, signed off through the Conformance Record.</x:v>
      </x:c>
      <x:c r="L6" s="3" t="str">
        <x:v>None recorded</x:v>
      </x:c>
      <x:c r="M6" s="3" t="str">
        <x:v>BK-93, BK-8, BK-48, BK-34, BK-53, BK-78, BK-62, BK-63</x:v>
      </x:c>
      <x:c r="N6" s="3" t="n">
        <x:v>15</x:v>
      </x:c>
      <x:c r="O6" s="3" t="n">
        <x:v>5</x:v>
      </x:c>
      <x:c r="P6" s="3" t="n">
        <x:v>0</x:v>
      </x:c>
      <x:c r="Q6" s="3" t="n">
        <x:v>18</x:v>
      </x:c>
      <x:c r="R6" s="3" t="n">
        <x:v>3</x:v>
      </x:c>
      <x:c r="S6" s="3" t="n">
        <x:v>7</x:v>
      </x:c>
      <x:c r="T6" s="3" t="n">
        <x:v>2</x:v>
      </x:c>
      <x:c r="U6" s="3" t="n">
        <x:v>0</x:v>
      </x:c>
      <x:c r="V6" s="3" t="n">
        <x:v>27</x:v>
      </x:c>
      <x:c r="W6" s="3" t="n">
        <x:v>1</x:v>
      </x:c>
      <x:c r="X6" s="3" t="str">
        <x:v>P14, P01, P25, P13, P32</x:v>
      </x:c>
    </x:row>
    <x:row r="7" ht="145" customHeight="1">
      <x:c r="A7" s="14" t="str">
        <x:v>RP-C</x:v>
      </x:c>
      <x:c r="B7" s="14" t="str">
        <x:v>Take the brief: account, objectives, parties, threads, chronology, material, evidence</x:v>
      </x:c>
      <x:c r="C7" s="14" t="str">
        <x:v>The advocate's account is heard, held and reflected back; objectives and constraints are recorded; parties, threads and chronology are settled; material is admitted without establishing facts it has not; and evidence is inventoried.</x:v>
      </x:c>
      <x:c r="D7" s="14" t="str">
        <x:v>STEP-C-01, STEP-C-02, STEP-C-03, STEP-C-04, STEP-C-05, STEP-C-06, STEP-C-07</x:v>
      </x:c>
      <x:c r="E7" s="14" t="str"/>
      <x:c r="F7" s="14" t="str">
        <x:v>None</x:v>
      </x:c>
      <x:c r="G7" s="14" t="str">
        <x:v>RP-B</x:v>
      </x:c>
      <x:c r="H7" s="14" t="str">
        <x:v>engineering, counsel, model_budget</x:v>
      </x:c>
      <x:c r="I7" s="14" t="str">
        <x:v>Build objectives and constraints as a recorded, correctable part of the commission.
Wire document extraction into the served intake path.
Sweep the case-file and intake proof debt packet by packet.
Bind browser journeys for chronology, material intake and evidence inventory.
Run a representative-matter model evaluation of listening, chronology and attribution.
Obtain counsel review of how facts, allegations, documents and transcripts are kept distinct.</x:v>
      </x:c>
      <x:c r="J7" s="14" t="str">
        <x:v>Every criterion of Take the brief's pilot-required work is PASS for the media the pilot manifest enables.</x:v>
      </x:c>
      <x:c r="K7" s="14" t="str">
        <x:v>Pilot exit, and multimodal criteria PASS for every medium the release manifest enables.</x:v>
      </x:c>
      <x:c r="L7" s="14" t="str">
        <x:v>Is spoken, uploaded or mixed media enabled in the pilot? If yes, multimodal privacy, attribution and deletion work becomes pilot-blocking.</x:v>
      </x:c>
      <x:c r="M7" s="14" t="str">
        <x:v>BK-36, BK-54, BK-66, BK-62, BK-94, BK-63, BK-64, BK-27, J-4, BK-14, BK-65, BK-69, BK-79, BK-6</x:v>
      </x:c>
      <x:c r="N7" s="14" t="n">
        <x:v>25</x:v>
      </x:c>
      <x:c r="O7" s="14" t="n">
        <x:v>3</x:v>
      </x:c>
      <x:c r="P7" s="14" t="n">
        <x:v>0</x:v>
      </x:c>
      <x:c r="Q7" s="14" t="n">
        <x:v>37</x:v>
      </x:c>
      <x:c r="R7" s="14" t="n">
        <x:v>10</x:v>
      </x:c>
      <x:c r="S7" s="14" t="n">
        <x:v>11</x:v>
      </x:c>
      <x:c r="T7" s="14" t="n">
        <x:v>10</x:v>
      </x:c>
      <x:c r="U7" s="14" t="n">
        <x:v>0</x:v>
      </x:c>
      <x:c r="V7" s="14" t="n">
        <x:v>61</x:v>
      </x:c>
      <x:c r="W7" s="14" t="n">
        <x:v>3</x:v>
      </x:c>
      <x:c r="X7" s="14" t="str">
        <x:v>P17, P25, P34, P15, P10, P24, P13, P32, P18, P22</x:v>
      </x:c>
    </x:row>
    <x:row r="8" ht="145" customHeight="1">
      <x:c r="A8" s="3" t="str">
        <x:v>RP-D</x:v>
      </x:c>
      <x:c r="B8" s="3" t="str">
        <x:v>Work the file: cause, limitation, forum, jurisdiction, deadlines, research, proof, theory</x:v>
      </x:c>
      <x:c r="C8" s="3" t="str">
        <x:v>Legal analysis rests on attributed, reviewable premises and verified authority: limitation and deadlines are conditional on reviewed premises, research separates discovery from verification, and a correction reaches exactly what depended on it.</x:v>
      </x:c>
      <x:c r="D8" s="3" t="str">
        <x:v>STEP-D-01, STEP-D-02, STEP-D-03, STEP-D-04, STEP-D-05, STEP-D-06, STEP-D-07, STEP-D-08, STEP-D-09, STEP-D-10, STEP-D-11, STEP-D-12, STEP-D-13, STEP-D-14</x:v>
      </x:c>
      <x:c r="E8" s="3" t="str">
        <x:v>BK-84, BK-91</x:v>
      </x:c>
      <x:c r="F8" s="3" t="str">
        <x:v>None</x:v>
      </x:c>
      <x:c r="G8" s="3" t="str">
        <x:v>RP-C</x:v>
      </x:c>
      <x:c r="H8" s="3" t="str">
        <x:v>engineering, counsel, model_budget</x:v>
      </x:c>
      <x:c r="I8" s="3" t="str">
        <x:v>Sweep the proof debt of the dependency, research, premise, advice-shape and remedy packets in order of size.
Run the approved full golden suite and record RG-21.
Run a representative-matter model evaluation across cause, limitation, forum and research.
Obtain counsel review of legal premises, computed deadlines and research conclusions.
Raise subsequent-treatment coverage and provision-to-authority linking, or serve their limits as explicit disclosures.</x:v>
      </x:c>
      <x:c r="J8" s="3" t="str">
        <x:v>Every criterion of Work the file's pilot-required work is PASS for the declared corpus and jurisdiction.
RG-21 is PASS.</x:v>
      </x:c>
      <x:c r="K8" s="3" t="str">
        <x:v>A current qualified review of relied-on governing premises is recorded.</x:v>
      </x:c>
      <x:c r="L8" s="3" t="str">
        <x:v>Engage qualified counsel now: this stage carries the largest counsel-review population and is the critical path.
Approve the model budget for representative-matter evaluation and the full golden run, as bounded named runs.</x:v>
      </x:c>
      <x:c r="M8" s="3" t="str">
        <x:v>BK-94, BK-63, BK-65, BK-95, J-2, BK-67, BK-35, BK-70, BK-15, BK-33, BK-25, BK-24, BK-38, BK-64, J-3, BK-84, BK-91</x:v>
      </x:c>
      <x:c r="N8" s="3" t="n">
        <x:v>38</x:v>
      </x:c>
      <x:c r="O8" s="3" t="n">
        <x:v>7</x:v>
      </x:c>
      <x:c r="P8" s="3" t="n">
        <x:v>0</x:v>
      </x:c>
      <x:c r="Q8" s="3" t="n">
        <x:v>49</x:v>
      </x:c>
      <x:c r="R8" s="3" t="n">
        <x:v>12</x:v>
      </x:c>
      <x:c r="S8" s="3" t="n">
        <x:v>23</x:v>
      </x:c>
      <x:c r="T8" s="3" t="n">
        <x:v>24</x:v>
      </x:c>
      <x:c r="U8" s="3" t="n">
        <x:v>0</x:v>
      </x:c>
      <x:c r="V8" s="3" t="n">
        <x:v>87</x:v>
      </x:c>
      <x:c r="W8" s="3" t="n">
        <x:v>1</x:v>
      </x:c>
      <x:c r="X8" s="3" t="str">
        <x:v>P23, P17, P22, P21, P35, P32, P46, P25, P18, P13, P44, P19, P20, P24</x:v>
      </x:c>
    </x:row>
    <x:row r="9" ht="100" customHeight="1">
      <x:c r="A9" s="14" t="str">
        <x:v>RP-E</x:v>
      </x:c>
      <x:c r="B9" s="14" t="str">
        <x:v>Advise: scenarios, recommendation, proportionality, decision, disagreement</x:v>
      </x:c>
      <x:c r="C9" s="14" t="str">
        <x:v>Advice is given at the maturity the file permits, with scenarios and proportionality tested, the advocate's decision recorded and disagreement stated candidly.</x:v>
      </x:c>
      <x:c r="D9" s="14" t="str">
        <x:v>STEP-E-01, STEP-E-02, STEP-E-03, STEP-E-04, STEP-E-05</x:v>
      </x:c>
      <x:c r="E9" s="14" t="str">
        <x:v>BK-92</x:v>
      </x:c>
      <x:c r="F9" s="14" t="str">
        <x:v>None</x:v>
      </x:c>
      <x:c r="G9" s="14" t="str">
        <x:v>RP-D</x:v>
      </x:c>
      <x:c r="H9" s="14" t="str">
        <x:v>engineering, counsel, model_budget, representative_advocates</x:v>
      </x:c>
      <x:c r="I9" s="14" t="str">
        <x:v>Reconcile scenarios, proportionality, decision record and disagreement against the served decision and comparison code, then build what is genuinely missing.
Build and run the expert-advocate evaluation gate with named reviewers.
Run the advocate trust evaluation with representative advocates.
Obtain counsel review of advice maturity, candour and reservations.</x:v>
      </x:c>
      <x:c r="J9" s="14" t="str">
        <x:v>The expert-advocate evaluation gate and the advocate trust evaluation are PASS.
Every criterion of Advise's pilot-required work is PASS at the advice maturity the pilot permits.</x:v>
      </x:c>
      <x:c r="K9" s="14" t="str">
        <x:v>A current representative professional-quality review is recorded.</x:v>
      </x:c>
      <x:c r="L9" s="14" t="str">
        <x:v>None recorded</x:v>
      </x:c>
      <x:c r="M9" s="14" t="str">
        <x:v>BK-55, BK-70, BK-96, BK-37, J-6, J-5, BK-67, BK-62, BK-63, BK-92</x:v>
      </x:c>
      <x:c r="N9" s="14" t="n">
        <x:v>21</x:v>
      </x:c>
      <x:c r="O9" s="14" t="n">
        <x:v>3</x:v>
      </x:c>
      <x:c r="P9" s="14" t="n">
        <x:v>0</x:v>
      </x:c>
      <x:c r="Q9" s="14" t="n">
        <x:v>15</x:v>
      </x:c>
      <x:c r="R9" s="14" t="n">
        <x:v>4</x:v>
      </x:c>
      <x:c r="S9" s="14" t="n">
        <x:v>17</x:v>
      </x:c>
      <x:c r="T9" s="14" t="n">
        <x:v>13</x:v>
      </x:c>
      <x:c r="U9" s="14" t="n">
        <x:v>1</x:v>
      </x:c>
      <x:c r="V9" s="14" t="n">
        <x:v>32</x:v>
      </x:c>
      <x:c r="W9" s="14" t="n">
        <x:v>0</x:v>
      </x:c>
      <x:c r="X9" s="14" t="str">
        <x:v>P27, P35, P26, P47, P28, P23, P36, P13, P32, P29, P37</x:v>
      </x:c>
    </x:row>
    <x:row r="10" ht="145" customHeight="1">
      <x:c r="A10" s="3" t="str">
        <x:v>RP-F</x:v>
      </x:c>
      <x:c r="B10" s="3" t="str">
        <x:v>Act: negotiate, brief the drafter, draft, file, witnesses, hearing, court</x:v>
      </x:c>
      <x:c r="C10" s="3" t="str">
        <x:v>Drafting, filing, negotiation and hearing work act only within recorded authority, never file or act externally without it, and never invent testimony.</x:v>
      </x:c>
      <x:c r="D10" s="3" t="str">
        <x:v>STEP-F-01, STEP-F-02, STEP-F-03, STEP-F-04, STEP-F-05, STEP-F-06, STEP-F-07</x:v>
      </x:c>
      <x:c r="E10" s="3" t="str"/>
      <x:c r="F10" s="3" t="str">
        <x:v>None</x:v>
      </x:c>
      <x:c r="G10" s="3" t="str">
        <x:v>RP-E</x:v>
      </x:c>
      <x:c r="H10" s="3" t="str">
        <x:v>engineering, counsel, model_budget</x:v>
      </x:c>
      <x:c r="I10" s="3" t="str">
        <x:v>Reconcile drafting, filing control, witnesses, hearing readiness and in-court work against the served routes.
Build negotiation within recorded settlement authority beyond the existing concession guard.
Prove the drafting, filing, hearing and action-authority packets.
Bind browser journeys for the drafting package, action proposal and hearing pack.
Obtain counsel review of drafting verification, filing control and witness preparation.</x:v>
      </x:c>
      <x:c r="J10" s="3" t="str">
        <x:v>Only if the pilot manifest enables Act: every criterion of its enabled work is PASS.</x:v>
      </x:c>
      <x:c r="K10" s="3" t="str">
        <x:v>Every criterion of Act's work that the release manifest enables is PASS.</x:v>
      </x:c>
      <x:c r="L10" s="3" t="str">
        <x:v>Is Act enabled in the pilot? Recommended: no -- exclude it from the pilot manifest and deliver it for production.</x:v>
      </x:c>
      <x:c r="M10" s="3" t="str">
        <x:v>BK-57, BK-63, BK-56, BK-62</x:v>
      </x:c>
      <x:c r="N10" s="3" t="n">
        <x:v>11</x:v>
      </x:c>
      <x:c r="O10" s="3" t="n">
        <x:v>1</x:v>
      </x:c>
      <x:c r="P10" s="3" t="n">
        <x:v>0</x:v>
      </x:c>
      <x:c r="Q10" s="3" t="n">
        <x:v>7</x:v>
      </x:c>
      <x:c r="R10" s="3" t="n">
        <x:v>5</x:v>
      </x:c>
      <x:c r="S10" s="3" t="n">
        <x:v>9</x:v>
      </x:c>
      <x:c r="T10" s="3" t="n">
        <x:v>4</x:v>
      </x:c>
      <x:c r="U10" s="3" t="n">
        <x:v>0</x:v>
      </x:c>
      <x:c r="V10" s="3" t="n">
        <x:v>12</x:v>
      </x:c>
      <x:c r="W10" s="3" t="n">
        <x:v>0</x:v>
      </x:c>
      <x:c r="X10" s="3" t="str">
        <x:v>P31, P29, P32, P30, P13</x:v>
      </x:c>
    </x:row>
    <x:row r="11" ht="85" customHeight="1">
      <x:c r="A11" s="14" t="str">
        <x:v>RP-G</x:v>
      </x:c>
      <x:c r="B11" s="14" t="str">
        <x:v>Carry: proactive service, conflict watch, handover</x:v>
      </x:c>
      <x:c r="C11" s="14" t="str">
        <x:v>Continuing work runs only when authorised, conflict screening continues as parties change, and responsibility moves only on acceptance.</x:v>
      </x:c>
      <x:c r="D11" s="14" t="str">
        <x:v>STEP-G-01, STEP-G-02, STEP-G-03</x:v>
      </x:c>
      <x:c r="E11" s="14" t="str"/>
      <x:c r="F11" s="14" t="str">
        <x:v>None</x:v>
      </x:c>
      <x:c r="G11" s="14" t="str">
        <x:v>RP-E</x:v>
      </x:c>
      <x:c r="H11" s="14" t="str">
        <x:v>engineering, counsel</x:v>
      </x:c>
      <x:c r="I11" s="14" t="str">
        <x:v>Reconcile proactive service, conflict watch and handover against the served service-job and handover code.
Prove the handover and proactive-service packets.
Bind browser journeys for handover offer, acceptance and declination.
Obtain counsel review of handover responsibility and proactive authorisation.</x:v>
      </x:c>
      <x:c r="J11" s="14" t="str">
        <x:v>Only for what the pilot manifest enables: every criterion of that work is PASS.</x:v>
      </x:c>
      <x:c r="K11" s="14" t="str">
        <x:v>Every criterion of Carry's enabled work is PASS.</x:v>
      </x:c>
      <x:c r="L11" s="14" t="str">
        <x:v>Which of Carry is in the pilot? Recommended: handover yes, proactive service no.</x:v>
      </x:c>
      <x:c r="M11" s="14" t="str">
        <x:v>BK-58, BK-39, BK-10, BK-62, BK-63</x:v>
      </x:c>
      <x:c r="N11" s="14" t="n">
        <x:v>7</x:v>
      </x:c>
      <x:c r="O11" s="14" t="n">
        <x:v>0</x:v>
      </x:c>
      <x:c r="P11" s="14" t="n">
        <x:v>0</x:v>
      </x:c>
      <x:c r="Q11" s="14" t="n">
        <x:v>6</x:v>
      </x:c>
      <x:c r="R11" s="14" t="n">
        <x:v>2</x:v>
      </x:c>
      <x:c r="S11" s="14" t="n">
        <x:v>5</x:v>
      </x:c>
      <x:c r="T11" s="14" t="n">
        <x:v>0</x:v>
      </x:c>
      <x:c r="U11" s="14" t="n">
        <x:v>0</x:v>
      </x:c>
      <x:c r="V11" s="14" t="n">
        <x:v>13</x:v>
      </x:c>
      <x:c r="W11" s="14" t="n">
        <x:v>1</x:v>
      </x:c>
      <x:c r="X11" s="14" t="str">
        <x:v>P32, P45, P13</x:v>
      </x:c>
    </x:row>
    <x:row r="12" ht="85" customHeight="1">
      <x:c r="A12" s="3" t="str">
        <x:v>RP-H</x:v>
      </x:c>
      <x:c r="B12" s="3" t="str">
        <x:v>Close: capture events, close and reopen</x:v>
      </x:c>
      <x:c r="C12" s="3" t="str">
        <x:v>Outcomes are captured, a matter closes truthfully, retention obligations hold, and reopening restores only what moved.</x:v>
      </x:c>
      <x:c r="D12" s="3" t="str">
        <x:v>STEP-H-01, STEP-H-02</x:v>
      </x:c>
      <x:c r="E12" s="3" t="str"/>
      <x:c r="F12" s="3" t="str">
        <x:v>None</x:v>
      </x:c>
      <x:c r="G12" s="3" t="str">
        <x:v>RP-E</x:v>
      </x:c>
      <x:c r="H12" s="3" t="str">
        <x:v>engineering, counsel</x:v>
      </x:c>
      <x:c r="I12" s="3" t="str">
        <x:v>Reconcile event capture, closure, reopening and retention against the served routes.
Prove the closure criteria.
Bind browser journeys for close and reopen.
Obtain counsel review of closure and retention behaviour.</x:v>
      </x:c>
      <x:c r="J12" s="3" t="str">
        <x:v>Only for what the pilot manifest enables: every criterion of that work is PASS.</x:v>
      </x:c>
      <x:c r="K12" s="3" t="str">
        <x:v>Every criterion of Close's enabled work is PASS.</x:v>
      </x:c>
      <x:c r="L12" s="3" t="str">
        <x:v>None recorded</x:v>
      </x:c>
      <x:c r="M12" s="3" t="str">
        <x:v>BK-59</x:v>
      </x:c>
      <x:c r="N12" s="3" t="n">
        <x:v>3</x:v>
      </x:c>
      <x:c r="O12" s="3" t="n">
        <x:v>0</x:v>
      </x:c>
      <x:c r="P12" s="3" t="n">
        <x:v>0</x:v>
      </x:c>
      <x:c r="Q12" s="3" t="n">
        <x:v>3</x:v>
      </x:c>
      <x:c r="R12" s="3" t="n">
        <x:v>3</x:v>
      </x:c>
      <x:c r="S12" s="3" t="n">
        <x:v>2</x:v>
      </x:c>
      <x:c r="T12" s="3" t="n">
        <x:v>0</x:v>
      </x:c>
      <x:c r="U12" s="3" t="n">
        <x:v>0</x:v>
      </x:c>
      <x:c r="V12" s="3" t="n">
        <x:v>8</x:v>
      </x:c>
      <x:c r="W12" s="3" t="n">
        <x:v>0</x:v>
      </x:c>
      <x:c r="X12" s="3" t="str">
        <x:v>P32</x:v>
      </x:c>
    </x:row>
    <x:row r="13" ht="40" customHeight="1">
      <x:c r="A13" s="14" t="str">
        <x:v>RP-I</x:v>
      </x:c>
      <x:c r="B13" s="14" t="str">
        <x:v>Leave: end the session and leave nothing behind</x:v>
      </x:c>
      <x:c r="C13" s="14" t="str">
        <x:v>A session expires and logs out with confirmation, and nothing confidential remains reachable afterwards.</x:v>
      </x:c>
      <x:c r="D13" s="14" t="str">
        <x:v>STEP-I-01</x:v>
      </x:c>
      <x:c r="E13" s="14" t="str">
        <x:v>BK-30</x:v>
      </x:c>
      <x:c r="F13" s="14" t="str">
        <x:v>None</x:v>
      </x:c>
      <x:c r="G13" s="14" t="str">
        <x:v>RP-A</x:v>
      </x:c>
      <x:c r="H13" s="14" t="str">
        <x:v>engineering</x:v>
      </x:c>
      <x:c r="I13" s="14" t="str">
        <x:v>Resolve the failing session-expiry and confirmed-logout behaviour.
Re-run the complete login-to-logout browser journey and bind its report.</x:v>
      </x:c>
      <x:c r="J13" s="14" t="str">
        <x:v>Every criterion of Leave's pilot-required work is PASS on a current complete journey report.</x:v>
      </x:c>
      <x:c r="K13" s="14" t="str">
        <x:v>Pilot exit, held on the deployment shape.</x:v>
      </x:c>
      <x:c r="L13" s="14" t="str">
        <x:v>None recorded</x:v>
      </x:c>
      <x:c r="M13" s="14" t="str">
        <x:v>BK-40, BK-46, BK-31, BK-30</x:v>
      </x:c>
      <x:c r="N13" s="14" t="n">
        <x:v>28</x:v>
      </x:c>
      <x:c r="O13" s="14" t="n">
        <x:v>21</x:v>
      </x:c>
      <x:c r="P13" s="14" t="n">
        <x:v>0</x:v>
      </x:c>
      <x:c r="Q13" s="14" t="n">
        <x:v>5</x:v>
      </x:c>
      <x:c r="R13" s="14" t="n">
        <x:v>7</x:v>
      </x:c>
      <x:c r="S13" s="14" t="n">
        <x:v>0</x:v>
      </x:c>
      <x:c r="T13" s="14" t="n">
        <x:v>0</x:v>
      </x:c>
      <x:c r="U13" s="14" t="n">
        <x:v>0</x:v>
      </x:c>
      <x:c r="V13" s="14" t="n">
        <x:v>8</x:v>
      </x:c>
      <x:c r="W13" s="14" t="n">
        <x:v>0</x:v>
      </x:c>
      <x:c r="X13" s="14" t="str">
        <x:v>P08, P09, P02, P04</x:v>
      </x:c>
    </x:row>
    <x:row r="14" ht="145" customHeight="1">
      <x:c r="A14" s="3" t="str">
        <x:v>RP-PILOT</x:v>
      </x:c>
      <x:c r="B14" s="3" t="str">
        <x:v>Bounded advocate pilot</x:v>
      </x:c>
      <x:c r="C14" s="3" t="str">
        <x:v>A named, invited advocate population uses the enabled journeys under supervision, with published limitations, named reviewers and stop conditions.</x:v>
      </x:c>
      <x:c r="D14" s="3" t="str"/>
      <x:c r="E14" s="3" t="str"/>
      <x:c r="F14" s="3" t="str">
        <x:v>pilot</x:v>
      </x:c>
      <x:c r="G14" s="3" t="str">
        <x:v>RP-00, RP-A, RP-B, RP-C, RP-D, RP-E, RP-I</x:v>
      </x:c>
      <x:c r="H14" s="3" t="str">
        <x:v>accountable_approval, counsel, security_review, model_budget</x:v>
      </x:c>
      <x:c r="I14" s="3" t="str">
        <x:v>Publish the pilot manifest: enabled journeys, media, languages, corpus, jurisdiction and limitations.
Name qualified reviewers, stop conditions, the incident owner and the approval expiry.
Run the environment-specific security, privacy and recovery review.
Run the representative-matter model evaluation and qualified counsel review for the enabled scope.
Obtain explicit, bounded, accountable pilot approval naming material risks and compensating controls.</x:v>
      </x:c>
      <x:c r="J14" s="3" t="str">
        <x:v>assurance/control_plane/backlog.py obligations pilot reports complete for the published manifest.</x:v>
      </x:c>
      <x:c r="K14" s="3" t="str">
        <x:v>Not applicable: the pilot confers no production approval.</x:v>
      </x:c>
      <x:c r="L14" s="3" t="str">
        <x:v>Fix the pilot scope. Recommended: Arrive through Advise and Leave, typed text and documents, considered advice enabled; Act and proactive service excluded; handover included.</x:v>
      </x:c>
      <x:c r="M14" s="3" t="str">
        <x:v>BK-21, BK-31, BK-32, BK-33, BK-34, BK-38, BK-40, BK-53, BK-62, BK-63, BK-66, BK-67, BK-78, BK-80, BK-85, BK-86, BK-88</x:v>
      </x:c>
      <x:c r="N14" s="3" t="n">
        <x:v>72</x:v>
      </x:c>
      <x:c r="O14" s="3" t="n">
        <x:v>37</x:v>
      </x:c>
      <x:c r="P14" s="3" t="n">
        <x:v>0</x:v>
      </x:c>
      <x:c r="Q14" s="3" t="n">
        <x:v>23</x:v>
      </x:c>
      <x:c r="R14" s="3" t="n">
        <x:v>13</x:v>
      </x:c>
      <x:c r="S14" s="3" t="n">
        <x:v>13</x:v>
      </x:c>
      <x:c r="T14" s="3" t="n">
        <x:v>6</x:v>
      </x:c>
      <x:c r="U14" s="3" t="n">
        <x:v>10</x:v>
      </x:c>
      <x:c r="V14" s="3" t="n">
        <x:v>39</x:v>
      </x:c>
      <x:c r="W14" s="3" t="n">
        <x:v>0</x:v>
      </x:c>
      <x:c r="X14" s="3" t="str">
        <x:v>P08, P14, P39, P35, P03, P09, P34, P01, P07, P13, P32, P21, P38, P40, P02, P36, P05, P33</x:v>
      </x:c>
    </x:row>
    <x:row r="15" ht="190" customHeight="1">
      <x:c r="A15" s="14" t="str">
        <x:v>RP-PROD</x:v>
      </x:c>
      <x:c r="B15" s="14" t="str">
        <x:v>Named production release</x:v>
      </x:c>
      <x:c r="C15" s="14" t="str">
        <x:v>A specific deployment and release manifest is proven on its own shape: users, tenancy, legal coverage, enabled features, processing, service levels and operating responsibilities.</x:v>
      </x:c>
      <x:c r="D15" s="14" t="str"/>
      <x:c r="E15" s="14" t="str">
        <x:v>BK-83</x:v>
      </x:c>
      <x:c r="F15" s="14" t="str">
        <x:v>production</x:v>
      </x:c>
      <x:c r="G15" s="14" t="str">
        <x:v>RP-PILOT, RP-F, RP-G, RP-H</x:v>
      </x:c>
      <x:c r="H15" s="14" t="str">
        <x:v>deployment, labelling, counsel, security_review, accountable_approval</x:v>
      </x:c>
      <x:c r="I15" s="14" t="str">
        <x:v>Fix the deployment shape, making the transactional store the live writer only after its integration evidence and an approved migration rehearsal.
Measure security, restore, rollback, accessibility, capacity and service outcomes on that shape.
Measure latency, progress, cancellation and degraded-service behaviour on that shape.
Label the six release portfolios to their registered minimum membership.
Re-measure the release scorecard and the golden suite on the deployed corpus.
Obtain a current qualified legal review of relied-on governing premises and professional-role restrictions.
Obtain accountable production sign-off with any material exception separately approved, owned, expiring and visible.</x:v>
      </x:c>
      <x:c r="J15" s="14" t="str">
        <x:v>Not applicable: production follows a completed pilot.</x:v>
      </x:c>
      <x:c r="K15" s="14" t="str">
        <x:v>assurance/control_plane/backlog.py obligations production reports complete for the release manifest.
Every blocking release-scorecard row is PASS on the deployed corpus.
Every release portfolio meets its registered minimum membership.</x:v>
      </x:c>
      <x:c r="L15" s="14" t="str">
        <x:v>Who labels the release portfolios, and by when.</x:v>
      </x:c>
      <x:c r="M15" s="14" t="str">
        <x:v>BK-83, BK-21, BK-31, BK-34, BK-40, BK-41, BK-42, BK-62, BK-63, BK-66, BK-67, BK-80, BK-85, BK-86, BK-88</x:v>
      </x:c>
      <x:c r="N15" s="14" t="n">
        <x:v>76</x:v>
      </x:c>
      <x:c r="O15" s="14" t="n">
        <x:v>33</x:v>
      </x:c>
      <x:c r="P15" s="14" t="n">
        <x:v>0</x:v>
      </x:c>
      <x:c r="Q15" s="14" t="n">
        <x:v>21</x:v>
      </x:c>
      <x:c r="R15" s="14" t="n">
        <x:v>12</x:v>
      </x:c>
      <x:c r="S15" s="14" t="n">
        <x:v>13</x:v>
      </x:c>
      <x:c r="T15" s="14" t="n">
        <x:v>6</x:v>
      </x:c>
      <x:c r="U15" s="14" t="n">
        <x:v>21</x:v>
      </x:c>
      <x:c r="V15" s="14" t="n">
        <x:v>33</x:v>
      </x:c>
      <x:c r="W15" s="14" t="n">
        <x:v>0</x:v>
      </x:c>
      <x:c r="X15" s="14" t="str">
        <x:v>P08, P39, P38, P14, P35, P03, P09, P41, P34, P01, P07, P40, P10, P11, P02, P37, P13, P32, P05, P33</x:v>
      </x:c>
    </x:row>
  </x:sheetData>
  <x:mergeCells>
    <x:mergeCell ref="A1:X1"/>
    <x:mergeCell ref="A2:X2"/>
  </x:mergeCells>
  <x:pageMargins left="0.7" right="0.7" top="0.75" bottom="0.75" header="0.3" footer="0.3"/>
  <x:tableParts count="1">
    <x:tablePart xmlns:r="http://schemas.openxmlformats.org/officeDocument/2006/relationships" r:id="R2b6add76d5a84b47"/>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4" hidden="0" customWidth="1"/>
    <x:col min="4" max="4" width="38" hidden="0" customWidth="1"/>
    <x:col min="5" max="5" width="14" hidden="0" customWidth="1"/>
    <x:col min="6" max="6" width="30" hidden="0" customWidth="1"/>
    <x:col min="7" max="7" width="30" hidden="0" customWidth="1"/>
    <x:col min="8" max="8" width="22" hidden="0" customWidth="1"/>
    <x:col min="9" max="9" width="22" hidden="0" customWidth="1"/>
    <x:col min="10" max="10" width="11" hidden="0" customWidth="1"/>
    <x:col min="11" max="11" width="15" hidden="0" customWidth="1"/>
    <x:col min="12" max="12" width="15" hidden="0" customWidth="1"/>
    <x:col min="13" max="13" width="12" hidden="0" customWidth="1"/>
    <x:col min="14" max="14" width="12" hidden="0" customWidth="1"/>
    <x:col min="15" max="15" width="12" hidden="0" customWidth="1"/>
    <x:col min="16" max="16" width="12" hidden="0" customWidth="1"/>
    <x:col min="17" max="17" width="12" hidden="0" customWidth="1"/>
    <x:col min="18" max="18" width="13" hidden="0" customWidth="1"/>
    <x:col min="19" max="19" width="12" hidden="0" customWidth="1"/>
    <x:col min="20" max="20" width="34" hidden="0" customWidth="1"/>
  </x:cols>
  <x:sheetData>
    <x:row r="1" ht="29" customHeight="1">
      <x:c r="A1" s="5" t="str">
        <x:v>What stands between each journey step and release</x:v>
      </x:c>
      <x:c r="B1" s="6"/>
      <x:c r="C1" s="6"/>
      <x:c r="D1" s="6"/>
      <x:c r="E1" s="6"/>
      <x:c r="F1" s="6"/>
      <x:c r="G1" s="6"/>
      <x:c r="H1" s="6"/>
      <x:c r="I1" s="6"/>
      <x:c r="J1" s="6"/>
      <x:c r="K1" s="6"/>
      <x:c r="L1" s="6"/>
      <x:c r="M1" s="6"/>
      <x:c r="N1" s="6"/>
      <x:c r="O1" s="6"/>
      <x:c r="P1" s="6"/>
      <x:c r="Q1" s="6"/>
      <x:c r="R1" s="6"/>
      <x:c r="S1" s="6"/>
      <x:c r="T1" s="6"/>
    </x:row>
    <x:row r="2" ht="43" customHeight="1">
      <x:c r="A2" s="7" t="str">
        <x:v>One row per journey step, measured at export. Open rows are required evidence levels not recorded PASS; absent rows have no authored result at all. Work shared by several steps appears on each of them, so rows are never summed.</x:v>
      </x:c>
      <x:c r="B2" s="7"/>
      <x:c r="C2" s="7"/>
      <x:c r="D2" s="7"/>
      <x:c r="E2" s="7"/>
      <x:c r="F2" s="7"/>
      <x:c r="G2" s="7"/>
      <x:c r="H2" s="7"/>
      <x:c r="I2" s="7"/>
      <x:c r="J2" s="7"/>
      <x:c r="K2" s="7"/>
      <x:c r="L2" s="7"/>
      <x:c r="M2" s="7"/>
      <x:c r="N2" s="7"/>
      <x:c r="O2" s="7"/>
      <x:c r="P2" s="7"/>
      <x:c r="Q2" s="7"/>
      <x:c r="R2" s="7"/>
      <x:c r="S2" s="7"/>
      <x:c r="T2" s="7"/>
    </x:row>
    <x:row r="3" ht="40" customHeight="1">
      <x:c r="A3" s="12" t="str">
        <x:v>Seq</x:v>
      </x:c>
      <x:c r="B3" s="16" t="str">
        <x:v>Phase</x:v>
      </x:c>
      <x:c r="C3" s="16" t="str">
        <x:v>Step ID</x:v>
      </x:c>
      <x:c r="D3" s="16" t="str">
        <x:v>Journey step</x:v>
      </x:c>
      <x:c r="E3" s="16" t="str">
        <x:v>Readiness stage</x:v>
      </x:c>
      <x:c r="F3" s="16" t="str">
        <x:v>Features (registry implementation)</x:v>
      </x:c>
      <x:c r="G3" s="16" t="str">
        <x:v>Registered work</x:v>
      </x:c>
      <x:c r="H3" s="16" t="str">
        <x:v>Pilot-required work</x:v>
      </x:c>
      <x:c r="I3" s="16" t="str">
        <x:v>Production-required work</x:v>
      </x:c>
      <x:c r="J3" s="16" t="str">
        <x:v>Criteria</x:v>
      </x:c>
      <x:c r="K3" s="16" t="str">
        <x:v>Criteria recorded PASS</x:v>
      </x:c>
      <x:c r="L3" s="16" t="str">
        <x:v>Criteria currently bound PASS</x:v>
      </x:c>
      <x:c r="M3" s="16" t="str">
        <x:v>Open code rows</x:v>
      </x:c>
      <x:c r="N3" s="16" t="str">
        <x:v>Open browser rows</x:v>
      </x:c>
      <x:c r="O3" s="16" t="str">
        <x:v>Open counsel rows</x:v>
      </x:c>
      <x:c r="P3" s="16" t="str">
        <x:v>Open model rows</x:v>
      </x:c>
      <x:c r="Q3" s="16" t="str">
        <x:v>Open production rows</x:v>
      </x:c>
      <x:c r="R3" s="16" t="str">
        <x:v>Absent evidence rows</x:v>
      </x:c>
      <x:c r="S3" s="16" t="str">
        <x:v>Derived done work</x:v>
      </x:c>
      <x:c r="T3" s="13" t="str">
        <x:v>Owning packets</x:v>
      </x:c>
    </x:row>
    <x:row r="4" ht="27" customHeight="1">
      <x:c r="A4" s="3" t="n">
        <x:v>1</x:v>
      </x:c>
      <x:c r="B4" s="3" t="str">
        <x:v>A</x:v>
      </x:c>
      <x:c r="C4" s="3" t="str">
        <x:v>STEP-A-01</x:v>
      </x:c>
      <x:c r="D4" s="3" t="str">
        <x:v>Sign in and be recognised</x:v>
      </x:c>
      <x:c r="E4" s="3" t="str">
        <x:v>RP-A</x:v>
      </x:c>
      <x:c r="F4" s="3" t="str">
        <x:v>A1 partial</x:v>
      </x:c>
      <x:c r="G4" s="3" t="str">
        <x:v>BK-31, BK-22, BK-20</x:v>
      </x:c>
      <x:c r="H4" s="3" t="str">
        <x:v>BK-31</x:v>
      </x:c>
      <x:c r="I4" s="3" t="str">
        <x:v>BK-31</x:v>
      </x:c>
      <x:c r="J4" s="3" t="n">
        <x:v>24</x:v>
      </x:c>
      <x:c r="K4" s="3" t="n">
        <x:v>21</x:v>
      </x:c>
      <x:c r="L4" s="3" t="n">
        <x:v>0</x:v>
      </x:c>
      <x:c r="M4" s="3" t="n">
        <x:v>1</x:v>
      </x:c>
      <x:c r="N4" s="3" t="n">
        <x:v>3</x:v>
      </x:c>
      <x:c r="O4" s="3" t="n">
        <x:v>0</x:v>
      </x:c>
      <x:c r="P4" s="3" t="n">
        <x:v>0</x:v>
      </x:c>
      <x:c r="Q4" s="3" t="n">
        <x:v>0</x:v>
      </x:c>
      <x:c r="R4" s="3" t="n">
        <x:v>0</x:v>
      </x:c>
      <x:c r="S4" s="3" t="n">
        <x:v>2</x:v>
      </x:c>
      <x:c r="T4" s="3" t="str">
        <x:v>P08, P02</x:v>
      </x:c>
    </x:row>
    <x:row r="5" ht="40" customHeight="1">
      <x:c r="A5" s="14" t="n">
        <x:v>2</x:v>
      </x:c>
      <x:c r="B5" s="14" t="str">
        <x:v>A</x:v>
      </x:c>
      <x:c r="C5" s="14" t="str">
        <x:v>STEP-A-02</x:v>
      </x:c>
      <x:c r="D5" s="14" t="str">
        <x:v>Land on the file list and tell the matters apart</x:v>
      </x:c>
      <x:c r="E5" s="14" t="str">
        <x:v>RP-A</x:v>
      </x:c>
      <x:c r="F5" s="14" t="str">
        <x:v>A2 complete</x:v>
      </x:c>
      <x:c r="G5" s="14" t="str">
        <x:v>BK-33, BK-32, J-1</x:v>
      </x:c>
      <x:c r="H5" s="14" t="str">
        <x:v>BK-33, BK-32</x:v>
      </x:c>
      <x:c r="I5" s="14" t="str"/>
      <x:c r="J5" s="14" t="n">
        <x:v>3</x:v>
      </x:c>
      <x:c r="K5" s="14" t="n">
        <x:v>2</x:v>
      </x:c>
      <x:c r="L5" s="14" t="n">
        <x:v>0</x:v>
      </x:c>
      <x:c r="M5" s="14" t="n">
        <x:v>1</x:v>
      </x:c>
      <x:c r="N5" s="14" t="n">
        <x:v>1</x:v>
      </x:c>
      <x:c r="O5" s="14" t="n">
        <x:v>0</x:v>
      </x:c>
      <x:c r="P5" s="14" t="n">
        <x:v>0</x:v>
      </x:c>
      <x:c r="Q5" s="14" t="n">
        <x:v>0</x:v>
      </x:c>
      <x:c r="R5" s="14" t="n">
        <x:v>2</x:v>
      </x:c>
      <x:c r="S5" s="14" t="n">
        <x:v>1</x:v>
      </x:c>
      <x:c r="T5" s="14" t="str">
        <x:v>P13, P32, P36</x:v>
      </x:c>
    </x:row>
    <x:row r="6" ht="40" customHeight="1">
      <x:c r="A6" s="3" t="n">
        <x:v>3</x:v>
      </x:c>
      <x:c r="B6" s="3" t="str">
        <x:v>A</x:v>
      </x:c>
      <x:c r="C6" s="3" t="str">
        <x:v>STEP-A-03</x:v>
      </x:c>
      <x:c r="D6" s="3" t="str">
        <x:v>Re-enter a matter and see where it was left</x:v>
      </x:c>
      <x:c r="E6" s="3" t="str">
        <x:v>RP-A</x:v>
      </x:c>
      <x:c r="F6" s="3" t="str">
        <x:v>A3 complete</x:v>
      </x:c>
      <x:c r="G6" s="3" t="str">
        <x:v>BK-33</x:v>
      </x:c>
      <x:c r="H6" s="3" t="str">
        <x:v>BK-33</x:v>
      </x:c>
      <x:c r="I6" s="3" t="str"/>
      <x:c r="J6" s="3" t="n">
        <x:v>2</x:v>
      </x:c>
      <x:c r="K6" s="3" t="n">
        <x:v>1</x:v>
      </x:c>
      <x:c r="L6" s="3" t="n">
        <x:v>0</x:v>
      </x:c>
      <x:c r="M6" s="3" t="n">
        <x:v>1</x:v>
      </x:c>
      <x:c r="N6" s="3" t="n">
        <x:v>1</x:v>
      </x:c>
      <x:c r="O6" s="3" t="n">
        <x:v>0</x:v>
      </x:c>
      <x:c r="P6" s="3" t="n">
        <x:v>0</x:v>
      </x:c>
      <x:c r="Q6" s="3" t="n">
        <x:v>0</x:v>
      </x:c>
      <x:c r="R6" s="3" t="n">
        <x:v>2</x:v>
      </x:c>
      <x:c r="S6" s="3" t="n">
        <x:v>0</x:v>
      </x:c>
      <x:c r="T6" s="3" t="str">
        <x:v>P13, P32</x:v>
      </x:c>
    </x:row>
    <x:row r="7" ht="40" customHeight="1">
      <x:c r="A7" s="14" t="n">
        <x:v>4</x:v>
      </x:c>
      <x:c r="B7" s="14" t="str">
        <x:v>A</x:v>
      </x:c>
      <x:c r="C7" s="14" t="str">
        <x:v>STEP-A-04</x:v>
      </x:c>
      <x:c r="D7" s="14" t="str">
        <x:v>Search the corpus and file what is found</x:v>
      </x:c>
      <x:c r="E7" s="14" t="str">
        <x:v>RP-A</x:v>
      </x:c>
      <x:c r="F7" s="14" t="str">
        <x:v>A4 partial</x:v>
      </x:c>
      <x:c r="G7" s="14" t="str">
        <x:v>BK-38, J-7</x:v>
      </x:c>
      <x:c r="H7" s="14" t="str">
        <x:v>BK-38</x:v>
      </x:c>
      <x:c r="I7" s="14" t="str"/>
      <x:c r="J7" s="14" t="n">
        <x:v>3</x:v>
      </x:c>
      <x:c r="K7" s="14" t="n">
        <x:v>2</x:v>
      </x:c>
      <x:c r="L7" s="14" t="n">
        <x:v>0</x:v>
      </x:c>
      <x:c r="M7" s="14" t="n">
        <x:v>0</x:v>
      </x:c>
      <x:c r="N7" s="14" t="n">
        <x:v>0</x:v>
      </x:c>
      <x:c r="O7" s="14" t="n">
        <x:v>1</x:v>
      </x:c>
      <x:c r="P7" s="14" t="n">
        <x:v>0</x:v>
      </x:c>
      <x:c r="Q7" s="14" t="n">
        <x:v>0</x:v>
      </x:c>
      <x:c r="R7" s="14" t="n">
        <x:v>1</x:v>
      </x:c>
      <x:c r="S7" s="14" t="n">
        <x:v>0</x:v>
      </x:c>
      <x:c r="T7" s="14" t="str">
        <x:v>P21, P36</x:v>
      </x:c>
    </x:row>
    <x:row r="8" ht="27" customHeight="1">
      <x:c r="A8" s="3" t="n">
        <x:v>5</x:v>
      </x:c>
      <x:c r="B8" s="3" t="str">
        <x:v>B</x:v>
      </x:c>
      <x:c r="C8" s="3" t="str">
        <x:v>STEP-B-01</x:v>
      </x:c>
      <x:c r="D8" s="3" t="str">
        <x:v>Route the opening message</x:v>
      </x:c>
      <x:c r="E8" s="3" t="str">
        <x:v>RP-B</x:v>
      </x:c>
      <x:c r="F8" s="3" t="str">
        <x:v>B1 partial</x:v>
      </x:c>
      <x:c r="G8" s="3" t="str">
        <x:v>BK-93, BK-8, BK-48</x:v>
      </x:c>
      <x:c r="H8" s="3" t="str"/>
      <x:c r="I8" s="3" t="str"/>
      <x:c r="J8" s="3" t="n">
        <x:v>5</x:v>
      </x:c>
      <x:c r="K8" s="3" t="n">
        <x:v>2</x:v>
      </x:c>
      <x:c r="L8" s="3" t="n">
        <x:v>0</x:v>
      </x:c>
      <x:c r="M8" s="3" t="n">
        <x:v>6</x:v>
      </x:c>
      <x:c r="N8" s="3" t="n">
        <x:v>1</x:v>
      </x:c>
      <x:c r="O8" s="3" t="n">
        <x:v>2</x:v>
      </x:c>
      <x:c r="P8" s="3" t="n">
        <x:v>2</x:v>
      </x:c>
      <x:c r="Q8" s="3" t="n">
        <x:v>0</x:v>
      </x:c>
      <x:c r="R8" s="3" t="n">
        <x:v>10</x:v>
      </x:c>
      <x:c r="S8" s="3" t="n">
        <x:v>1</x:v>
      </x:c>
      <x:c r="T8" s="3" t="str">
        <x:v>P14, P01, P25</x:v>
      </x:c>
    </x:row>
    <x:row r="9" ht="40" customHeight="1">
      <x:c r="A9" s="14" t="n">
        <x:v>6</x:v>
      </x:c>
      <x:c r="B9" s="14" t="str">
        <x:v>B</x:v>
      </x:c>
      <x:c r="C9" s="14" t="str">
        <x:v>STEP-B-02</x:v>
      </x:c>
      <x:c r="D9" s="14" t="str">
        <x:v>Emergency triage, before any screen can delay it</x:v>
      </x:c>
      <x:c r="E9" s="14" t="str">
        <x:v>RP-B</x:v>
      </x:c>
      <x:c r="F9" s="14" t="str">
        <x:v>B2 partial</x:v>
      </x:c>
      <x:c r="G9" s="14" t="str">
        <x:v>BK-34, BK-53, BK-78</x:v>
      </x:c>
      <x:c r="H9" s="14" t="str">
        <x:v>BK-34, BK-53, BK-78</x:v>
      </x:c>
      <x:c r="I9" s="14" t="str">
        <x:v>BK-34</x:v>
      </x:c>
      <x:c r="J9" s="14" t="n">
        <x:v>8</x:v>
      </x:c>
      <x:c r="K9" s="14" t="n">
        <x:v>3</x:v>
      </x:c>
      <x:c r="L9" s="14" t="n">
        <x:v>0</x:v>
      </x:c>
      <x:c r="M9" s="14" t="n">
        <x:v>7</x:v>
      </x:c>
      <x:c r="N9" s="14" t="n">
        <x:v>2</x:v>
      </x:c>
      <x:c r="O9" s="14" t="n">
        <x:v>3</x:v>
      </x:c>
      <x:c r="P9" s="14" t="n">
        <x:v>0</x:v>
      </x:c>
      <x:c r="Q9" s="14" t="n">
        <x:v>0</x:v>
      </x:c>
      <x:c r="R9" s="14" t="n">
        <x:v>10</x:v>
      </x:c>
      <x:c r="S9" s="14" t="n">
        <x:v>0</x:v>
      </x:c>
      <x:c r="T9" s="14" t="str">
        <x:v>P14</x:v>
      </x:c>
    </x:row>
    <x:row r="10" ht="27" customHeight="1">
      <x:c r="A10" s="3" t="n">
        <x:v>7</x:v>
      </x:c>
      <x:c r="B10" s="3" t="str">
        <x:v>B</x:v>
      </x:c>
      <x:c r="C10" s="3" t="str">
        <x:v>STEP-B-03</x:v>
      </x:c>
      <x:c r="D10" s="3" t="str">
        <x:v>The conflict screen</x:v>
      </x:c>
      <x:c r="E10" s="3" t="str">
        <x:v>RP-B</x:v>
      </x:c>
      <x:c r="F10" s="3" t="str">
        <x:v>B3 partial</x:v>
      </x:c>
      <x:c r="G10" s="3" t="str">
        <x:v>BK-34</x:v>
      </x:c>
      <x:c r="H10" s="3" t="str">
        <x:v>BK-34</x:v>
      </x:c>
      <x:c r="I10" s="3" t="str">
        <x:v>BK-34</x:v>
      </x:c>
      <x:c r="J10" s="3" t="n">
        <x:v>4</x:v>
      </x:c>
      <x:c r="K10" s="3" t="n">
        <x:v>3</x:v>
      </x:c>
      <x:c r="L10" s="3" t="n">
        <x:v>0</x:v>
      </x:c>
      <x:c r="M10" s="3" t="n">
        <x:v>2</x:v>
      </x:c>
      <x:c r="N10" s="3" t="n">
        <x:v>0</x:v>
      </x:c>
      <x:c r="O10" s="3" t="n">
        <x:v>0</x:v>
      </x:c>
      <x:c r="P10" s="3" t="n">
        <x:v>0</x:v>
      </x:c>
      <x:c r="Q10" s="3" t="n">
        <x:v>0</x:v>
      </x:c>
      <x:c r="R10" s="3" t="n">
        <x:v>0</x:v>
      </x:c>
      <x:c r="S10" s="3" t="n">
        <x:v>0</x:v>
      </x:c>
      <x:c r="T10" s="3" t="str">
        <x:v>P14</x:v>
      </x:c>
    </x:row>
    <x:row r="11" ht="40" customHeight="1">
      <x:c r="A11" s="14" t="n">
        <x:v>8</x:v>
      </x:c>
      <x:c r="B11" s="14" t="str">
        <x:v>B</x:v>
      </x:c>
      <x:c r="C11" s="14" t="str">
        <x:v>STEP-B-04</x:v>
      </x:c>
      <x:c r="D11" s="14" t="str">
        <x:v>Admit substance: competence, engagement and capacity</x:v>
      </x:c>
      <x:c r="E11" s="14" t="str">
        <x:v>RP-B</x:v>
      </x:c>
      <x:c r="F11" s="14" t="str">
        <x:v>B4 partial, B5 partial, B6 partial</x:v>
      </x:c>
      <x:c r="G11" s="14" t="str">
        <x:v>BK-34, BK-53, BK-62, BK-63, BK-78</x:v>
      </x:c>
      <x:c r="H11" s="14" t="str">
        <x:v>BK-34, BK-53, BK-62, BK-63, BK-78</x:v>
      </x:c>
      <x:c r="I11" s="14" t="str">
        <x:v>BK-34, BK-62, BK-63</x:v>
      </x:c>
      <x:c r="J11" s="14" t="n">
        <x:v>10</x:v>
      </x:c>
      <x:c r="K11" s="14" t="n">
        <x:v>3</x:v>
      </x:c>
      <x:c r="L11" s="14" t="n">
        <x:v>0</x:v>
      </x:c>
      <x:c r="M11" s="14" t="n">
        <x:v>12</x:v>
      </x:c>
      <x:c r="N11" s="14" t="n">
        <x:v>2</x:v>
      </x:c>
      <x:c r="O11" s="14" t="n">
        <x:v>5</x:v>
      </x:c>
      <x:c r="P11" s="14" t="n">
        <x:v>0</x:v>
      </x:c>
      <x:c r="Q11" s="14" t="n">
        <x:v>0</x:v>
      </x:c>
      <x:c r="R11" s="14" t="n">
        <x:v>17</x:v>
      </x:c>
      <x:c r="S11" s="14" t="n">
        <x:v>0</x:v>
      </x:c>
      <x:c r="T11" s="14" t="str">
        <x:v>P14, P13, P32</x:v>
      </x:c>
    </x:row>
    <x:row r="12" ht="27" customHeight="1">
      <x:c r="A12" s="3" t="n">
        <x:v>9</x:v>
      </x:c>
      <x:c r="B12" s="3" t="str">
        <x:v>C</x:v>
      </x:c>
      <x:c r="C12" s="3" t="str">
        <x:v>STEP-C-01</x:v>
      </x:c>
      <x:c r="D12" s="3" t="str">
        <x:v>Open the account and hold it</x:v>
      </x:c>
      <x:c r="E12" s="3" t="str">
        <x:v>RP-C</x:v>
      </x:c>
      <x:c r="F12" s="3" t="str">
        <x:v>C1 partial</x:v>
      </x:c>
      <x:c r="G12" s="3" t="str">
        <x:v>BK-36, BK-54, BK-66</x:v>
      </x:c>
      <x:c r="H12" s="3" t="str">
        <x:v>BK-66</x:v>
      </x:c>
      <x:c r="I12" s="3" t="str">
        <x:v>BK-66</x:v>
      </x:c>
      <x:c r="J12" s="3" t="n">
        <x:v>8</x:v>
      </x:c>
      <x:c r="K12" s="3" t="n">
        <x:v>0</x:v>
      </x:c>
      <x:c r="L12" s="3" t="n">
        <x:v>0</x:v>
      </x:c>
      <x:c r="M12" s="3" t="n">
        <x:v>6</x:v>
      </x:c>
      <x:c r="N12" s="3" t="n">
        <x:v>2</x:v>
      </x:c>
      <x:c r="O12" s="3" t="n">
        <x:v>5</x:v>
      </x:c>
      <x:c r="P12" s="3" t="n">
        <x:v>4</x:v>
      </x:c>
      <x:c r="Q12" s="3" t="n">
        <x:v>0</x:v>
      </x:c>
      <x:c r="R12" s="3" t="n">
        <x:v>12</x:v>
      </x:c>
      <x:c r="S12" s="3" t="n">
        <x:v>0</x:v>
      </x:c>
      <x:c r="T12" s="3" t="str">
        <x:v>P34, P10, P24, P25</x:v>
      </x:c>
    </x:row>
    <x:row r="13" ht="40" customHeight="1">
      <x:c r="A13" s="14" t="n">
        <x:v>10</x:v>
      </x:c>
      <x:c r="B13" s="14" t="str">
        <x:v>C</x:v>
      </x:c>
      <x:c r="C13" s="14" t="str">
        <x:v>STEP-C-02</x:v>
      </x:c>
      <x:c r="D13" s="14" t="str">
        <x:v>State the objectives and the constraints</x:v>
      </x:c>
      <x:c r="E13" s="14" t="str">
        <x:v>RP-C</x:v>
      </x:c>
      <x:c r="F13" s="14" t="str">
        <x:v>C2 none</x:v>
      </x:c>
      <x:c r="G13" s="14" t="str">
        <x:v>BK-54, BK-62</x:v>
      </x:c>
      <x:c r="H13" s="14" t="str">
        <x:v>BK-62</x:v>
      </x:c>
      <x:c r="I13" s="14" t="str">
        <x:v>BK-62</x:v>
      </x:c>
      <x:c r="J13" s="14" t="n">
        <x:v>4</x:v>
      </x:c>
      <x:c r="K13" s="14" t="n">
        <x:v>0</x:v>
      </x:c>
      <x:c r="L13" s="14" t="n">
        <x:v>0</x:v>
      </x:c>
      <x:c r="M13" s="14" t="n">
        <x:v>4</x:v>
      </x:c>
      <x:c r="N13" s="14" t="n">
        <x:v>1</x:v>
      </x:c>
      <x:c r="O13" s="14" t="n">
        <x:v>3</x:v>
      </x:c>
      <x:c r="P13" s="14" t="n">
        <x:v>2</x:v>
      </x:c>
      <x:c r="Q13" s="14" t="n">
        <x:v>0</x:v>
      </x:c>
      <x:c r="R13" s="14" t="n">
        <x:v>8</x:v>
      </x:c>
      <x:c r="S13" s="14" t="n">
        <x:v>0</x:v>
      </x:c>
      <x:c r="T13" s="14" t="str">
        <x:v>P24, P25, P13</x:v>
      </x:c>
    </x:row>
    <x:row r="14" ht="27" customHeight="1">
      <x:c r="A14" s="3" t="n">
        <x:v>11</x:v>
      </x:c>
      <x:c r="B14" s="3" t="str">
        <x:v>C</x:v>
      </x:c>
      <x:c r="C14" s="3" t="str">
        <x:v>STEP-C-03</x:v>
      </x:c>
      <x:c r="D14" s="3" t="str">
        <x:v>Settle the parties and the posture</x:v>
      </x:c>
      <x:c r="E14" s="3" t="str">
        <x:v>RP-C</x:v>
      </x:c>
      <x:c r="F14" s="3" t="str">
        <x:v>C3 complete</x:v>
      </x:c>
      <x:c r="G14" s="3" t="str">
        <x:v>BK-94, BK-62, BK-63, BK-64</x:v>
      </x:c>
      <x:c r="H14" s="3" t="str">
        <x:v>BK-62, BK-63</x:v>
      </x:c>
      <x:c r="I14" s="3" t="str">
        <x:v>BK-62, BK-63</x:v>
      </x:c>
      <x:c r="J14" s="3" t="n">
        <x:v>8</x:v>
      </x:c>
      <x:c r="K14" s="3" t="n">
        <x:v>0</x:v>
      </x:c>
      <x:c r="L14" s="3" t="n">
        <x:v>0</x:v>
      </x:c>
      <x:c r="M14" s="3" t="n">
        <x:v>23</x:v>
      </x:c>
      <x:c r="N14" s="3" t="n">
        <x:v>5</x:v>
      </x:c>
      <x:c r="O14" s="3" t="n">
        <x:v>4</x:v>
      </x:c>
      <x:c r="P14" s="3" t="n">
        <x:v>4</x:v>
      </x:c>
      <x:c r="Q14" s="3" t="n">
        <x:v>0</x:v>
      </x:c>
      <x:c r="R14" s="3" t="n">
        <x:v>36</x:v>
      </x:c>
      <x:c r="S14" s="3" t="n">
        <x:v>0</x:v>
      </x:c>
      <x:c r="T14" s="3" t="str">
        <x:v>P17, P25, P13, P32</x:v>
      </x:c>
    </x:row>
    <x:row r="15" ht="27" customHeight="1">
      <x:c r="A15" s="14" t="n">
        <x:v>12</x:v>
      </x:c>
      <x:c r="B15" s="14" t="str">
        <x:v>C</x:v>
      </x:c>
      <x:c r="C15" s="14" t="str">
        <x:v>STEP-C-04</x:v>
      </x:c>
      <x:c r="D15" s="14" t="str">
        <x:v>Give each dispute a thread</x:v>
      </x:c>
      <x:c r="E15" s="14" t="str">
        <x:v>RP-C</x:v>
      </x:c>
      <x:c r="F15" s="14" t="str">
        <x:v>C4 complete</x:v>
      </x:c>
      <x:c r="G15" s="14" t="str">
        <x:v>BK-94, BK-27, J-4, BK-64</x:v>
      </x:c>
      <x:c r="H15" s="14" t="str"/>
      <x:c r="I15" s="14" t="str"/>
      <x:c r="J15" s="14" t="n">
        <x:v>7</x:v>
      </x:c>
      <x:c r="K15" s="14" t="n">
        <x:v>0</x:v>
      </x:c>
      <x:c r="L15" s="14" t="n">
        <x:v>0</x:v>
      </x:c>
      <x:c r="M15" s="14" t="n">
        <x:v>19</x:v>
      </x:c>
      <x:c r="N15" s="14" t="n">
        <x:v>5</x:v>
      </x:c>
      <x:c r="O15" s="14" t="n">
        <x:v>3</x:v>
      </x:c>
      <x:c r="P15" s="14" t="n">
        <x:v>5</x:v>
      </x:c>
      <x:c r="Q15" s="14" t="n">
        <x:v>0</x:v>
      </x:c>
      <x:c r="R15" s="14" t="n">
        <x:v>32</x:v>
      </x:c>
      <x:c r="S15" s="14" t="n">
        <x:v>1</x:v>
      </x:c>
      <x:c r="T15" s="14" t="str">
        <x:v>P17, P25</x:v>
      </x:c>
    </x:row>
    <x:row r="16" ht="27" customHeight="1">
      <x:c r="A16" s="3" t="n">
        <x:v>13</x:v>
      </x:c>
      <x:c r="B16" s="3" t="str">
        <x:v>C</x:v>
      </x:c>
      <x:c r="C16" s="3" t="str">
        <x:v>STEP-C-05</x:v>
      </x:c>
      <x:c r="D16" s="3" t="str">
        <x:v>Build the chronology</x:v>
      </x:c>
      <x:c r="E16" s="3" t="str">
        <x:v>RP-C</x:v>
      </x:c>
      <x:c r="F16" s="3" t="str">
        <x:v>C5 complete</x:v>
      </x:c>
      <x:c r="G16" s="3" t="str">
        <x:v>BK-94, BK-14, BK-64, BK-65</x:v>
      </x:c>
      <x:c r="H16" s="3" t="str"/>
      <x:c r="I16" s="3" t="str"/>
      <x:c r="J16" s="3" t="n">
        <x:v>8</x:v>
      </x:c>
      <x:c r="K16" s="3" t="n">
        <x:v>1</x:v>
      </x:c>
      <x:c r="L16" s="3" t="n">
        <x:v>0</x:v>
      </x:c>
      <x:c r="M16" s="3" t="n">
        <x:v>18</x:v>
      </x:c>
      <x:c r="N16" s="3" t="n">
        <x:v>5</x:v>
      </x:c>
      <x:c r="O16" s="3" t="n">
        <x:v>3</x:v>
      </x:c>
      <x:c r="P16" s="3" t="n">
        <x:v>5</x:v>
      </x:c>
      <x:c r="Q16" s="3" t="n">
        <x:v>0</x:v>
      </x:c>
      <x:c r="R16" s="3" t="n">
        <x:v>29</x:v>
      </x:c>
      <x:c r="S16" s="3" t="n">
        <x:v>1</x:v>
      </x:c>
      <x:c r="T16" s="3" t="str">
        <x:v>P17, P25, P18, P22</x:v>
      </x:c>
    </x:row>
    <x:row r="17" ht="40" customHeight="1">
      <x:c r="A17" s="14" t="n">
        <x:v>14</x:v>
      </x:c>
      <x:c r="B17" s="14" t="str">
        <x:v>C</x:v>
      </x:c>
      <x:c r="C17" s="14" t="str">
        <x:v>STEP-C-06</x:v>
      </x:c>
      <x:c r="D17" s="14" t="str">
        <x:v>Take in documents, voice and mixed media</x:v>
      </x:c>
      <x:c r="E17" s="14" t="str">
        <x:v>RP-C</x:v>
      </x:c>
      <x:c r="F17" s="14" t="str">
        <x:v>C6 partial</x:v>
      </x:c>
      <x:c r="G17" s="14" t="str">
        <x:v>BK-54, BK-69, BK-79</x:v>
      </x:c>
      <x:c r="H17" s="14" t="str"/>
      <x:c r="I17" s="14" t="str"/>
      <x:c r="J17" s="14" t="n">
        <x:v>9</x:v>
      </x:c>
      <x:c r="K17" s="14" t="n">
        <x:v>2</x:v>
      </x:c>
      <x:c r="L17" s="14" t="n">
        <x:v>0</x:v>
      </x:c>
      <x:c r="M17" s="14" t="n">
        <x:v>9</x:v>
      </x:c>
      <x:c r="N17" s="14" t="n">
        <x:v>4</x:v>
      </x:c>
      <x:c r="O17" s="14" t="n">
        <x:v>2</x:v>
      </x:c>
      <x:c r="P17" s="14" t="n">
        <x:v>2</x:v>
      </x:c>
      <x:c r="Q17" s="14" t="n">
        <x:v>0</x:v>
      </x:c>
      <x:c r="R17" s="14" t="n">
        <x:v>15</x:v>
      </x:c>
      <x:c r="S17" s="14" t="n">
        <x:v>0</x:v>
      </x:c>
      <x:c r="T17" s="14" t="str">
        <x:v>P25, P15, P24</x:v>
      </x:c>
    </x:row>
    <x:row r="18" ht="40" customHeight="1">
      <x:c r="A18" s="3" t="n">
        <x:v>15</x:v>
      </x:c>
      <x:c r="B18" s="3" t="str">
        <x:v>C</x:v>
      </x:c>
      <x:c r="C18" s="3" t="str">
        <x:v>STEP-C-07</x:v>
      </x:c>
      <x:c r="D18" s="3" t="str">
        <x:v>Inventory the evidence and preserve it</x:v>
      </x:c>
      <x:c r="E18" s="3" t="str">
        <x:v>RP-C</x:v>
      </x:c>
      <x:c r="F18" s="3" t="str">
        <x:v>C7 complete</x:v>
      </x:c>
      <x:c r="G18" s="3" t="str">
        <x:v>BK-94, BK-6, BK-64, BK-79</x:v>
      </x:c>
      <x:c r="H18" s="3" t="str"/>
      <x:c r="I18" s="3" t="str"/>
      <x:c r="J18" s="3" t="n">
        <x:v>9</x:v>
      </x:c>
      <x:c r="K18" s="3" t="n">
        <x:v>0</x:v>
      </x:c>
      <x:c r="L18" s="3" t="n">
        <x:v>0</x:v>
      </x:c>
      <x:c r="M18" s="3" t="n">
        <x:v>23</x:v>
      </x:c>
      <x:c r="N18" s="3" t="n">
        <x:v>8</x:v>
      </x:c>
      <x:c r="O18" s="3" t="n">
        <x:v>2</x:v>
      </x:c>
      <x:c r="P18" s="3" t="n">
        <x:v>4</x:v>
      </x:c>
      <x:c r="Q18" s="3" t="n">
        <x:v>0</x:v>
      </x:c>
      <x:c r="R18" s="3" t="n">
        <x:v>37</x:v>
      </x:c>
      <x:c r="S18" s="3" t="n">
        <x:v>1</x:v>
      </x:c>
      <x:c r="T18" s="3" t="str">
        <x:v>P17, P25</x:v>
      </x:c>
    </x:row>
    <x:row r="19" ht="27" customHeight="1">
      <x:c r="A19" s="14" t="n">
        <x:v>16</x:v>
      </x:c>
      <x:c r="B19" s="14" t="str">
        <x:v>D</x:v>
      </x:c>
      <x:c r="C19" s="14" t="str">
        <x:v>STEP-D-01</x:v>
      </x:c>
      <x:c r="D19" s="14" t="str">
        <x:v>Confirm the parties and the side</x:v>
      </x:c>
      <x:c r="E19" s="14" t="str">
        <x:v>RP-D</x:v>
      </x:c>
      <x:c r="F19" s="14" t="str">
        <x:v>C3 complete</x:v>
      </x:c>
      <x:c r="G19" s="14" t="str">
        <x:v>BK-94, BK-63, BK-65</x:v>
      </x:c>
      <x:c r="H19" s="14" t="str">
        <x:v>BK-63</x:v>
      </x:c>
      <x:c r="I19" s="14" t="str">
        <x:v>BK-63</x:v>
      </x:c>
      <x:c r="J19" s="14" t="n">
        <x:v>8</x:v>
      </x:c>
      <x:c r="K19" s="14" t="n">
        <x:v>1</x:v>
      </x:c>
      <x:c r="L19" s="14" t="n">
        <x:v>0</x:v>
      </x:c>
      <x:c r="M19" s="14" t="n">
        <x:v>18</x:v>
      </x:c>
      <x:c r="N19" s="14" t="n">
        <x:v>5</x:v>
      </x:c>
      <x:c r="O19" s="14" t="n">
        <x:v>4</x:v>
      </x:c>
      <x:c r="P19" s="14" t="n">
        <x:v>5</x:v>
      </x:c>
      <x:c r="Q19" s="14" t="n">
        <x:v>0</x:v>
      </x:c>
      <x:c r="R19" s="14" t="n">
        <x:v>30</x:v>
      </x:c>
      <x:c r="S19" s="14" t="n">
        <x:v>0</x:v>
      </x:c>
      <x:c r="T19" s="14" t="str">
        <x:v>P17, P25, P32, P18, P22</x:v>
      </x:c>
    </x:row>
    <x:row r="20" ht="27" customHeight="1">
      <x:c r="A20" s="3" t="n">
        <x:v>17</x:v>
      </x:c>
      <x:c r="B20" s="3" t="str">
        <x:v>D</x:v>
      </x:c>
      <x:c r="C20" s="3" t="str">
        <x:v>STEP-D-02</x:v>
      </x:c>
      <x:c r="D20" s="3" t="str">
        <x:v>Settle the cause of action</x:v>
      </x:c>
      <x:c r="E20" s="3" t="str">
        <x:v>RP-D</x:v>
      </x:c>
      <x:c r="F20" s="3" t="str">
        <x:v>D1 complete</x:v>
      </x:c>
      <x:c r="G20" s="3" t="str">
        <x:v>BK-95, J-2, BK-65, BK-67</x:v>
      </x:c>
      <x:c r="H20" s="3" t="str">
        <x:v>BK-67</x:v>
      </x:c>
      <x:c r="I20" s="3" t="str">
        <x:v>BK-67</x:v>
      </x:c>
      <x:c r="J20" s="3" t="n">
        <x:v>15</x:v>
      </x:c>
      <x:c r="K20" s="3" t="n">
        <x:v>1</x:v>
      </x:c>
      <x:c r="L20" s="3" t="n">
        <x:v>0</x:v>
      </x:c>
      <x:c r="M20" s="3" t="n">
        <x:v>26</x:v>
      </x:c>
      <x:c r="N20" s="3" t="n">
        <x:v>5</x:v>
      </x:c>
      <x:c r="O20" s="3" t="n">
        <x:v>13</x:v>
      </x:c>
      <x:c r="P20" s="3" t="n">
        <x:v>12</x:v>
      </x:c>
      <x:c r="Q20" s="3" t="n">
        <x:v>0</x:v>
      </x:c>
      <x:c r="R20" s="3" t="n">
        <x:v>48</x:v>
      </x:c>
      <x:c r="S20" s="3" t="n">
        <x:v>0</x:v>
      </x:c>
      <x:c r="T20" s="3" t="str">
        <x:v>P23, P35, P22, P21, P18</x:v>
      </x:c>
    </x:row>
    <x:row r="21" ht="27" customHeight="1">
      <x:c r="A21" s="14" t="n">
        <x:v>18</x:v>
      </x:c>
      <x:c r="B21" s="14" t="str">
        <x:v>D</x:v>
      </x:c>
      <x:c r="C21" s="14" t="str">
        <x:v>STEP-D-03</x:v>
      </x:c>
      <x:c r="D21" s="14" t="str">
        <x:v>Compute the limitation period</x:v>
      </x:c>
      <x:c r="E21" s="14" t="str">
        <x:v>RP-D</x:v>
      </x:c>
      <x:c r="F21" s="14" t="str">
        <x:v>D2 complete</x:v>
      </x:c>
      <x:c r="G21" s="14" t="str">
        <x:v>BK-35, BK-65, BK-67</x:v>
      </x:c>
      <x:c r="H21" s="14" t="str">
        <x:v>BK-67</x:v>
      </x:c>
      <x:c r="I21" s="14" t="str">
        <x:v>BK-67</x:v>
      </x:c>
      <x:c r="J21" s="14" t="n">
        <x:v>8</x:v>
      </x:c>
      <x:c r="K21" s="14" t="n">
        <x:v>2</x:v>
      </x:c>
      <x:c r="L21" s="14" t="n">
        <x:v>0</x:v>
      </x:c>
      <x:c r="M21" s="14" t="n">
        <x:v>0</x:v>
      </x:c>
      <x:c r="N21" s="14" t="n">
        <x:v>0</x:v>
      </x:c>
      <x:c r="O21" s="14" t="n">
        <x:v>6</x:v>
      </x:c>
      <x:c r="P21" s="14" t="n">
        <x:v>6</x:v>
      </x:c>
      <x:c r="Q21" s="14" t="n">
        <x:v>0</x:v>
      </x:c>
      <x:c r="R21" s="14" t="n">
        <x:v>2</x:v>
      </x:c>
      <x:c r="S21" s="14" t="n">
        <x:v>0</x:v>
      </x:c>
      <x:c r="T21" s="14" t="str">
        <x:v>P35, P22, P18</x:v>
      </x:c>
    </x:row>
    <x:row r="22" ht="27" customHeight="1">
      <x:c r="A22" s="3" t="n">
        <x:v>19</x:v>
      </x:c>
      <x:c r="B22" s="3" t="str">
        <x:v>D</x:v>
      </x:c>
      <x:c r="C22" s="3" t="str">
        <x:v>STEP-D-04</x:v>
      </x:c>
      <x:c r="D22" s="3" t="str">
        <x:v>Determine the forum</x:v>
      </x:c>
      <x:c r="E22" s="3" t="str">
        <x:v>RP-D</x:v>
      </x:c>
      <x:c r="F22" s="3" t="str">
        <x:v>D1 complete</x:v>
      </x:c>
      <x:c r="G22" s="3" t="str">
        <x:v>BK-95, BK-65, BK-70</x:v>
      </x:c>
      <x:c r="H22" s="3" t="str"/>
      <x:c r="I22" s="3" t="str"/>
      <x:c r="J22" s="3" t="n">
        <x:v>12</x:v>
      </x:c>
      <x:c r="K22" s="3" t="n">
        <x:v>1</x:v>
      </x:c>
      <x:c r="L22" s="3" t="n">
        <x:v>0</x:v>
      </x:c>
      <x:c r="M22" s="3" t="n">
        <x:v>26</x:v>
      </x:c>
      <x:c r="N22" s="3" t="n">
        <x:v>5</x:v>
      </x:c>
      <x:c r="O22" s="3" t="n">
        <x:v>10</x:v>
      </x:c>
      <x:c r="P22" s="3" t="n">
        <x:v>9</x:v>
      </x:c>
      <x:c r="Q22" s="3" t="n">
        <x:v>0</x:v>
      </x:c>
      <x:c r="R22" s="3" t="n">
        <x:v>46</x:v>
      </x:c>
      <x:c r="S22" s="3" t="n">
        <x:v>0</x:v>
      </x:c>
      <x:c r="T22" s="3" t="str">
        <x:v>P23, P22, P21, P18</x:v>
      </x:c>
    </x:row>
    <x:row r="23" ht="40" customHeight="1">
      <x:c r="A23" s="14" t="n">
        <x:v>20</x:v>
      </x:c>
      <x:c r="B23" s="14" t="str">
        <x:v>D</x:v>
      </x:c>
      <x:c r="C23" s="14" t="str">
        <x:v>STEP-D-05</x:v>
      </x:c>
      <x:c r="D23" s="14" t="str">
        <x:v>Territorial and pecuniary jurisdiction</x:v>
      </x:c>
      <x:c r="E23" s="14" t="str">
        <x:v>RP-D</x:v>
      </x:c>
      <x:c r="F23" s="14" t="str">
        <x:v>D1 complete</x:v>
      </x:c>
      <x:c r="G23" s="14" t="str">
        <x:v>BK-95, BK-15, BK-65, BK-70</x:v>
      </x:c>
      <x:c r="H23" s="14" t="str"/>
      <x:c r="I23" s="14" t="str"/>
      <x:c r="J23" s="14" t="n">
        <x:v>12</x:v>
      </x:c>
      <x:c r="K23" s="14" t="n">
        <x:v>1</x:v>
      </x:c>
      <x:c r="L23" s="14" t="n">
        <x:v>0</x:v>
      </x:c>
      <x:c r="M23" s="14" t="n">
        <x:v>26</x:v>
      </x:c>
      <x:c r="N23" s="14" t="n">
        <x:v>5</x:v>
      </x:c>
      <x:c r="O23" s="14" t="n">
        <x:v>10</x:v>
      </x:c>
      <x:c r="P23" s="14" t="n">
        <x:v>9</x:v>
      </x:c>
      <x:c r="Q23" s="14" t="n">
        <x:v>0</x:v>
      </x:c>
      <x:c r="R23" s="14" t="n">
        <x:v>46</x:v>
      </x:c>
      <x:c r="S23" s="14" t="n">
        <x:v>1</x:v>
      </x:c>
      <x:c r="T23" s="14" t="str">
        <x:v>P23, P22, P21, P18</x:v>
      </x:c>
    </x:row>
    <x:row r="24" ht="27" customHeight="1">
      <x:c r="A24" s="3" t="n">
        <x:v>21</x:v>
      </x:c>
      <x:c r="B24" s="3" t="str">
        <x:v>D</x:v>
      </x:c>
      <x:c r="C24" s="3" t="str">
        <x:v>STEP-D-06</x:v>
      </x:c>
      <x:c r="D24" s="3" t="str">
        <x:v>Pre-filing requirements</x:v>
      </x:c>
      <x:c r="E24" s="3" t="str">
        <x:v>RP-D</x:v>
      </x:c>
      <x:c r="F24" s="3" t="str">
        <x:v>D1 complete</x:v>
      </x:c>
      <x:c r="G24" s="3" t="str">
        <x:v>BK-95, BK-65, BK-70</x:v>
      </x:c>
      <x:c r="H24" s="3" t="str"/>
      <x:c r="I24" s="3" t="str"/>
      <x:c r="J24" s="3" t="n">
        <x:v>12</x:v>
      </x:c>
      <x:c r="K24" s="3" t="n">
        <x:v>1</x:v>
      </x:c>
      <x:c r="L24" s="3" t="n">
        <x:v>0</x:v>
      </x:c>
      <x:c r="M24" s="3" t="n">
        <x:v>26</x:v>
      </x:c>
      <x:c r="N24" s="3" t="n">
        <x:v>5</x:v>
      </x:c>
      <x:c r="O24" s="3" t="n">
        <x:v>10</x:v>
      </x:c>
      <x:c r="P24" s="3" t="n">
        <x:v>9</x:v>
      </x:c>
      <x:c r="Q24" s="3" t="n">
        <x:v>0</x:v>
      </x:c>
      <x:c r="R24" s="3" t="n">
        <x:v>46</x:v>
      </x:c>
      <x:c r="S24" s="3" t="n">
        <x:v>0</x:v>
      </x:c>
      <x:c r="T24" s="3" t="str">
        <x:v>P23, P22, P21, P18</x:v>
      </x:c>
    </x:row>
    <x:row r="25" ht="27" customHeight="1">
      <x:c r="A25" s="14" t="n">
        <x:v>22</x:v>
      </x:c>
      <x:c r="B25" s="14" t="str">
        <x:v>D</x:v>
      </x:c>
      <x:c r="C25" s="14" t="str">
        <x:v>STEP-D-07</x:v>
      </x:c>
      <x:c r="D25" s="14" t="str">
        <x:v>Valuation and court fees</x:v>
      </x:c>
      <x:c r="E25" s="14" t="str">
        <x:v>RP-D</x:v>
      </x:c>
      <x:c r="F25" s="14" t="str">
        <x:v>D1 complete</x:v>
      </x:c>
      <x:c r="G25" s="14" t="str">
        <x:v>BK-95, BK-65, BK-70</x:v>
      </x:c>
      <x:c r="H25" s="14" t="str"/>
      <x:c r="I25" s="14" t="str"/>
      <x:c r="J25" s="14" t="n">
        <x:v>12</x:v>
      </x:c>
      <x:c r="K25" s="14" t="n">
        <x:v>1</x:v>
      </x:c>
      <x:c r="L25" s="14" t="n">
        <x:v>0</x:v>
      </x:c>
      <x:c r="M25" s="14" t="n">
        <x:v>26</x:v>
      </x:c>
      <x:c r="N25" s="14" t="n">
        <x:v>5</x:v>
      </x:c>
      <x:c r="O25" s="14" t="n">
        <x:v>10</x:v>
      </x:c>
      <x:c r="P25" s="14" t="n">
        <x:v>9</x:v>
      </x:c>
      <x:c r="Q25" s="14" t="n">
        <x:v>0</x:v>
      </x:c>
      <x:c r="R25" s="14" t="n">
        <x:v>46</x:v>
      </x:c>
      <x:c r="S25" s="14" t="n">
        <x:v>0</x:v>
      </x:c>
      <x:c r="T25" s="14" t="str">
        <x:v>P23, P22, P21, P18</x:v>
      </x:c>
    </x:row>
    <x:row r="26" ht="27" customHeight="1">
      <x:c r="A26" s="3" t="n">
        <x:v>23</x:v>
      </x:c>
      <x:c r="B26" s="3" t="str">
        <x:v>D</x:v>
      </x:c>
      <x:c r="C26" s="3" t="str">
        <x:v>STEP-D-08</x:v>
      </x:c>
      <x:c r="D26" s="3" t="str">
        <x:v>Register the deadlines</x:v>
      </x:c>
      <x:c r="E26" s="3" t="str">
        <x:v>RP-D</x:v>
      </x:c>
      <x:c r="F26" s="3" t="str">
        <x:v>D3 complete</x:v>
      </x:c>
      <x:c r="G26" s="3" t="str">
        <x:v>BK-95, BK-33, BK-65</x:v>
      </x:c>
      <x:c r="H26" s="3" t="str">
        <x:v>BK-33</x:v>
      </x:c>
      <x:c r="I26" s="3" t="str"/>
      <x:c r="J26" s="3" t="n">
        <x:v>13</x:v>
      </x:c>
      <x:c r="K26" s="3" t="n">
        <x:v>2</x:v>
      </x:c>
      <x:c r="L26" s="3" t="n">
        <x:v>0</x:v>
      </x:c>
      <x:c r="M26" s="3" t="n">
        <x:v>27</x:v>
      </x:c>
      <x:c r="N26" s="3" t="n">
        <x:v>6</x:v>
      </x:c>
      <x:c r="O26" s="3" t="n">
        <x:v>9</x:v>
      </x:c>
      <x:c r="P26" s="3" t="n">
        <x:v>8</x:v>
      </x:c>
      <x:c r="Q26" s="3" t="n">
        <x:v>0</x:v>
      </x:c>
      <x:c r="R26" s="3" t="n">
        <x:v>48</x:v>
      </x:c>
      <x:c r="S26" s="3" t="n">
        <x:v>0</x:v>
      </x:c>
      <x:c r="T26" s="3" t="str">
        <x:v>P23, P22, P21, P13, P32, P18</x:v>
      </x:c>
    </x:row>
    <x:row r="27" ht="40" customHeight="1">
      <x:c r="A27" s="14" t="n">
        <x:v>24</x:v>
      </x:c>
      <x:c r="B27" s="14" t="str">
        <x:v>D</x:v>
      </x:c>
      <x:c r="C27" s="14" t="str">
        <x:v>STEP-D-09</x:v>
      </x:c>
      <x:c r="D27" s="14" t="str">
        <x:v>Research the authorities</x:v>
      </x:c>
      <x:c r="E27" s="14" t="str">
        <x:v>RP-D</x:v>
      </x:c>
      <x:c r="F27" s="14" t="str">
        <x:v>D4 complete</x:v>
      </x:c>
      <x:c r="G27" s="14" t="str">
        <x:v>BK-95, BK-25, BK-24, BK-38, BK-67</x:v>
      </x:c>
      <x:c r="H27" s="14" t="str">
        <x:v>BK-38, BK-67</x:v>
      </x:c>
      <x:c r="I27" s="14" t="str">
        <x:v>BK-67</x:v>
      </x:c>
      <x:c r="J27" s="14" t="n">
        <x:v>17</x:v>
      </x:c>
      <x:c r="K27" s="14" t="n">
        <x:v>3</x:v>
      </x:c>
      <x:c r="L27" s="14" t="n">
        <x:v>0</x:v>
      </x:c>
      <x:c r="M27" s="14" t="n">
        <x:v>26</x:v>
      </x:c>
      <x:c r="N27" s="14" t="n">
        <x:v>5</x:v>
      </x:c>
      <x:c r="O27" s="14" t="n">
        <x:v>13</x:v>
      </x:c>
      <x:c r="P27" s="14" t="n">
        <x:v>12</x:v>
      </x:c>
      <x:c r="Q27" s="14" t="n">
        <x:v>0</x:v>
      </x:c>
      <x:c r="R27" s="14" t="n">
        <x:v>48</x:v>
      </x:c>
      <x:c r="S27" s="14" t="n">
        <x:v>0</x:v>
      </x:c>
      <x:c r="T27" s="14" t="str">
        <x:v>P23, P21, P35, P22, P44</x:v>
      </x:c>
    </x:row>
    <x:row r="28" ht="27" customHeight="1">
      <x:c r="A28" s="3" t="n">
        <x:v>25</x:v>
      </x:c>
      <x:c r="B28" s="3" t="str">
        <x:v>D</x:v>
      </x:c>
      <x:c r="C28" s="3" t="str">
        <x:v>STEP-D-10</x:v>
      </x:c>
      <x:c r="D28" s="3" t="str">
        <x:v>Elements, burden and proof</x:v>
      </x:c>
      <x:c r="E28" s="3" t="str">
        <x:v>RP-D</x:v>
      </x:c>
      <x:c r="F28" s="3" t="str">
        <x:v>D5 complete</x:v>
      </x:c>
      <x:c r="G28" s="3" t="str">
        <x:v>BK-95, BK-64, BK-65, BK-67</x:v>
      </x:c>
      <x:c r="H28" s="3" t="str">
        <x:v>BK-67</x:v>
      </x:c>
      <x:c r="I28" s="3" t="str">
        <x:v>BK-67</x:v>
      </x:c>
      <x:c r="J28" s="3" t="n">
        <x:v>16</x:v>
      </x:c>
      <x:c r="K28" s="3" t="n">
        <x:v>1</x:v>
      </x:c>
      <x:c r="L28" s="3" t="n">
        <x:v>0</x:v>
      </x:c>
      <x:c r="M28" s="3" t="n">
        <x:v>29</x:v>
      </x:c>
      <x:c r="N28" s="3" t="n">
        <x:v>5</x:v>
      </x:c>
      <x:c r="O28" s="3" t="n">
        <x:v>13</x:v>
      </x:c>
      <x:c r="P28" s="3" t="n">
        <x:v>12</x:v>
      </x:c>
      <x:c r="Q28" s="3" t="n">
        <x:v>0</x:v>
      </x:c>
      <x:c r="R28" s="3" t="n">
        <x:v>51</x:v>
      </x:c>
      <x:c r="S28" s="3" t="n">
        <x:v>0</x:v>
      </x:c>
      <x:c r="T28" s="3" t="str">
        <x:v>P23, P35, P22, P21, P17, P18</x:v>
      </x:c>
    </x:row>
    <x:row r="29" ht="27" customHeight="1">
      <x:c r="A29" s="14" t="n">
        <x:v>26</x:v>
      </x:c>
      <x:c r="B29" s="14" t="str">
        <x:v>D</x:v>
      </x:c>
      <x:c r="C29" s="14" t="str">
        <x:v>STEP-D-11</x:v>
      </x:c>
      <x:c r="D29" s="14" t="str">
        <x:v>Build the case theory</x:v>
      </x:c>
      <x:c r="E29" s="14" t="str">
        <x:v>RP-D</x:v>
      </x:c>
      <x:c r="F29" s="14" t="str">
        <x:v>D6 complete</x:v>
      </x:c>
      <x:c r="G29" s="14" t="str">
        <x:v>BK-95, BK-65, BK-67</x:v>
      </x:c>
      <x:c r="H29" s="14" t="str">
        <x:v>BK-67</x:v>
      </x:c>
      <x:c r="I29" s="14" t="str">
        <x:v>BK-67</x:v>
      </x:c>
      <x:c r="J29" s="14" t="n">
        <x:v>15</x:v>
      </x:c>
      <x:c r="K29" s="14" t="n">
        <x:v>1</x:v>
      </x:c>
      <x:c r="L29" s="14" t="n">
        <x:v>0</x:v>
      </x:c>
      <x:c r="M29" s="14" t="n">
        <x:v>26</x:v>
      </x:c>
      <x:c r="N29" s="14" t="n">
        <x:v>5</x:v>
      </x:c>
      <x:c r="O29" s="14" t="n">
        <x:v>13</x:v>
      </x:c>
      <x:c r="P29" s="14" t="n">
        <x:v>12</x:v>
      </x:c>
      <x:c r="Q29" s="14" t="n">
        <x:v>0</x:v>
      </x:c>
      <x:c r="R29" s="14" t="n">
        <x:v>48</x:v>
      </x:c>
      <x:c r="S29" s="14" t="n">
        <x:v>0</x:v>
      </x:c>
      <x:c r="T29" s="14" t="str">
        <x:v>P23, P35, P22, P21, P18</x:v>
      </x:c>
    </x:row>
    <x:row r="30" ht="27" customHeight="1">
      <x:c r="A30" s="3" t="n">
        <x:v>27</x:v>
      </x:c>
      <x:c r="B30" s="3" t="str">
        <x:v>D</x:v>
      </x:c>
      <x:c r="C30" s="3" t="str">
        <x:v>STEP-D-12</x:v>
      </x:c>
      <x:c r="D30" s="3" t="str">
        <x:v>The adversarial pass</x:v>
      </x:c>
      <x:c r="E30" s="3" t="str">
        <x:v>RP-D</x:v>
      </x:c>
      <x:c r="F30" s="3" t="str">
        <x:v>D7 partial</x:v>
      </x:c>
      <x:c r="G30" s="3" t="str">
        <x:v>BK-95, J-3, BK-67</x:v>
      </x:c>
      <x:c r="H30" s="3" t="str">
        <x:v>BK-67</x:v>
      </x:c>
      <x:c r="I30" s="3" t="str">
        <x:v>BK-67</x:v>
      </x:c>
      <x:c r="J30" s="3" t="n">
        <x:v>13</x:v>
      </x:c>
      <x:c r="K30" s="3" t="n">
        <x:v>0</x:v>
      </x:c>
      <x:c r="L30" s="3" t="n">
        <x:v>0</x:v>
      </x:c>
      <x:c r="M30" s="3" t="n">
        <x:v>26</x:v>
      </x:c>
      <x:c r="N30" s="3" t="n">
        <x:v>5</x:v>
      </x:c>
      <x:c r="O30" s="3" t="n">
        <x:v>12</x:v>
      </x:c>
      <x:c r="P30" s="3" t="n">
        <x:v>11</x:v>
      </x:c>
      <x:c r="Q30" s="3" t="n">
        <x:v>0</x:v>
      </x:c>
      <x:c r="R30" s="3" t="n">
        <x:v>48</x:v>
      </x:c>
      <x:c r="S30" s="3" t="n">
        <x:v>0</x:v>
      </x:c>
      <x:c r="T30" s="3" t="str">
        <x:v>P23, P35, P22, P21</x:v>
      </x:c>
    </x:row>
    <x:row r="31" ht="27" customHeight="1">
      <x:c r="A31" s="14" t="n">
        <x:v>28</x:v>
      </x:c>
      <x:c r="B31" s="14" t="str">
        <x:v>D</x:v>
      </x:c>
      <x:c r="C31" s="14" t="str">
        <x:v>STEP-D-13</x:v>
      </x:c>
      <x:c r="D31" s="14" t="str">
        <x:v>Salvage the weak case</x:v>
      </x:c>
      <x:c r="E31" s="14" t="str">
        <x:v>RP-D</x:v>
      </x:c>
      <x:c r="F31" s="14" t="str">
        <x:v>D8 complete</x:v>
      </x:c>
      <x:c r="G31" s="14" t="str">
        <x:v>BK-95, BK-65, BK-67, BK-70</x:v>
      </x:c>
      <x:c r="H31" s="14" t="str">
        <x:v>BK-67</x:v>
      </x:c>
      <x:c r="I31" s="14" t="str">
        <x:v>BK-67</x:v>
      </x:c>
      <x:c r="J31" s="14" t="n">
        <x:v>16</x:v>
      </x:c>
      <x:c r="K31" s="14" t="n">
        <x:v>1</x:v>
      </x:c>
      <x:c r="L31" s="14" t="n">
        <x:v>0</x:v>
      </x:c>
      <x:c r="M31" s="14" t="n">
        <x:v>26</x:v>
      </x:c>
      <x:c r="N31" s="14" t="n">
        <x:v>5</x:v>
      </x:c>
      <x:c r="O31" s="14" t="n">
        <x:v>14</x:v>
      </x:c>
      <x:c r="P31" s="14" t="n">
        <x:v>13</x:v>
      </x:c>
      <x:c r="Q31" s="14" t="n">
        <x:v>0</x:v>
      </x:c>
      <x:c r="R31" s="14" t="n">
        <x:v>48</x:v>
      </x:c>
      <x:c r="S31" s="14" t="n">
        <x:v>0</x:v>
      </x:c>
      <x:c r="T31" s="14" t="str">
        <x:v>P23, P35, P22, P21, P18</x:v>
      </x:c>
    </x:row>
    <x:row r="32" ht="27" customHeight="1">
      <x:c r="A32" s="3" t="n">
        <x:v>29</x:v>
      </x:c>
      <x:c r="B32" s="3" t="str">
        <x:v>D</x:v>
      </x:c>
      <x:c r="C32" s="3" t="str">
        <x:v>STEP-D-14</x:v>
      </x:c>
      <x:c r="D32" s="3" t="str">
        <x:v>Issue facets and disposition</x:v>
      </x:c>
      <x:c r="E32" s="3" t="str">
        <x:v>RP-D</x:v>
      </x:c>
      <x:c r="F32" s="3" t="str">
        <x:v>D9 complete</x:v>
      </x:c>
      <x:c r="G32" s="3" t="str">
        <x:v>BK-95, BK-64, BK-65, BK-67</x:v>
      </x:c>
      <x:c r="H32" s="3" t="str">
        <x:v>BK-67</x:v>
      </x:c>
      <x:c r="I32" s="3" t="str">
        <x:v>BK-67</x:v>
      </x:c>
      <x:c r="J32" s="3" t="n">
        <x:v>16</x:v>
      </x:c>
      <x:c r="K32" s="3" t="n">
        <x:v>1</x:v>
      </x:c>
      <x:c r="L32" s="3" t="n">
        <x:v>0</x:v>
      </x:c>
      <x:c r="M32" s="3" t="n">
        <x:v>29</x:v>
      </x:c>
      <x:c r="N32" s="3" t="n">
        <x:v>5</x:v>
      </x:c>
      <x:c r="O32" s="3" t="n">
        <x:v>13</x:v>
      </x:c>
      <x:c r="P32" s="3" t="n">
        <x:v>12</x:v>
      </x:c>
      <x:c r="Q32" s="3" t="n">
        <x:v>0</x:v>
      </x:c>
      <x:c r="R32" s="3" t="n">
        <x:v>51</x:v>
      </x:c>
      <x:c r="S32" s="3" t="n">
        <x:v>0</x:v>
      </x:c>
      <x:c r="T32" s="3" t="str">
        <x:v>P23, P35, P22, P21, P17, P18</x:v>
      </x:c>
    </x:row>
    <x:row r="33" ht="40" customHeight="1">
      <x:c r="A33" s="14" t="n">
        <x:v>30</x:v>
      </x:c>
      <x:c r="B33" s="14" t="str">
        <x:v>E</x:v>
      </x:c>
      <x:c r="C33" s="14" t="str">
        <x:v>STEP-E-01</x:v>
      </x:c>
      <x:c r="D33" s="14" t="str">
        <x:v>Set out the scenarios and contingencies</x:v>
      </x:c>
      <x:c r="E33" s="14" t="str">
        <x:v>RP-E</x:v>
      </x:c>
      <x:c r="F33" s="14" t="str">
        <x:v>E1 none</x:v>
      </x:c>
      <x:c r="G33" s="14" t="str">
        <x:v>BK-55, BK-70</x:v>
      </x:c>
      <x:c r="H33" s="14" t="str"/>
      <x:c r="I33" s="14" t="str"/>
      <x:c r="J33" s="14" t="n">
        <x:v>6</x:v>
      </x:c>
      <x:c r="K33" s="14" t="n">
        <x:v>0</x:v>
      </x:c>
      <x:c r="L33" s="14" t="n">
        <x:v>0</x:v>
      </x:c>
      <x:c r="M33" s="14" t="n">
        <x:v>2</x:v>
      </x:c>
      <x:c r="N33" s="14" t="n">
        <x:v>2</x:v>
      </x:c>
      <x:c r="O33" s="14" t="n">
        <x:v>5</x:v>
      </x:c>
      <x:c r="P33" s="14" t="n">
        <x:v>5</x:v>
      </x:c>
      <x:c r="Q33" s="14" t="n">
        <x:v>0</x:v>
      </x:c>
      <x:c r="R33" s="14" t="n">
        <x:v>2</x:v>
      </x:c>
      <x:c r="S33" s="14" t="n">
        <x:v>0</x:v>
      </x:c>
      <x:c r="T33" s="14" t="str">
        <x:v>P27, P28, P23</x:v>
      </x:c>
    </x:row>
    <x:row r="34" ht="40" customHeight="1">
      <x:c r="A34" s="3" t="n">
        <x:v>31</x:v>
      </x:c>
      <x:c r="B34" s="3" t="str">
        <x:v>E</x:v>
      </x:c>
      <x:c r="C34" s="3" t="str">
        <x:v>STEP-E-02</x:v>
      </x:c>
      <x:c r="D34" s="3" t="str">
        <x:v>Give the recommendation</x:v>
      </x:c>
      <x:c r="E34" s="3" t="str">
        <x:v>RP-E</x:v>
      </x:c>
      <x:c r="F34" s="3" t="str">
        <x:v>E2 complete</x:v>
      </x:c>
      <x:c r="G34" s="3" t="str">
        <x:v>BK-96, BK-37, J-6, J-5, BK-67</x:v>
      </x:c>
      <x:c r="H34" s="3" t="str">
        <x:v>BK-67</x:v>
      </x:c>
      <x:c r="I34" s="3" t="str">
        <x:v>BK-67</x:v>
      </x:c>
      <x:c r="J34" s="3" t="n">
        <x:v>9</x:v>
      </x:c>
      <x:c r="K34" s="3" t="n">
        <x:v>1</x:v>
      </x:c>
      <x:c r="L34" s="3" t="n">
        <x:v>0</x:v>
      </x:c>
      <x:c r="M34" s="3" t="n">
        <x:v>7</x:v>
      </x:c>
      <x:c r="N34" s="3" t="n">
        <x:v>2</x:v>
      </x:c>
      <x:c r="O34" s="3" t="n">
        <x:v>8</x:v>
      </x:c>
      <x:c r="P34" s="3" t="n">
        <x:v>7</x:v>
      </x:c>
      <x:c r="Q34" s="3" t="n">
        <x:v>0</x:v>
      </x:c>
      <x:c r="R34" s="3" t="n">
        <x:v>18</x:v>
      </x:c>
      <x:c r="S34" s="3" t="n">
        <x:v>0</x:v>
      </x:c>
      <x:c r="T34" s="3" t="str">
        <x:v>P35, P26, P27, P36</x:v>
      </x:c>
    </x:row>
    <x:row r="35" ht="27" customHeight="1">
      <x:c r="A35" s="14" t="n">
        <x:v>32</x:v>
      </x:c>
      <x:c r="B35" s="14" t="str">
        <x:v>E</x:v>
      </x:c>
      <x:c r="C35" s="14" t="str">
        <x:v>STEP-E-03</x:v>
      </x:c>
      <x:c r="D35" s="14" t="str">
        <x:v>Test it for proportionality</x:v>
      </x:c>
      <x:c r="E35" s="14" t="str">
        <x:v>RP-E</x:v>
      </x:c>
      <x:c r="F35" s="14" t="str">
        <x:v>E3 none</x:v>
      </x:c>
      <x:c r="G35" s="14" t="str">
        <x:v>BK-55, BK-70</x:v>
      </x:c>
      <x:c r="H35" s="14" t="str"/>
      <x:c r="I35" s="14" t="str"/>
      <x:c r="J35" s="14" t="n">
        <x:v>6</x:v>
      </x:c>
      <x:c r="K35" s="14" t="n">
        <x:v>0</x:v>
      </x:c>
      <x:c r="L35" s="14" t="n">
        <x:v>0</x:v>
      </x:c>
      <x:c r="M35" s="14" t="n">
        <x:v>2</x:v>
      </x:c>
      <x:c r="N35" s="14" t="n">
        <x:v>2</x:v>
      </x:c>
      <x:c r="O35" s="14" t="n">
        <x:v>5</x:v>
      </x:c>
      <x:c r="P35" s="14" t="n">
        <x:v>5</x:v>
      </x:c>
      <x:c r="Q35" s="14" t="n">
        <x:v>0</x:v>
      </x:c>
      <x:c r="R35" s="14" t="n">
        <x:v>2</x:v>
      </x:c>
      <x:c r="S35" s="14" t="n">
        <x:v>0</x:v>
      </x:c>
      <x:c r="T35" s="14" t="str">
        <x:v>P27, P28, P23</x:v>
      </x:c>
    </x:row>
    <x:row r="36" ht="27" customHeight="1">
      <x:c r="A36" s="3" t="n">
        <x:v>33</x:v>
      </x:c>
      <x:c r="B36" s="3" t="str">
        <x:v>E</x:v>
      </x:c>
      <x:c r="C36" s="3" t="str">
        <x:v>STEP-E-04</x:v>
      </x:c>
      <x:c r="D36" s="3" t="str">
        <x:v>Record what the advocate decided</x:v>
      </x:c>
      <x:c r="E36" s="3" t="str">
        <x:v>RP-E</x:v>
      </x:c>
      <x:c r="F36" s="3" t="str">
        <x:v>E4 none</x:v>
      </x:c>
      <x:c r="G36" s="3" t="str">
        <x:v>BK-55, BK-62, BK-63</x:v>
      </x:c>
      <x:c r="H36" s="3" t="str">
        <x:v>BK-62, BK-63</x:v>
      </x:c>
      <x:c r="I36" s="3" t="str">
        <x:v>BK-62, BK-63</x:v>
      </x:c>
      <x:c r="J36" s="3" t="n">
        <x:v>7</x:v>
      </x:c>
      <x:c r="K36" s="3" t="n">
        <x:v>0</x:v>
      </x:c>
      <x:c r="L36" s="3" t="n">
        <x:v>0</x:v>
      </x:c>
      <x:c r="M36" s="3" t="n">
        <x:v>7</x:v>
      </x:c>
      <x:c r="N36" s="3" t="n">
        <x:v>2</x:v>
      </x:c>
      <x:c r="O36" s="3" t="n">
        <x:v>6</x:v>
      </x:c>
      <x:c r="P36" s="3" t="n">
        <x:v>4</x:v>
      </x:c>
      <x:c r="Q36" s="3" t="n">
        <x:v>0</x:v>
      </x:c>
      <x:c r="R36" s="3" t="n">
        <x:v>9</x:v>
      </x:c>
      <x:c r="S36" s="3" t="n">
        <x:v>0</x:v>
      </x:c>
      <x:c r="T36" s="3" t="str">
        <x:v>P27, P28, P13, P32</x:v>
      </x:c>
    </x:row>
    <x:row r="37" ht="27" customHeight="1">
      <x:c r="A37" s="14" t="n">
        <x:v>34</x:v>
      </x:c>
      <x:c r="B37" s="14" t="str">
        <x:v>E</x:v>
      </x:c>
      <x:c r="C37" s="14" t="str">
        <x:v>STEP-E-05</x:v>
      </x:c>
      <x:c r="D37" s="14" t="str">
        <x:v>Disagree, and say why</x:v>
      </x:c>
      <x:c r="E37" s="14" t="str">
        <x:v>RP-E</x:v>
      </x:c>
      <x:c r="F37" s="14" t="str">
        <x:v>E5 none</x:v>
      </x:c>
      <x:c r="G37" s="14" t="str">
        <x:v>BK-55, BK-63, BK-67</x:v>
      </x:c>
      <x:c r="H37" s="14" t="str">
        <x:v>BK-63, BK-67</x:v>
      </x:c>
      <x:c r="I37" s="14" t="str">
        <x:v>BK-63, BK-67</x:v>
      </x:c>
      <x:c r="J37" s="14" t="n">
        <x:v>10</x:v>
      </x:c>
      <x:c r="K37" s="14" t="n">
        <x:v>0</x:v>
      </x:c>
      <x:c r="L37" s="14" t="n">
        <x:v>0</x:v>
      </x:c>
      <x:c r="M37" s="14" t="n">
        <x:v>5</x:v>
      </x:c>
      <x:c r="N37" s="14" t="n">
        <x:v>2</x:v>
      </x:c>
      <x:c r="O37" s="14" t="n">
        <x:v>9</x:v>
      </x:c>
      <x:c r="P37" s="14" t="n">
        <x:v>8</x:v>
      </x:c>
      <x:c r="Q37" s="14" t="n">
        <x:v>0</x:v>
      </x:c>
      <x:c r="R37" s="14" t="n">
        <x:v>8</x:v>
      </x:c>
      <x:c r="S37" s="14" t="n">
        <x:v>0</x:v>
      </x:c>
      <x:c r="T37" s="14" t="str">
        <x:v>P27, P35, P28, P32</x:v>
      </x:c>
    </x:row>
    <x:row r="38" ht="40" customHeight="1">
      <x:c r="A38" s="3" t="n">
        <x:v>35</x:v>
      </x:c>
      <x:c r="B38" s="3" t="str">
        <x:v>F</x:v>
      </x:c>
      <x:c r="C38" s="3" t="str">
        <x:v>STEP-F-01</x:v>
      </x:c>
      <x:c r="D38" s="3" t="str">
        <x:v>Negotiate within settlement authority</x:v>
      </x:c>
      <x:c r="E38" s="3" t="str">
        <x:v>RP-F</x:v>
      </x:c>
      <x:c r="F38" s="3" t="str">
        <x:v>F1 none</x:v>
      </x:c>
      <x:c r="G38" s="3" t="str">
        <x:v>BK-57, BK-63</x:v>
      </x:c>
      <x:c r="H38" s="3" t="str">
        <x:v>BK-63</x:v>
      </x:c>
      <x:c r="I38" s="3" t="str">
        <x:v>BK-63</x:v>
      </x:c>
      <x:c r="J38" s="3" t="n">
        <x:v>6</x:v>
      </x:c>
      <x:c r="K38" s="3" t="n">
        <x:v>0</x:v>
      </x:c>
      <x:c r="L38" s="3" t="n">
        <x:v>0</x:v>
      </x:c>
      <x:c r="M38" s="3" t="n">
        <x:v>3</x:v>
      </x:c>
      <x:c r="N38" s="3" t="n">
        <x:v>4</x:v>
      </x:c>
      <x:c r="O38" s="3" t="n">
        <x:v>5</x:v>
      </x:c>
      <x:c r="P38" s="3" t="n">
        <x:v>3</x:v>
      </x:c>
      <x:c r="Q38" s="3" t="n">
        <x:v>0</x:v>
      </x:c>
      <x:c r="R38" s="3" t="n">
        <x:v>6</x:v>
      </x:c>
      <x:c r="S38" s="3" t="n">
        <x:v>0</x:v>
      </x:c>
      <x:c r="T38" s="3" t="str">
        <x:v>P31, P32</x:v>
      </x:c>
    </x:row>
    <x:row r="39" ht="27" customHeight="1">
      <x:c r="A39" s="14" t="n">
        <x:v>36</x:v>
      </x:c>
      <x:c r="B39" s="14" t="str">
        <x:v>F</x:v>
      </x:c>
      <x:c r="C39" s="14" t="str">
        <x:v>STEP-F-02</x:v>
      </x:c>
      <x:c r="D39" s="14" t="str">
        <x:v>Hand the drafter its brief</x:v>
      </x:c>
      <x:c r="E39" s="14" t="str">
        <x:v>RP-F</x:v>
      </x:c>
      <x:c r="F39" s="14" t="str">
        <x:v>F2 none</x:v>
      </x:c>
      <x:c r="G39" s="14" t="str">
        <x:v>BK-56, BK-62, BK-63</x:v>
      </x:c>
      <x:c r="H39" s="14" t="str">
        <x:v>BK-62, BK-63</x:v>
      </x:c>
      <x:c r="I39" s="14" t="str">
        <x:v>BK-62, BK-63</x:v>
      </x:c>
      <x:c r="J39" s="14" t="n">
        <x:v>6</x:v>
      </x:c>
      <x:c r="K39" s="14" t="n">
        <x:v>1</x:v>
      </x:c>
      <x:c r="L39" s="14" t="n">
        <x:v>0</x:v>
      </x:c>
      <x:c r="M39" s="14" t="n">
        <x:v>7</x:v>
      </x:c>
      <x:c r="N39" s="14" t="n">
        <x:v>1</x:v>
      </x:c>
      <x:c r="O39" s="14" t="n">
        <x:v>5</x:v>
      </x:c>
      <x:c r="P39" s="14" t="n">
        <x:v>1</x:v>
      </x:c>
      <x:c r="Q39" s="14" t="n">
        <x:v>0</x:v>
      </x:c>
      <x:c r="R39" s="14" t="n">
        <x:v>10</x:v>
      </x:c>
      <x:c r="S39" s="14" t="n">
        <x:v>0</x:v>
      </x:c>
      <x:c r="T39" s="14" t="str">
        <x:v>P29, P30, P13, P32</x:v>
      </x:c>
    </x:row>
    <x:row r="40" ht="27" customHeight="1">
      <x:c r="A40" s="3" t="n">
        <x:v>37</x:v>
      </x:c>
      <x:c r="B40" s="3" t="str">
        <x:v>F</x:v>
      </x:c>
      <x:c r="C40" s="3" t="str">
        <x:v>STEP-F-03</x:v>
      </x:c>
      <x:c r="D40" s="3" t="str">
        <x:v>Draft, and verify the draft</x:v>
      </x:c>
      <x:c r="E40" s="3" t="str">
        <x:v>RP-F</x:v>
      </x:c>
      <x:c r="F40" s="3" t="str">
        <x:v>F3 none</x:v>
      </x:c>
      <x:c r="G40" s="3" t="str">
        <x:v>BK-56, BK-63</x:v>
      </x:c>
      <x:c r="H40" s="3" t="str">
        <x:v>BK-63</x:v>
      </x:c>
      <x:c r="I40" s="3" t="str">
        <x:v>BK-63</x:v>
      </x:c>
      <x:c r="J40" s="3" t="n">
        <x:v>5</x:v>
      </x:c>
      <x:c r="K40" s="3" t="n">
        <x:v>1</x:v>
      </x:c>
      <x:c r="L40" s="3" t="n">
        <x:v>0</x:v>
      </x:c>
      <x:c r="M40" s="3" t="n">
        <x:v>5</x:v>
      </x:c>
      <x:c r="N40" s="3" t="n">
        <x:v>1</x:v>
      </x:c>
      <x:c r="O40" s="3" t="n">
        <x:v>4</x:v>
      </x:c>
      <x:c r="P40" s="3" t="n">
        <x:v>1</x:v>
      </x:c>
      <x:c r="Q40" s="3" t="n">
        <x:v>0</x:v>
      </x:c>
      <x:c r="R40" s="3" t="n">
        <x:v>7</x:v>
      </x:c>
      <x:c r="S40" s="3" t="n">
        <x:v>0</x:v>
      </x:c>
      <x:c r="T40" s="3" t="str">
        <x:v>P29, P30, P32</x:v>
      </x:c>
    </x:row>
    <x:row r="41" ht="27" customHeight="1">
      <x:c r="A41" s="14" t="n">
        <x:v>38</x:v>
      </x:c>
      <x:c r="B41" s="14" t="str">
        <x:v>F</x:v>
      </x:c>
      <x:c r="C41" s="14" t="str">
        <x:v>STEP-F-04</x:v>
      </x:c>
      <x:c r="D41" s="14" t="str">
        <x:v>Filing control</x:v>
      </x:c>
      <x:c r="E41" s="14" t="str">
        <x:v>RP-F</x:v>
      </x:c>
      <x:c r="F41" s="14" t="str">
        <x:v>F4 none</x:v>
      </x:c>
      <x:c r="G41" s="14" t="str">
        <x:v>BK-56, BK-63</x:v>
      </x:c>
      <x:c r="H41" s="14" t="str">
        <x:v>BK-63</x:v>
      </x:c>
      <x:c r="I41" s="14" t="str">
        <x:v>BK-63</x:v>
      </x:c>
      <x:c r="J41" s="14" t="n">
        <x:v>5</x:v>
      </x:c>
      <x:c r="K41" s="14" t="n">
        <x:v>1</x:v>
      </x:c>
      <x:c r="L41" s="14" t="n">
        <x:v>0</x:v>
      </x:c>
      <x:c r="M41" s="14" t="n">
        <x:v>5</x:v>
      </x:c>
      <x:c r="N41" s="14" t="n">
        <x:v>1</x:v>
      </x:c>
      <x:c r="O41" s="14" t="n">
        <x:v>4</x:v>
      </x:c>
      <x:c r="P41" s="14" t="n">
        <x:v>1</x:v>
      </x:c>
      <x:c r="Q41" s="14" t="n">
        <x:v>0</x:v>
      </x:c>
      <x:c r="R41" s="14" t="n">
        <x:v>7</x:v>
      </x:c>
      <x:c r="S41" s="14" t="n">
        <x:v>0</x:v>
      </x:c>
      <x:c r="T41" s="14" t="str">
        <x:v>P29, P30, P32</x:v>
      </x:c>
    </x:row>
    <x:row r="42" ht="27" customHeight="1">
      <x:c r="A42" s="3" t="n">
        <x:v>39</x:v>
      </x:c>
      <x:c r="B42" s="3" t="str">
        <x:v>F</x:v>
      </x:c>
      <x:c r="C42" s="3" t="str">
        <x:v>STEP-F-05</x:v>
      </x:c>
      <x:c r="D42" s="3" t="str">
        <x:v>Witnesses and experts</x:v>
      </x:c>
      <x:c r="E42" s="3" t="str">
        <x:v>RP-F</x:v>
      </x:c>
      <x:c r="F42" s="3" t="str">
        <x:v>F5 none</x:v>
      </x:c>
      <x:c r="G42" s="3" t="str">
        <x:v>BK-57</x:v>
      </x:c>
      <x:c r="H42" s="3" t="str"/>
      <x:c r="I42" s="3" t="str"/>
      <x:c r="J42" s="3" t="n">
        <x:v>5</x:v>
      </x:c>
      <x:c r="K42" s="3" t="n">
        <x:v>0</x:v>
      </x:c>
      <x:c r="L42" s="3" t="n">
        <x:v>0</x:v>
      </x:c>
      <x:c r="M42" s="3" t="n">
        <x:v>0</x:v>
      </x:c>
      <x:c r="N42" s="3" t="n">
        <x:v>4</x:v>
      </x:c>
      <x:c r="O42" s="3" t="n">
        <x:v>4</x:v>
      </x:c>
      <x:c r="P42" s="3" t="n">
        <x:v>3</x:v>
      </x:c>
      <x:c r="Q42" s="3" t="n">
        <x:v>0</x:v>
      </x:c>
      <x:c r="R42" s="3" t="n">
        <x:v>2</x:v>
      </x:c>
      <x:c r="S42" s="3" t="n">
        <x:v>0</x:v>
      </x:c>
      <x:c r="T42" s="3" t="str">
        <x:v>P31</x:v>
      </x:c>
    </x:row>
    <x:row r="43" ht="27" customHeight="1">
      <x:c r="A43" s="14" t="n">
        <x:v>40</x:v>
      </x:c>
      <x:c r="B43" s="14" t="str">
        <x:v>F</x:v>
      </x:c>
      <x:c r="C43" s="14" t="str">
        <x:v>STEP-F-06</x:v>
      </x:c>
      <x:c r="D43" s="14" t="str">
        <x:v>Hearing readiness</x:v>
      </x:c>
      <x:c r="E43" s="14" t="str">
        <x:v>RP-F</x:v>
      </x:c>
      <x:c r="F43" s="14" t="str">
        <x:v>F6 none</x:v>
      </x:c>
      <x:c r="G43" s="14" t="str">
        <x:v>BK-57</x:v>
      </x:c>
      <x:c r="H43" s="14" t="str"/>
      <x:c r="I43" s="14" t="str"/>
      <x:c r="J43" s="14" t="n">
        <x:v>5</x:v>
      </x:c>
      <x:c r="K43" s="14" t="n">
        <x:v>0</x:v>
      </x:c>
      <x:c r="L43" s="14" t="n">
        <x:v>0</x:v>
      </x:c>
      <x:c r="M43" s="14" t="n">
        <x:v>0</x:v>
      </x:c>
      <x:c r="N43" s="14" t="n">
        <x:v>4</x:v>
      </x:c>
      <x:c r="O43" s="14" t="n">
        <x:v>4</x:v>
      </x:c>
      <x:c r="P43" s="14" t="n">
        <x:v>3</x:v>
      </x:c>
      <x:c r="Q43" s="14" t="n">
        <x:v>0</x:v>
      </x:c>
      <x:c r="R43" s="14" t="n">
        <x:v>2</x:v>
      </x:c>
      <x:c r="S43" s="14" t="n">
        <x:v>0</x:v>
      </x:c>
      <x:c r="T43" s="14" t="str">
        <x:v>P31</x:v>
      </x:c>
    </x:row>
    <x:row r="44" ht="27" customHeight="1">
      <x:c r="A44" s="3" t="n">
        <x:v>41</x:v>
      </x:c>
      <x:c r="B44" s="3" t="str">
        <x:v>F</x:v>
      </x:c>
      <x:c r="C44" s="3" t="str">
        <x:v>STEP-F-07</x:v>
      </x:c>
      <x:c r="D44" s="3" t="str">
        <x:v>In court</x:v>
      </x:c>
      <x:c r="E44" s="3" t="str">
        <x:v>RP-F</x:v>
      </x:c>
      <x:c r="F44" s="3" t="str">
        <x:v>F7 none</x:v>
      </x:c>
      <x:c r="G44" s="3" t="str">
        <x:v>BK-57</x:v>
      </x:c>
      <x:c r="H44" s="3" t="str"/>
      <x:c r="I44" s="3" t="str"/>
      <x:c r="J44" s="3" t="n">
        <x:v>5</x:v>
      </x:c>
      <x:c r="K44" s="3" t="n">
        <x:v>0</x:v>
      </x:c>
      <x:c r="L44" s="3" t="n">
        <x:v>0</x:v>
      </x:c>
      <x:c r="M44" s="3" t="n">
        <x:v>0</x:v>
      </x:c>
      <x:c r="N44" s="3" t="n">
        <x:v>4</x:v>
      </x:c>
      <x:c r="O44" s="3" t="n">
        <x:v>4</x:v>
      </x:c>
      <x:c r="P44" s="3" t="n">
        <x:v>3</x:v>
      </x:c>
      <x:c r="Q44" s="3" t="n">
        <x:v>0</x:v>
      </x:c>
      <x:c r="R44" s="3" t="n">
        <x:v>2</x:v>
      </x:c>
      <x:c r="S44" s="3" t="n">
        <x:v>0</x:v>
      </x:c>
      <x:c r="T44" s="3" t="str">
        <x:v>P31</x:v>
      </x:c>
    </x:row>
    <x:row r="45" ht="27" customHeight="1">
      <x:c r="A45" s="14" t="n">
        <x:v>42</x:v>
      </x:c>
      <x:c r="B45" s="14" t="str">
        <x:v>G</x:v>
      </x:c>
      <x:c r="C45" s="14" t="str">
        <x:v>STEP-G-01</x:v>
      </x:c>
      <x:c r="D45" s="14" t="str">
        <x:v>Proactive service</x:v>
      </x:c>
      <x:c r="E45" s="14" t="str">
        <x:v>RP-G</x:v>
      </x:c>
      <x:c r="F45" s="14" t="str">
        <x:v>G1 none</x:v>
      </x:c>
      <x:c r="G45" s="14" t="str">
        <x:v>BK-58</x:v>
      </x:c>
      <x:c r="H45" s="14" t="str"/>
      <x:c r="I45" s="14" t="str"/>
      <x:c r="J45" s="14" t="n">
        <x:v>3</x:v>
      </x:c>
      <x:c r="K45" s="14" t="n">
        <x:v>0</x:v>
      </x:c>
      <x:c r="L45" s="14" t="n">
        <x:v>0</x:v>
      </x:c>
      <x:c r="M45" s="14" t="n">
        <x:v>0</x:v>
      </x:c>
      <x:c r="N45" s="14" t="n">
        <x:v>1</x:v>
      </x:c>
      <x:c r="O45" s="14" t="n">
        <x:v>2</x:v>
      </x:c>
      <x:c r="P45" s="14" t="n">
        <x:v>0</x:v>
      </x:c>
      <x:c r="Q45" s="14" t="n">
        <x:v>0</x:v>
      </x:c>
      <x:c r="R45" s="14" t="n">
        <x:v>3</x:v>
      </x:c>
      <x:c r="S45" s="14" t="n">
        <x:v>0</x:v>
      </x:c>
      <x:c r="T45" s="14" t="str">
        <x:v>P45, P32</x:v>
      </x:c>
    </x:row>
    <x:row r="46" ht="27" customHeight="1">
      <x:c r="A46" s="3" t="n">
        <x:v>43</x:v>
      </x:c>
      <x:c r="B46" s="3" t="str">
        <x:v>G</x:v>
      </x:c>
      <x:c r="C46" s="3" t="str">
        <x:v>STEP-G-02</x:v>
      </x:c>
      <x:c r="D46" s="3" t="str">
        <x:v>The continuing conflict watch</x:v>
      </x:c>
      <x:c r="E46" s="3" t="str">
        <x:v>RP-G</x:v>
      </x:c>
      <x:c r="F46" s="3" t="str">
        <x:v>G2 none</x:v>
      </x:c>
      <x:c r="G46" s="3" t="str">
        <x:v>BK-58</x:v>
      </x:c>
      <x:c r="H46" s="3" t="str"/>
      <x:c r="I46" s="3" t="str"/>
      <x:c r="J46" s="3" t="n">
        <x:v>3</x:v>
      </x:c>
      <x:c r="K46" s="3" t="n">
        <x:v>0</x:v>
      </x:c>
      <x:c r="L46" s="3" t="n">
        <x:v>0</x:v>
      </x:c>
      <x:c r="M46" s="3" t="n">
        <x:v>0</x:v>
      </x:c>
      <x:c r="N46" s="3" t="n">
        <x:v>1</x:v>
      </x:c>
      <x:c r="O46" s="3" t="n">
        <x:v>2</x:v>
      </x:c>
      <x:c r="P46" s="3" t="n">
        <x:v>0</x:v>
      </x:c>
      <x:c r="Q46" s="3" t="n">
        <x:v>0</x:v>
      </x:c>
      <x:c r="R46" s="3" t="n">
        <x:v>3</x:v>
      </x:c>
      <x:c r="S46" s="3" t="n">
        <x:v>0</x:v>
      </x:c>
      <x:c r="T46" s="3" t="str">
        <x:v>P45, P32</x:v>
      </x:c>
    </x:row>
    <x:row r="47" ht="40" customHeight="1">
      <x:c r="A47" s="14" t="n">
        <x:v>44</x:v>
      </x:c>
      <x:c r="B47" s="14" t="str">
        <x:v>G</x:v>
      </x:c>
      <x:c r="C47" s="14" t="str">
        <x:v>STEP-G-03</x:v>
      </x:c>
      <x:c r="D47" s="14" t="str">
        <x:v>Handover and continuity</x:v>
      </x:c>
      <x:c r="E47" s="14" t="str">
        <x:v>RP-G</x:v>
      </x:c>
      <x:c r="F47" s="14" t="str">
        <x:v>G3 none</x:v>
      </x:c>
      <x:c r="G47" s="14" t="str">
        <x:v>BK-39, BK-10, BK-58, BK-62, BK-63</x:v>
      </x:c>
      <x:c r="H47" s="14" t="str">
        <x:v>BK-62, BK-63</x:v>
      </x:c>
      <x:c r="I47" s="14" t="str">
        <x:v>BK-62, BK-63</x:v>
      </x:c>
      <x:c r="J47" s="14" t="n">
        <x:v>7</x:v>
      </x:c>
      <x:c r="K47" s="14" t="n">
        <x:v>0</x:v>
      </x:c>
      <x:c r="L47" s="14" t="n">
        <x:v>0</x:v>
      </x:c>
      <x:c r="M47" s="14" t="n">
        <x:v>6</x:v>
      </x:c>
      <x:c r="N47" s="14" t="n">
        <x:v>2</x:v>
      </x:c>
      <x:c r="O47" s="14" t="n">
        <x:v>5</x:v>
      </x:c>
      <x:c r="P47" s="14" t="n">
        <x:v>0</x:v>
      </x:c>
      <x:c r="Q47" s="14" t="n">
        <x:v>0</x:v>
      </x:c>
      <x:c r="R47" s="14" t="n">
        <x:v>13</x:v>
      </x:c>
      <x:c r="S47" s="14" t="n">
        <x:v>1</x:v>
      </x:c>
      <x:c r="T47" s="14" t="str">
        <x:v>P32, P45, P13</x:v>
      </x:c>
    </x:row>
    <x:row r="48" ht="27" customHeight="1">
      <x:c r="A48" s="3" t="n">
        <x:v>45</x:v>
      </x:c>
      <x:c r="B48" s="3" t="str">
        <x:v>H</x:v>
      </x:c>
      <x:c r="C48" s="3" t="str">
        <x:v>STEP-H-01</x:v>
      </x:c>
      <x:c r="D48" s="3" t="str">
        <x:v>Capture the events</x:v>
      </x:c>
      <x:c r="E48" s="3" t="str">
        <x:v>RP-H</x:v>
      </x:c>
      <x:c r="F48" s="3" t="str">
        <x:v>H1 none</x:v>
      </x:c>
      <x:c r="G48" s="3" t="str">
        <x:v>BK-59</x:v>
      </x:c>
      <x:c r="H48" s="3" t="str"/>
      <x:c r="I48" s="3" t="str"/>
      <x:c r="J48" s="3" t="n">
        <x:v>3</x:v>
      </x:c>
      <x:c r="K48" s="3" t="n">
        <x:v>0</x:v>
      </x:c>
      <x:c r="L48" s="3" t="n">
        <x:v>0</x:v>
      </x:c>
      <x:c r="M48" s="3" t="n">
        <x:v>3</x:v>
      </x:c>
      <x:c r="N48" s="3" t="n">
        <x:v>3</x:v>
      </x:c>
      <x:c r="O48" s="3" t="n">
        <x:v>2</x:v>
      </x:c>
      <x:c r="P48" s="3" t="n">
        <x:v>0</x:v>
      </x:c>
      <x:c r="Q48" s="3" t="n">
        <x:v>0</x:v>
      </x:c>
      <x:c r="R48" s="3" t="n">
        <x:v>8</x:v>
      </x:c>
      <x:c r="S48" s="3" t="n">
        <x:v>0</x:v>
      </x:c>
      <x:c r="T48" s="3" t="str">
        <x:v>P32</x:v>
      </x:c>
    </x:row>
    <x:row r="49" ht="27" customHeight="1">
      <x:c r="A49" s="14" t="n">
        <x:v>46</x:v>
      </x:c>
      <x:c r="B49" s="14" t="str">
        <x:v>H</x:v>
      </x:c>
      <x:c r="C49" s="14" t="str">
        <x:v>STEP-H-02</x:v>
      </x:c>
      <x:c r="D49" s="14" t="str">
        <x:v>Close the matter</x:v>
      </x:c>
      <x:c r="E49" s="14" t="str">
        <x:v>RP-H</x:v>
      </x:c>
      <x:c r="F49" s="14" t="str">
        <x:v>H2 none</x:v>
      </x:c>
      <x:c r="G49" s="14" t="str">
        <x:v>BK-59</x:v>
      </x:c>
      <x:c r="H49" s="14" t="str"/>
      <x:c r="I49" s="14" t="str"/>
      <x:c r="J49" s="14" t="n">
        <x:v>3</x:v>
      </x:c>
      <x:c r="K49" s="14" t="n">
        <x:v>0</x:v>
      </x:c>
      <x:c r="L49" s="14" t="n">
        <x:v>0</x:v>
      </x:c>
      <x:c r="M49" s="14" t="n">
        <x:v>3</x:v>
      </x:c>
      <x:c r="N49" s="14" t="n">
        <x:v>3</x:v>
      </x:c>
      <x:c r="O49" s="14" t="n">
        <x:v>2</x:v>
      </x:c>
      <x:c r="P49" s="14" t="n">
        <x:v>0</x:v>
      </x:c>
      <x:c r="Q49" s="14" t="n">
        <x:v>0</x:v>
      </x:c>
      <x:c r="R49" s="14" t="n">
        <x:v>8</x:v>
      </x:c>
      <x:c r="S49" s="14" t="n">
        <x:v>0</x:v>
      </x:c>
      <x:c r="T49" s="14" t="str">
        <x:v>P32</x:v>
      </x:c>
    </x:row>
    <x:row r="50" ht="40" customHeight="1">
      <x:c r="A50" s="3" t="n">
        <x:v>47</x:v>
      </x:c>
      <x:c r="B50" s="3" t="str">
        <x:v>I</x:v>
      </x:c>
      <x:c r="C50" s="3" t="str">
        <x:v>STEP-I-01</x:v>
      </x:c>
      <x:c r="D50" s="3" t="str">
        <x:v>End the session and leave nothing behind</x:v>
      </x:c>
      <x:c r="E50" s="3" t="str">
        <x:v>RP-I</x:v>
      </x:c>
      <x:c r="F50" s="3" t="str">
        <x:v>I1 complete</x:v>
      </x:c>
      <x:c r="G50" s="3" t="str">
        <x:v>BK-40, BK-46, BK-31</x:v>
      </x:c>
      <x:c r="H50" s="3" t="str">
        <x:v>BK-40, BK-31</x:v>
      </x:c>
      <x:c r="I50" s="3" t="str">
        <x:v>BK-40, BK-31</x:v>
      </x:c>
      <x:c r="J50" s="3" t="n">
        <x:v>27</x:v>
      </x:c>
      <x:c r="K50" s="3" t="n">
        <x:v>21</x:v>
      </x:c>
      <x:c r="L50" s="3" t="n">
        <x:v>0</x:v>
      </x:c>
      <x:c r="M50" s="3" t="n">
        <x:v>4</x:v>
      </x:c>
      <x:c r="N50" s="3" t="n">
        <x:v>6</x:v>
      </x:c>
      <x:c r="O50" s="3" t="n">
        <x:v>0</x:v>
      </x:c>
      <x:c r="P50" s="3" t="n">
        <x:v>0</x:v>
      </x:c>
      <x:c r="Q50" s="3" t="n">
        <x:v>0</x:v>
      </x:c>
      <x:c r="R50" s="3" t="n">
        <x:v>6</x:v>
      </x:c>
      <x:c r="S50" s="3" t="n">
        <x:v>0</x:v>
      </x:c>
      <x:c r="T50" s="3" t="str">
        <x:v>P08, P09, P02</x:v>
      </x:c>
    </x:row>
  </x:sheetData>
  <x:mergeCells>
    <x:mergeCell ref="A1:T1"/>
    <x:mergeCell ref="A2:T2"/>
  </x:mergeCells>
  <x:pageMargins left="0.7" right="0.7" top="0.75" bottom="0.75" header="0.3" footer="0.3"/>
  <x:tableParts count="1">
    <x:tablePart xmlns:r="http://schemas.openxmlformats.org/officeDocument/2006/relationships" r:id="R71291855e72b4bea"/>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2cada7df3ce6446c"/>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248d865bf618417c"/>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eea1d35ab9014685"/>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d35314dc52ed4d01"/>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146d26ba22b54ea0"/>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32f0fb0180044800"/>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dcc7642d20c34328"/>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c812d90867ce424a"/>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e353b6e30f42479c"/>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Machine-checked counsel-ready packet: duties, operative dates, purpose-specific roles, permissions, retention, incident clocks, accountability and reservations</x:v>
      </x:c>
    </x:row>
    <x:row r="58" ht="40" customHeight="1">
      <x:c r="A58" s="3" t="str">
        <x:v>P05</x:v>
      </x:c>
      <x:c r="B58" s="3" t="str">
        <x:v>Record India applicability and processing responsibilities</x:v>
      </x:c>
      <x:c r="C58" s="3" t="str">
        <x:v>outputs</x:v>
      </x:c>
      <x:c r="D58" s="3" t="n">
        <x:v>2</x:v>
      </x:c>
      <x:c r="E58" s="3" t="str">
        <x:v>Qualified signed applicability record with exact payload and authority attestations, counted population, reservations and finite validity</x:v>
      </x:c>
    </x:row>
    <x:row r="59" ht="40" customHeight="1">
      <x:c r="A59" s="14" t="str">
        <x:v>P05</x:v>
      </x:c>
      <x:c r="B59" s="14" t="str">
        <x:v>Record India applicability and processing responsibilities</x:v>
      </x:c>
      <x:c r="C59" s="14" t="str">
        <x:v>steps</x:v>
      </x:c>
      <x:c r="D59" s="14" t="n">
        <x:v>1</x:v>
      </x:c>
      <x:c r="E59" s="14" t="str">
        <x:v>Regenerate and machine-check the counsel-ready packet from its canonical JSON; review the actual India-only service, entities, contracts, users and data flows against the dated official-source register.</x:v>
      </x:c>
    </x:row>
    <x:row r="60" ht="40" customHeight="1">
      <x:c r="A60" s="3" t="str">
        <x:v>P05</x:v>
      </x:c>
      <x:c r="B60" s="3" t="str">
        <x:v>Record India applicability and processing responsibilities</x:v>
      </x:c>
      <x:c r="C60" s="3" t="str">
        <x:v>steps</x:v>
      </x:c>
      <x:c r="D60" s="3" t="n">
        <x:v>2</x:v>
      </x:c>
      <x:c r="E60" s="3" t="str">
        <x:v>Qualified Indian counsel resolves or expressly carries every reservation, distinguishes present law, notified future duties and stricter product policy, and records purpose-specific roles, permissions, retention, clocks and accountable owners.</x:v>
      </x:c>
    </x:row>
    <x:row r="61" ht="40" customHeight="1">
      <x:c r="A61" s="14" t="str">
        <x:v>P05</x:v>
      </x:c>
      <x:c r="B61" s="14" t="str">
        <x:v>Record India applicability and processing responsibilities</x:v>
      </x:c>
      <x:c r="C61" s="14" t="str">
        <x:v>steps</x:v>
      </x:c>
      <x:c r="D61" s="14" t="n">
        <x:v>3</x:v>
      </x:c>
      <x:c r="E61" s="14" t="str">
        <x:v>Authenticate the reviewer's exact signed payload and evidence:counsel_review authority grant through the configured P03 trust boundary, set finite validity and promote it without overwriting earlier evidence.</x:v>
      </x:c>
    </x:row>
    <x:row r="62" ht="40" customHeight="1">
      <x:c r="A62" s="3" t="str">
        <x:v>P05</x:v>
      </x:c>
      <x:c r="B62" s="3" t="str">
        <x:v>Record India applicability and processing responsibilities</x:v>
      </x:c>
      <x:c r="C62" s="3" t="str">
        <x:v>steps</x:v>
      </x:c>
      <x:c r="D62" s="3" t="n">
        <x:v>4</x:v>
      </x:c>
      <x:c r="E62" s="3" t="str">
        <x:v>Check deliberately incorrect all-DPDP-effective-now, blanket-localisation, blanket-processor, shortened-incident-clock and self-certified-authority claims; each must turn the control plane red.</x:v>
      </x:c>
    </x:row>
    <x:row r="63" ht="40" customHeight="1">
      <x:c r="A63" s="14" t="str">
        <x:v>P05</x:v>
      </x:c>
      <x:c r="B63" s="14" t="str">
        <x:v>Record India applicability and processing responsibilities</x:v>
      </x:c>
      <x:c r="C63" s="14" t="str">
        <x:v>expected</x:v>
      </x:c>
      <x:c r="D63" s="14" t="n">
        <x:v>1</x:v>
      </x:c>
      <x:c r="E63" s="14" t="str">
        <x:v>No real-data release until applicable responsibilities are approved.</x:v>
      </x:c>
    </x:row>
    <x:row r="64" ht="40" customHeight="1">
      <x:c r="A64" s="3" t="str">
        <x:v>P05</x:v>
      </x:c>
      <x:c r="B64" s="3" t="str">
        <x:v>Record India applicability and processing responsibilities</x:v>
      </x:c>
      <x:c r="C64" s="3" t="str">
        <x:v>expected</x:v>
      </x:c>
      <x:c r="D64" s="3" t="n">
        <x:v>2</x:v>
      </x:c>
      <x:c r="E64" s="3" t="str">
        <x:v>The record is a qualified review artifact, not automatically generated legal advice or compliance certification.</x:v>
      </x:c>
    </x:row>
    <x:row r="65" ht="40" customHeight="1">
      <x:c r="A65" s="14" t="str">
        <x:v>P05</x:v>
      </x:c>
      <x:c r="B65" s="14" t="str">
        <x:v>Record India applicability and processing responsibilities</x:v>
      </x:c>
      <x:c r="C65" s="14" t="str">
        <x:v>rollback</x:v>
      </x:c>
      <x:c r="D65" s="14" t="n">
        <x:v>1</x:v>
      </x:c>
      <x:c r="E65" s="14" t="str">
        <x:v>Withdraw the affected processing permission and retain the superseded dated record; do not delete evidence of the earlier decision.</x:v>
      </x:c>
    </x:row>
    <x:row r="66" ht="27" customHeight="1">
      <x:c r="A66" s="3" t="str">
        <x:v>P06</x:v>
      </x:c>
      <x:c r="B66" s="3" t="str">
        <x:v>Enforce processor and egress policy before live data</x:v>
      </x:c>
      <x:c r="C66" s="3" t="str">
        <x:v>inputs</x:v>
      </x:c>
      <x:c r="D66" s="3" t="n">
        <x:v>1</x:v>
      </x:c>
      <x:c r="E66" s="3" t="str">
        <x:v>Approved processor identities, purposes, regions, retention and data classes</x:v>
      </x:c>
    </x:row>
    <x:row r="67" ht="27" customHeight="1">
      <x:c r="A67" s="14" t="str">
        <x:v>P06</x:v>
      </x:c>
      <x:c r="B67" s="14" t="str">
        <x:v>Enforce processor and egress policy before live data</x:v>
      </x:c>
      <x:c r="C67" s="14" t="str">
        <x:v>outputs</x:v>
      </x:c>
      <x:c r="D67" s="14" t="n">
        <x:v>1</x:v>
      </x:c>
      <x:c r="E67" s="14" t="str">
        <x:v>Central pre-dispatch policy covering model/media/storage/support/telemetry destinations</x:v>
      </x:c>
    </x:row>
    <x:row r="68" ht="27" customHeight="1">
      <x:c r="A68" s="3" t="str">
        <x:v>P06</x:v>
      </x:c>
      <x:c r="B68" s="3" t="str">
        <x:v>Enforce processor and egress policy before live data</x:v>
      </x:c>
      <x:c r="C68" s="3" t="str">
        <x:v>steps</x:v>
      </x:c>
      <x:c r="D68" s="3" t="n">
        <x:v>1</x:v>
      </x:c>
      <x:c r="E68" s="3" t="str">
        <x:v>Bind configured adapters to approved processor profiles; require purpose and data-class authorisation before every egress.</x:v>
      </x:c>
    </x:row>
    <x:row r="69" ht="27" customHeight="1">
      <x:c r="A69" s="14" t="str">
        <x:v>P06</x:v>
      </x:c>
      <x:c r="B69" s="14" t="str">
        <x:v>Enforce processor and egress policy before live data</x:v>
      </x:c>
      <x:c r="C69" s="14" t="str">
        <x:v>steps</x:v>
      </x:c>
      <x:c r="D69" s="14" t="n">
        <x:v>2</x:v>
      </x:c>
      <x:c r="E69" s="14" t="str">
        <x:v>Default-deny unknown destinations and redact operational diagnostics; include private indexes, temp files and retries in the inventory.</x:v>
      </x:c>
    </x:row>
    <x:row r="70" ht="40" customHeight="1">
      <x:c r="A70" s="3" t="str">
        <x:v>P06</x:v>
      </x:c>
      <x:c r="B70" s="3" t="str">
        <x:v>Enforce processor and egress policy before live data</x:v>
      </x:c>
      <x:c r="C70" s="3" t="str">
        <x:v>steps</x:v>
      </x:c>
      <x:c r="D70" s="3" t="n">
        <x:v>3</x:v>
      </x:c>
      <x:c r="E70" s="3" t="str">
        <x:v>Run synthetic denied-egress and diagnostic sentinel cases at every enumerated output sink; inspect actual destination logs without client content.</x:v>
      </x:c>
    </x:row>
    <x:row r="71" ht="27" customHeight="1">
      <x:c r="A71" s="14" t="str">
        <x:v>P06</x:v>
      </x:c>
      <x:c r="B71" s="14" t="str">
        <x:v>Enforce processor and egress policy before live data</x:v>
      </x:c>
      <x:c r="C71" s="14" t="str">
        <x:v>expected</x:v>
      </x:c>
      <x:c r="D71" s="14" t="n">
        <x:v>1</x:v>
      </x:c>
      <x:c r="E71" s="14" t="str">
        <x:v>An unapproved processor never receives the sentinel.</x:v>
      </x:c>
    </x:row>
    <x:row r="72" ht="27" customHeight="1">
      <x:c r="A72" s="3" t="str">
        <x:v>P06</x:v>
      </x:c>
      <x:c r="B72" s="3" t="str">
        <x:v>Enforce processor and egress policy before live data</x:v>
      </x:c>
      <x:c r="C72" s="3" t="str">
        <x:v>expected</x:v>
      </x:c>
      <x:c r="D72" s="3" t="n">
        <x:v>2</x:v>
      </x:c>
      <x:c r="E72" s="3" t="str">
        <x:v>Local adapter success is foundation proof only; deployed enforcement remains P39/P41.</x:v>
      </x:c>
    </x:row>
    <x:row r="73" ht="40" customHeight="1">
      <x:c r="A73" s="14" t="str">
        <x:v>P06</x:v>
      </x:c>
      <x:c r="B73" s="14" t="str">
        <x:v>Enforce processor and egress policy before live data</x:v>
      </x:c>
      <x:c r="C73" s="14" t="str">
        <x:v>rollback</x:v>
      </x:c>
      <x:c r="D73" s="14" t="n">
        <x:v>1</x:v>
      </x:c>
      <x:c r="E73" s="14" t="str">
        <x:v>Disable the processing route, drain or quarantine affected jobs and revoke destination credentials; accepted user input remains recoverable.</x:v>
      </x:c>
    </x:row>
    <x:row r="74" ht="27" customHeight="1">
      <x:c r="A74" s="3" t="str">
        <x:v>P07</x:v>
      </x:c>
      <x:c r="B74" s="3" t="str">
        <x:v>Use scoped envelope encryption with fail-closed keys</x:v>
      </x:c>
      <x:c r="C74" s="3" t="str">
        <x:v>inputs</x:v>
      </x:c>
      <x:c r="D74" s="3" t="n">
        <x:v>1</x:v>
      </x:c>
      <x:c r="E74" s="3" t="str">
        <x:v>Reviewed key hierarchy and permitted decrypt identities</x:v>
      </x:c>
    </x:row>
    <x:row r="75" ht="27" customHeight="1">
      <x:c r="A75" s="14" t="str">
        <x:v>P07</x:v>
      </x:c>
      <x:c r="B75" s="14" t="str">
        <x:v>Use scoped envelope encryption with fail-closed keys</x:v>
      </x:c>
      <x:c r="C75" s="14" t="str">
        <x:v>inputs</x:v>
      </x:c>
      <x:c r="D75" s="14" t="n">
        <x:v>2</x:v>
      </x:c>
      <x:c r="E75" s="14" t="str">
        <x:v>Synthetic encrypted originals and metadata</x:v>
      </x:c>
    </x:row>
    <x:row r="76" ht="27" customHeight="1">
      <x:c r="A76" s="3" t="str">
        <x:v>P07</x:v>
      </x:c>
      <x:c r="B76" s="3" t="str">
        <x:v>Use scoped envelope encryption with fail-closed keys</x:v>
      </x:c>
      <x:c r="C76" s="3" t="str">
        <x:v>outputs</x:v>
      </x:c>
      <x:c r="D76" s="3" t="n">
        <x:v>1</x:v>
      </x:c>
      <x:c r="E76" s="3" t="str">
        <x:v>Provider-independent key boundary, wrapped data-key references and audited rotation</x:v>
      </x:c>
    </x:row>
    <x:row r="77" ht="40" customHeight="1">
      <x:c r="A77" s="14" t="str">
        <x:v>P07</x:v>
      </x:c>
      <x:c r="B77" s="14" t="str">
        <x:v>Use scoped envelope encryption with fail-closed keys</x:v>
      </x:c>
      <x:c r="C77" s="14" t="str">
        <x:v>steps</x:v>
      </x:c>
      <x:c r="D77" s="14" t="n">
        <x:v>1</x:v>
      </x:c>
      <x:c r="E77" s="14" t="str">
        <x:v>Add a key-service port and envelope adapter as new files declared in the Start record; do not reuse authentication or provider credentials as data keys.</x:v>
      </x:c>
    </x:row>
    <x:row r="78" ht="27" customHeight="1">
      <x:c r="A78" s="3" t="str">
        <x:v>P07</x:v>
      </x:c>
      <x:c r="B78" s="3" t="str">
        <x:v>Use scoped envelope encryption with fail-closed keys</x:v>
      </x:c>
      <x:c r="C78" s="3" t="str">
        <x:v>steps</x:v>
      </x:c>
      <x:c r="D78" s="3" t="n">
        <x:v>2</x:v>
      </x:c>
      <x:c r="E78" s="3" t="str">
        <x:v>Implement key-versioned encrypt/decrypt with scoped policy and atomic rotation; no plaintext fallback or content in audit.</x:v>
      </x:c>
    </x:row>
    <x:row r="79" ht="40" customHeight="1">
      <x:c r="A79" s="14" t="str">
        <x:v>P07</x:v>
      </x:c>
      <x:c r="B79" s="14" t="str">
        <x:v>Use scoped envelope encryption with fail-closed keys</x:v>
      </x:c>
      <x:c r="C79" s="14" t="str">
        <x:v>steps</x:v>
      </x:c>
      <x:c r="D79" s="14" t="n">
        <x:v>3</x:v>
      </x:c>
      <x:c r="E79" s="14" t="str">
        <x:v>Exercise denied decrypt, wrong matter, rotation during a write and missing-key restart; retain old wrapping versions only under the approved policy.</x:v>
      </x:c>
    </x:row>
    <x:row r="80" ht="40" customHeight="1">
      <x:c r="A80" s="3" t="str">
        <x:v>P07</x:v>
      </x:c>
      <x:c r="B80" s="3" t="str">
        <x:v>Use scoped envelope encryption with fail-closed keys</x:v>
      </x:c>
      <x:c r="C80" s="3" t="str">
        <x:v>steps</x:v>
      </x:c>
      <x:c r="D80" s="3" t="n">
        <x:v>4</x:v>
      </x:c>
      <x:c r="E80" s="3" t="str">
        <x:v>Keep the existing credential-collision refusal across every credential and the re-key sealed/open/unreadable distinction; do not skip an unreadable file or print secret values.</x:v>
      </x:c>
    </x:row>
    <x:row r="81" ht="27" customHeight="1">
      <x:c r="A81" s="14" t="str">
        <x:v>P07</x:v>
      </x:c>
      <x:c r="B81" s="14" t="str">
        <x:v>Use scoped envelope encryption with fail-closed keys</x:v>
      </x:c>
      <x:c r="C81" s="14" t="str">
        <x:v>expected</x:v>
      </x:c>
      <x:c r="D81" s="14" t="n">
        <x:v>1</x:v>
      </x:c>
      <x:c r="E81" s="14" t="str">
        <x:v>Unauthorised decrypt and missing keys yield explicit safe unavailability.</x:v>
      </x:c>
    </x:row>
    <x:row r="82" ht="27" customHeight="1">
      <x:c r="A82" s="3" t="str">
        <x:v>P07</x:v>
      </x:c>
      <x:c r="B82" s="3" t="str">
        <x:v>Use scoped envelope encryption with fail-closed keys</x:v>
      </x:c>
      <x:c r="C82" s="3" t="str">
        <x:v>expected</x:v>
      </x:c>
      <x:c r="D82" s="3" t="n">
        <x:v>2</x:v>
      </x:c>
      <x:c r="E82" s="3" t="str">
        <x:v>Restore with target credentials remains a separate P38 proof, not inferred from encrypt/decrypt round trips.</x:v>
      </x:c>
    </x:row>
    <x:row r="83" ht="27" customHeight="1">
      <x:c r="A83" s="14" t="str">
        <x:v>P07</x:v>
      </x:c>
      <x:c r="B83" s="14" t="str">
        <x:v>Use scoped envelope encryption with fail-closed keys</x:v>
      </x:c>
      <x:c r="C83" s="14" t="str">
        <x:v>rollback</x:v>
      </x:c>
      <x:c r="D83" s="14" t="n">
        <x:v>1</x:v>
      </x:c>
      <x:c r="E83" s="14" t="str">
        <x:v>Stop new writes and retain encrypted versions; restore access through approved key recovery, never write a plaintext bypass.</x:v>
      </x:c>
    </x:row>
    <x:row r="84" ht="40" customHeight="1">
      <x:c r="A84" s="3" t="str">
        <x:v>P08</x:v>
      </x:c>
      <x:c r="B84" s="3" t="str">
        <x:v>Preserve access regressions and implement required assurance</x:v>
      </x:c>
      <x:c r="C84" s="3" t="str">
        <x:v>inputs</x:v>
      </x:c>
      <x:c r="D84" s="3" t="n">
        <x:v>1</x:v>
      </x:c>
      <x:c r="E84" s="3" t="str">
        <x:v>Approved authentication/recovery assurance model</x:v>
      </x:c>
    </x:row>
    <x:row r="85" ht="40" customHeight="1">
      <x:c r="A85" s="14" t="str">
        <x:v>P08</x:v>
      </x:c>
      <x:c r="B85" s="14" t="str">
        <x:v>Preserve access regressions and implement required assurance</x:v>
      </x:c>
      <x:c r="C85" s="14" t="str">
        <x:v>inputs</x:v>
      </x:c>
      <x:c r="D85" s="14" t="n">
        <x:v>2</x:v>
      </x:c>
      <x:c r="E85" s="14" t="str">
        <x:v>D-041 public personal-account and separate operator-invitation/session/recovery test populations</x:v>
      </x:c>
    </x:row>
    <x:row r="86" ht="40" customHeight="1">
      <x:c r="A86" s="3" t="str">
        <x:v>P08</x:v>
      </x:c>
      <x:c r="B86" s="3" t="str">
        <x:v>Preserve access regressions and implement required assurance</x:v>
      </x:c>
      <x:c r="C86" s="3" t="str">
        <x:v>outputs</x:v>
      </x:c>
      <x:c r="D86" s="3" t="n">
        <x:v>1</x:v>
      </x:c>
      <x:c r="E86" s="3" t="str">
        <x:v>Protected-entry assurance enforcement and compatible session/recovery lifecycle</x:v>
      </x:c>
    </x:row>
    <x:row r="87" ht="70" customHeight="1">
      <x:c r="A87" s="14" t="str">
        <x:v>P08</x:v>
      </x:c>
      <x:c r="B87" s="14" t="str">
        <x:v>Preserve access regressions and implement required assurance</x:v>
      </x:c>
      <x:c r="C87" s="14" t="str">
        <x:v>steps</x:v>
      </x:c>
      <x:c r="D87" s="14" t="n">
        <x:v>1</x:v>
      </x:c>
      <x:c r="E87"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8" ht="55" customHeight="1">
      <x:c r="A88" s="3" t="str">
        <x:v>P08</x:v>
      </x:c>
      <x:c r="B88" s="3" t="str">
        <x:v>Preserve access regressions and implement required assurance</x:v>
      </x:c>
      <x:c r="C88" s="3" t="str">
        <x:v>steps</x:v>
      </x:c>
      <x:c r="D88" s="3" t="n">
        <x:v>2</x:v>
      </x:c>
      <x:c r="E88"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9" ht="40" customHeight="1">
      <x:c r="A89" s="14" t="str">
        <x:v>P08</x:v>
      </x:c>
      <x:c r="B89" s="14" t="str">
        <x:v>Preserve access regressions and implement required assurance</x:v>
      </x:c>
      <x:c r="C89" s="14" t="str">
        <x:v>steps</x:v>
      </x:c>
      <x:c r="D89" s="14" t="n">
        <x:v>3</x:v>
      </x:c>
      <x:c r="E89" s="14" t="str">
        <x:v>Enforce the approved factor/passkey assurance at every protected server entry and sensitive change; local password mode cannot activate the confidential profile.</x:v>
      </x:c>
    </x:row>
    <x:row r="90" ht="40" customHeight="1">
      <x:c r="A90" s="3" t="str">
        <x:v>P08</x:v>
      </x:c>
      <x:c r="B90" s="3" t="str">
        <x:v>Preserve access regressions and implement required assurance</x:v>
      </x:c>
      <x:c r="C90" s="3" t="str">
        <x:v>steps</x:v>
      </x:c>
      <x:c r="D90" s="3" t="n">
        <x:v>4</x:v>
      </x:c>
      <x:c r="E90" s="3" t="str">
        <x:v>Implement enrolment, replacement, loss, rate limits and recovery notifications with global revocation where required; sweep direct API, remembered session and concurrent credential changes.</x:v>
      </x:c>
    </x:row>
    <x:row r="91" ht="40" customHeight="1">
      <x:c r="A91" s="14" t="str">
        <x:v>P08</x:v>
      </x:c>
      <x:c r="B91" s="14" t="str">
        <x:v>Preserve access regressions and implement required assurance</x:v>
      </x:c>
      <x:c r="C91" s="14" t="str">
        <x:v>expected</x:v>
      </x:c>
      <x:c r="D91" s="14" t="n">
        <x:v>1</x:v>
      </x:c>
      <x:c r="E91" s="14" t="str">
        <x:v>A stolen password alone cannot enter the confidential profile.</x:v>
      </x:c>
    </x:row>
    <x:row r="92" ht="55" customHeight="1">
      <x:c r="A92" s="3" t="str">
        <x:v>P08</x:v>
      </x:c>
      <x:c r="B92" s="3" t="str">
        <x:v>Preserve access regressions and implement required assurance</x:v>
      </x:c>
      <x:c r="C92" s="3" t="str">
        <x:v>expected</x:v>
      </x:c>
      <x:c r="D92" s="3" t="n">
        <x:v>2</x:v>
      </x:c>
      <x:c r="E92"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3" ht="40" customHeight="1">
      <x:c r="A93" s="14" t="str">
        <x:v>P08</x:v>
      </x:c>
      <x:c r="B93" s="14" t="str">
        <x:v>Preserve access regressions and implement required assurance</x:v>
      </x:c>
      <x:c r="C93" s="14" t="str">
        <x:v>rollback</x:v>
      </x:c>
      <x:c r="D93" s="14" t="n">
        <x:v>1</x:v>
      </x:c>
      <x:c r="E93" s="14" t="str">
        <x:v>Pause confidential access on assurance regression; revoke affected sessions and restore the previous compatible provider configuration without weakening factor requirements.</x:v>
      </x:c>
    </x:row>
    <x:row r="94" ht="27" customHeight="1">
      <x:c r="A94" s="3" t="str">
        <x:v>P09</x:v>
      </x:c>
      <x:c r="B94" s="3" t="str">
        <x:v>Prove access on the real configured device and provider</x:v>
      </x:c>
      <x:c r="C94" s="3" t="str">
        <x:v>inputs</x:v>
      </x:c>
      <x:c r="D94" s="3" t="n">
        <x:v>1</x:v>
      </x:c>
      <x:c r="E94" s="3" t="str">
        <x:v>Approved actual-device/provider bounded rehearsal and synthetic users</x:v>
      </x:c>
    </x:row>
    <x:row r="95" ht="27" customHeight="1">
      <x:c r="A95" s="14" t="str">
        <x:v>P09</x:v>
      </x:c>
      <x:c r="B95" s="14" t="str">
        <x:v>Prove access on the real configured device and provider</x:v>
      </x:c>
      <x:c r="C95" s="14" t="str">
        <x:v>outputs</x:v>
      </x:c>
      <x:c r="D95" s="14" t="n">
        <x:v>1</x:v>
      </x:c>
      <x:c r="E95" s="14" t="str">
        <x:v>Fresh access evidence covering enrolment, factor loss, recovery, revocation and logout</x:v>
      </x:c>
    </x:row>
    <x:row r="96" ht="27" customHeight="1">
      <x:c r="A96" s="3" t="str">
        <x:v>P09</x:v>
      </x:c>
      <x:c r="B96" s="3" t="str">
        <x:v>Prove access on the real configured device and provider</x:v>
      </x:c>
      <x:c r="C96" s="3" t="str">
        <x:v>steps</x:v>
      </x:c>
      <x:c r="D96" s="3" t="n">
        <x:v>1</x:v>
      </x:c>
      <x:c r="E96" s="3" t="str">
        <x:v>Record device, browser, provider/configuration and expected population before the run.</x:v>
      </x:c>
    </x:row>
    <x:row r="97" ht="27" customHeight="1">
      <x:c r="A97" s="14" t="str">
        <x:v>P09</x:v>
      </x:c>
      <x:c r="B97" s="14" t="str">
        <x:v>Prove access on the real configured device and provider</x:v>
      </x:c>
      <x:c r="C97" s="14" t="str">
        <x:v>steps</x:v>
      </x:c>
      <x:c r="D97" s="14" t="n">
        <x:v>2</x:v>
      </x:c>
      <x:c r="E97" s="14" t="str">
        <x:v>Use two real browser sessions; complete enrolment and recovery, revoke one, then test stale tab, browser back and reload.</x:v>
      </x:c>
    </x:row>
    <x:row r="98" ht="27" customHeight="1">
      <x:c r="A98" s="3" t="str">
        <x:v>P09</x:v>
      </x:c>
      <x:c r="B98" s="3" t="str">
        <x:v>Prove access on the real configured device and provider</x:v>
      </x:c>
      <x:c r="C98" s="3" t="str">
        <x:v>steps</x:v>
      </x:c>
      <x:c r="D98" s="3" t="n">
        <x:v>3</x:v>
      </x:c>
      <x:c r="E98" s="3" t="str">
        <x:v>Check API denial and cache clearing as well as screen text; reject scripted-factor artifacts supplied as actual-provider proof.</x:v>
      </x:c>
    </x:row>
    <x:row r="99" ht="40" customHeight="1">
      <x:c r="A99" s="14" t="str">
        <x:v>P09</x:v>
      </x:c>
      <x:c r="B99" s="14" t="str">
        <x:v>Prove access on the real configured device and provider</x:v>
      </x:c>
      <x:c r="C99" s="14" t="str">
        <x:v>steps</x:v>
      </x:c>
      <x:c r="D99" s="14" t="n">
        <x:v>4</x:v>
      </x:c>
      <x:c r="E99" s="14" t="str">
        <x:v>Expire/revoke the actual server session while advice and research are open; a cleared cookie alone is not expiry proof. Recover a draft only for the same reauthenticated identity with explicit confirmation; an offline logout remains unconfirmed.</x:v>
      </x:c>
    </x:row>
    <x:row r="100" ht="27" customHeight="1">
      <x:c r="A100" s="3" t="str">
        <x:v>P09</x:v>
      </x:c>
      <x:c r="B100" s="3" t="str">
        <x:v>Prove access on the real configured device and provider</x:v>
      </x:c>
      <x:c r="C100" s="3" t="str">
        <x:v>expected</x:v>
      </x:c>
      <x:c r="D100" s="3" t="n">
        <x:v>1</x:v>
      </x:c>
      <x:c r="E100" s="3" t="str">
        <x:v>Every required access transition has the actual configuration identity.</x:v>
      </x:c>
    </x:row>
    <x:row r="101" ht="27" customHeight="1">
      <x:c r="A101" s="14" t="str">
        <x:v>P09</x:v>
      </x:c>
      <x:c r="B101" s="14" t="str">
        <x:v>Prove access on the real configured device and provider</x:v>
      </x:c>
      <x:c r="C101" s="14" t="str">
        <x:v>expected</x:v>
      </x:c>
      <x:c r="D101" s="14" t="n">
        <x:v>2</x:v>
      </x:c>
      <x:c r="E101" s="14" t="str">
        <x:v>No protected matter appears before context resolution or after revoked-session reuse.</x:v>
      </x:c>
    </x:row>
    <x:row r="102" ht="27" customHeight="1">
      <x:c r="A102" s="3" t="str">
        <x:v>P09</x:v>
      </x:c>
      <x:c r="B102" s="3" t="str">
        <x:v>Prove access on the real configured device and provider</x:v>
      </x:c>
      <x:c r="C102" s="3" t="str">
        <x:v>rollback</x:v>
      </x:c>
      <x:c r="D102" s="3" t="n">
        <x:v>1</x:v>
      </x:c>
      <x:c r="E102" s="3" t="str">
        <x:v>Withdraw confidential-profile approval and keep synthetic/local work available only at its permitted assurance.</x:v>
      </x:c>
    </x:row>
    <x:row r="103" ht="40" customHeight="1">
      <x:c r="A103" s="14" t="str">
        <x:v>P10</x:v>
      </x:c>
      <x:c r="B103" s="14" t="str">
        <x:v>Persist one matter transactionally with policy and versions</x:v>
      </x:c>
      <x:c r="C103" s="14" t="str">
        <x:v>inputs</x:v>
      </x:c>
      <x:c r="D103" s="14" t="n">
        <x:v>1</x:v>
      </x:c>
      <x:c r="E103" s="14" t="str">
        <x:v>Existing StorePort round-trip/CAS tests</x:v>
      </x:c>
    </x:row>
    <x:row r="104" ht="40" customHeight="1">
      <x:c r="A104" s="3" t="str">
        <x:v>P10</x:v>
      </x:c>
      <x:c r="B104" s="3" t="str">
        <x:v>Persist one matter transactionally with policy and versions</x:v>
      </x:c>
      <x:c r="C104" s="3" t="str">
        <x:v>inputs</x:v>
      </x:c>
      <x:c r="D104" s="3" t="n">
        <x:v>2</x:v>
      </x:c>
      <x:c r="E104" s="3" t="str">
        <x:v>Synthetic workspace A/B and a fully populated matter</x:v>
      </x:c>
    </x:row>
    <x:row r="105" ht="40" customHeight="1">
      <x:c r="A105" s="14" t="str">
        <x:v>P10</x:v>
      </x:c>
      <x:c r="B105" s="14" t="str">
        <x:v>Persist one matter transactionally with policy and versions</x:v>
      </x:c>
      <x:c r="C105" s="14" t="str">
        <x:v>outputs</x:v>
      </x:c>
      <x:c r="D105" s="14" t="n">
        <x:v>1</x:v>
      </x:c>
      <x:c r="E105" s="14" t="str">
        <x:v>PostgreSQL adapter behind the same store contract with operation/outbox transaction</x:v>
      </x:c>
    </x:row>
    <x:row r="106" ht="40" customHeight="1">
      <x:c r="A106" s="3" t="str">
        <x:v>P10</x:v>
      </x:c>
      <x:c r="B106" s="3" t="str">
        <x:v>Persist one matter transactionally with policy and versions</x:v>
      </x:c>
      <x:c r="C106" s="3" t="str">
        <x:v>steps</x:v>
      </x:c>
      <x:c r="D106" s="3" t="n">
        <x:v>1</x:v>
      </x:c>
      <x:c r="E106" s="3" t="str">
        <x:v>Implement versioned schema and least-privilege tenant/matter policy using the exact contracts; the new adapter path belongs in its Start record.</x:v>
      </x:c>
    </x:row>
    <x:row r="107" ht="40" customHeight="1">
      <x:c r="A107" s="14" t="str">
        <x:v>P10</x:v>
      </x:c>
      <x:c r="B107" s="14" t="str">
        <x:v>Persist one matter transactionally with policy and versions</x:v>
      </x:c>
      <x:c r="C107" s="14" t="str">
        <x:v>steps</x:v>
      </x:c>
      <x:c r="D107" s="14" t="n">
        <x:v>2</x:v>
      </x:c>
      <x:c r="E107" s="14" t="str">
        <x:v>Write matter version, accepted command and outbox atomically; use runtime-role isolation and clear pooled connection context.</x:v>
      </x:c>
    </x:row>
    <x:row r="108" ht="40" customHeight="1">
      <x:c r="A108" s="3" t="str">
        <x:v>P10</x:v>
      </x:c>
      <x:c r="B108" s="3" t="str">
        <x:v>Persist one matter transactionally with policy and versions</x:v>
      </x:c>
      <x:c r="C108" s="3" t="str">
        <x:v>steps</x:v>
      </x:c>
      <x:c r="D108" s="3" t="n">
        <x:v>3</x:v>
      </x:c>
      <x:c r="E108" s="3" t="str">
        <x:v>Race two writes, lose the response, replay its key and query with tenant B; compare every persisted field and unreadable/list states to the existing adapter.</x:v>
      </x:c>
    </x:row>
    <x:row r="109" ht="40" customHeight="1">
      <x:c r="A109" s="14" t="str">
        <x:v>P10</x:v>
      </x:c>
      <x:c r="B109" s="14" t="str">
        <x:v>Persist one matter transactionally with policy and versions</x:v>
      </x:c>
      <x:c r="C109" s="14" t="str">
        <x:v>expected</x:v>
      </x:c>
      <x:c r="D109" s="14" t="n">
        <x:v>1</x:v>
      </x:c>
      <x:c r="E109" s="14" t="str">
        <x:v>One accepted command produces one version; stale update conflicts.</x:v>
      </x:c>
    </x:row>
    <x:row r="110" ht="40" customHeight="1">
      <x:c r="A110" s="3" t="str">
        <x:v>P10</x:v>
      </x:c>
      <x:c r="B110" s="3" t="str">
        <x:v>Persist one matter transactionally with policy and versions</x:v>
      </x:c>
      <x:c r="C110" s="3" t="str">
        <x:v>expected</x:v>
      </x:c>
      <x:c r="D110" s="3" t="n">
        <x:v>2</x:v>
      </x:c>
      <x:c r="E110" s="3" t="str">
        <x:v>Cross-tenant fetch/list/search and connection reuse reveal no foreign material; no production migration yet.</x:v>
      </x:c>
    </x:row>
    <x:row r="111" ht="40" customHeight="1">
      <x:c r="A111" s="14" t="str">
        <x:v>P10</x:v>
      </x:c>
      <x:c r="B111" s="14" t="str">
        <x:v>Persist one matter transactionally with policy and versions</x:v>
      </x:c>
      <x:c r="C111" s="14" t="str">
        <x:v>rollback</x:v>
      </x:c>
      <x:c r="D111" s="14" t="n">
        <x:v>1</x:v>
      </x:c>
      <x:c r="E111" s="14" t="str">
        <x:v>Keep file-store as the sole live writer while the new adapter is synthetic/shadow; discard only its named disposable test schema.</x:v>
      </x:c>
    </x:row>
    <x:row r="112" ht="40" customHeight="1">
      <x:c r="A112" s="3" t="str">
        <x:v>P11</x:v>
      </x:c>
      <x:c r="B112" s="3" t="str">
        <x:v>Execute durable cancellable jobs without duplicate effects</x:v>
      </x:c>
      <x:c r="C112" s="3" t="str">
        <x:v>inputs</x:v>
      </x:c>
      <x:c r="D112" s="3" t="n">
        <x:v>1</x:v>
      </x:c>
      <x:c r="E112" s="3" t="str">
        <x:v>Committed outbox jobs with operation identity, expected matter version and permission policy</x:v>
      </x:c>
    </x:row>
    <x:row r="113" ht="40" customHeight="1">
      <x:c r="A113" s="14" t="str">
        <x:v>P11</x:v>
      </x:c>
      <x:c r="B113" s="14" t="str">
        <x:v>Execute durable cancellable jobs without duplicate effects</x:v>
      </x:c>
      <x:c r="C113" s="14" t="str">
        <x:v>outputs</x:v>
      </x:c>
      <x:c r="D113" s="14" t="n">
        <x:v>1</x:v>
      </x:c>
      <x:c r="E113" s="14" t="str">
        <x:v>Leased worker lifecycle, retry budget and publication-time permission/version recheck</x:v>
      </x:c>
    </x:row>
    <x:row r="114" ht="40" customHeight="1">
      <x:c r="A114" s="3" t="str">
        <x:v>P11</x:v>
      </x:c>
      <x:c r="B114" s="3" t="str">
        <x:v>Execute durable cancellable jobs without duplicate effects</x:v>
      </x:c>
      <x:c r="C114" s="3" t="str">
        <x:v>steps</x:v>
      </x:c>
      <x:c r="D114" s="3" t="n">
        <x:v>1</x:v>
      </x:c>
      <x:c r="E114" s="3" t="str">
        <x:v>Add a durable worker adapter using transactional claim/lease renewal and idempotent effect records; no model call inside the commit transaction.</x:v>
      </x:c>
    </x:row>
    <x:row r="115" ht="40" customHeight="1">
      <x:c r="A115" s="14" t="str">
        <x:v>P11</x:v>
      </x:c>
      <x:c r="B115" s="14" t="str">
        <x:v>Execute durable cancellable jobs without duplicate effects</x:v>
      </x:c>
      <x:c r="C115" s="14" t="str">
        <x:v>steps</x:v>
      </x:c>
      <x:c r="D115" s="14" t="n">
        <x:v>2</x:v>
      </x:c>
      <x:c r="E115" s="14" t="str">
        <x:v>Persist accepted/running/cancel-requested/completed/failed/unknown outcome distinctly; recheck access before reading and before publishing.</x:v>
      </x:c>
    </x:row>
    <x:row r="116" ht="40" customHeight="1">
      <x:c r="A116" s="3" t="str">
        <x:v>P11</x:v>
      </x:c>
      <x:c r="B116" s="3" t="str">
        <x:v>Execute durable cancellable jobs without duplicate effects</x:v>
      </x:c>
      <x:c r="C116" s="3" t="str">
        <x:v>steps</x:v>
      </x:c>
      <x:c r="D116" s="3" t="n">
        <x:v>3</x:v>
      </x:c>
      <x:c r="E116" s="3" t="str">
        <x:v>Crash before effect, after effect and before acknowledgement; revoke membership during lease and replay the job.</x:v>
      </x:c>
    </x:row>
    <x:row r="117" ht="40" customHeight="1">
      <x:c r="A117" s="14" t="str">
        <x:v>P11</x:v>
      </x:c>
      <x:c r="B117" s="14" t="str">
        <x:v>Execute durable cancellable jobs without duplicate effects</x:v>
      </x:c>
      <x:c r="C117" s="14" t="str">
        <x:v>expected</x:v>
      </x:c>
      <x:c r="D117" s="14" t="n">
        <x:v>1</x:v>
      </x:c>
      <x:c r="E117" s="14" t="str">
        <x:v>Unknown external effect goes to reconciliation rather than blind retry.</x:v>
      </x:c>
    </x:row>
    <x:row r="118" ht="40" customHeight="1">
      <x:c r="A118" s="3" t="str">
        <x:v>P11</x:v>
      </x:c>
      <x:c r="B118" s="3" t="str">
        <x:v>Execute durable cancellable jobs without duplicate effects</x:v>
      </x:c>
      <x:c r="C118" s="3" t="str">
        <x:v>expected</x:v>
      </x:c>
      <x:c r="D118" s="3" t="n">
        <x:v>2</x:v>
      </x:c>
      <x:c r="E118" s="3" t="str">
        <x:v>Revocation prevents publication and cancellation never erases already accepted work or falsely refunds cost.</x:v>
      </x:c>
    </x:row>
    <x:row r="119" ht="40" customHeight="1">
      <x:c r="A119" s="14" t="str">
        <x:v>P11</x:v>
      </x:c>
      <x:c r="B119" s="14" t="str">
        <x:v>Execute durable cancellable jobs without duplicate effects</x:v>
      </x:c>
      <x:c r="C119" s="14" t="str">
        <x:v>rollback</x:v>
      </x:c>
      <x:c r="D119" s="14" t="n">
        <x:v>1</x:v>
      </x:c>
      <x:c r="E119" s="14" t="str">
        <x:v>Pause workers, retain outbox/lease/effect history and reconcile in-flight effects before resumption; never reset all jobs to pending.</x:v>
      </x:c>
    </x:row>
    <x:row r="120" ht="27" customHeight="1">
      <x:c r="A120" s="3" t="str">
        <x:v>P12</x:v>
      </x:c>
      <x:c r="B120" s="3" t="str">
        <x:v>Rehearse reversible store cutover before migrating</x:v>
      </x:c>
      <x:c r="C120" s="3" t="str">
        <x:v>inputs</x:v>
      </x:c>
      <x:c r="D120" s="3" t="n">
        <x:v>1</x:v>
      </x:c>
      <x:c r="E120" s="3" t="str">
        <x:v>Read-only source inventory and backed-up synthetic complete store</x:v>
      </x:c>
    </x:row>
    <x:row r="121" ht="27" customHeight="1">
      <x:c r="A121" s="14" t="str">
        <x:v>P12</x:v>
      </x:c>
      <x:c r="B121" s="14" t="str">
        <x:v>Rehearse reversible store cutover before migrating</x:v>
      </x:c>
      <x:c r="C121" s="14" t="str">
        <x:v>inputs</x:v>
      </x:c>
      <x:c r="D121" s="14" t="n">
        <x:v>2</x:v>
      </x:c>
      <x:c r="E121" s="14" t="str">
        <x:v>Approved per-aggregate migration/cutover window</x:v>
      </x:c>
    </x:row>
    <x:row r="122" ht="27" customHeight="1">
      <x:c r="A122" s="3" t="str">
        <x:v>P12</x:v>
      </x:c>
      <x:c r="B122" s="3" t="str">
        <x:v>Rehearse reversible store cutover before migrating</x:v>
      </x:c>
      <x:c r="C122" s="3" t="str">
        <x:v>outputs</x:v>
      </x:c>
      <x:c r="D122" s="3" t="n">
        <x:v>1</x:v>
      </x:c>
      <x:c r="E122" s="3" t="str">
        <x:v>Reconciliation manifest, sole-writer switch and tested reverse/delta recovery procedure</x:v>
      </x:c>
    </x:row>
    <x:row r="123" ht="27" customHeight="1">
      <x:c r="A123" s="14" t="str">
        <x:v>P12</x:v>
      </x:c>
      <x:c r="B123" s="14" t="str">
        <x:v>Rehearse reversible store cutover before migrating</x:v>
      </x:c>
      <x:c r="C123" s="14" t="str">
        <x:v>steps</x:v>
      </x:c>
      <x:c r="D123" s="14" t="n">
        <x:v>1</x:v>
      </x:c>
      <x:c r="E123" s="14" t="str">
        <x:v>Build the importer in a separately registered path; preserve IDs, versions and unknown historical fields without fabricating consent.</x:v>
      </x:c>
    </x:row>
    <x:row r="124" ht="27" customHeight="1">
      <x:c r="A124" s="3" t="str">
        <x:v>P12</x:v>
      </x:c>
      <x:c r="B124" s="3" t="str">
        <x:v>Rehearse reversible store cutover before migrating</x:v>
      </x:c>
      <x:c r="C124" s="3" t="str">
        <x:v>steps</x:v>
      </x:c>
      <x:c r="D124" s="3" t="n">
        <x:v>2</x:v>
      </x:c>
      <x:c r="E124" s="3" t="str">
        <x:v>Compare source/target counts, hashes, source links and every persisted field; quiesce the selected writer and apply the final delta.</x:v>
      </x:c>
    </x:row>
    <x:row r="125" ht="27" customHeight="1">
      <x:c r="A125" s="14" t="str">
        <x:v>P12</x:v>
      </x:c>
      <x:c r="B125" s="14" t="str">
        <x:v>Rehearse reversible store cutover before migrating</x:v>
      </x:c>
      <x:c r="C125" s="14" t="str">
        <x:v>steps</x:v>
      </x:c>
      <x:c r="D125" s="14" t="n">
        <x:v>3</x:v>
      </x:c>
      <x:c r="E125" s="14" t="str">
        <x:v>Rehearse abort before switch and rollback after target-only writes; prove restore and access revocation under target permissions.</x:v>
      </x:c>
    </x:row>
    <x:row r="126" ht="27" customHeight="1">
      <x:c r="A126" s="3" t="str">
        <x:v>P12</x:v>
      </x:c>
      <x:c r="B126" s="3" t="str">
        <x:v>Rehearse reversible store cutover before migrating</x:v>
      </x:c>
      <x:c r="C126" s="3" t="str">
        <x:v>expected</x:v>
      </x:c>
      <x:c r="D126" s="3" t="n">
        <x:v>1</x:v>
      </x:c>
      <x:c r="E126" s="3" t="str">
        <x:v>Zero silently lost accepted writes and one authority at every checkpoint.</x:v>
      </x:c>
    </x:row>
    <x:row r="127" ht="27" customHeight="1">
      <x:c r="A127" s="14" t="str">
        <x:v>P12</x:v>
      </x:c>
      <x:c r="B127" s="14" t="str">
        <x:v>Rehearse reversible store cutover before migrating</x:v>
      </x:c>
      <x:c r="C127" s="14" t="str">
        <x:v>expected</x:v>
      </x:c>
      <x:c r="D127" s="14" t="n">
        <x:v>2</x:v>
      </x:c>
      <x:c r="E127" s="14" t="str">
        <x:v>Real migration requires specific approval even when the rehearsal passes.</x:v>
      </x:c>
    </x:row>
    <x:row r="128" ht="40" customHeight="1">
      <x:c r="A128" s="3" t="str">
        <x:v>P12</x:v>
      </x:c>
      <x:c r="B128" s="3" t="str">
        <x:v>Rehearse reversible store cutover before migrating</x:v>
      </x:c>
      <x:c r="C128" s="3" t="str">
        <x:v>rollback</x:v>
      </x:c>
      <x:c r="D128" s="3" t="n">
        <x:v>1</x:v>
      </x:c>
      <x:c r="E128" s="3" t="str">
        <x:v>Before new writes switch back to the verified source; after new writes execute tested reverse/delta reconciliation or stop for recovery, never overwrite target-only work.</x:v>
      </x:c>
    </x:row>
    <x:row r="129" ht="27" customHeight="1">
      <x:c r="A129" s="14" t="str">
        <x:v>P13</x:v>
      </x:c>
      <x:c r="B129" s="14" t="str">
        <x:v>Capture commission and role-scoped decisions</x:v>
      </x:c>
      <x:c r="C129" s="14" t="str">
        <x:v>inputs</x:v>
      </x:c>
      <x:c r="D129" s="14" t="n">
        <x:v>1</x:v>
      </x:c>
      <x:c r="E129" s="14" t="str">
        <x:v>Synthetic client/instructor/decision-maker roles and a scoped objective</x:v>
      </x:c>
    </x:row>
    <x:row r="130" ht="27" customHeight="1">
      <x:c r="A130" s="3" t="str">
        <x:v>P13</x:v>
      </x:c>
      <x:c r="B130" s="3" t="str">
        <x:v>Capture commission and role-scoped decisions</x:v>
      </x:c>
      <x:c r="C130" s="3" t="str">
        <x:v>outputs</x:v>
      </x:c>
      <x:c r="D130" s="3" t="n">
        <x:v>1</x:v>
      </x:c>
      <x:c r="E130" s="3" t="str">
        <x:v>Versioned commission plus central instruction/action authority checks</x:v>
      </x:c>
    </x:row>
    <x:row r="131" ht="40" customHeight="1">
      <x:c r="A131" s="14" t="str">
        <x:v>P13</x:v>
      </x:c>
      <x:c r="B131" s="14" t="str">
        <x:v>Capture commission and role-scoped decisions</x:v>
      </x:c>
      <x:c r="C131" s="14" t="str">
        <x:v>steps</x:v>
      </x:c>
      <x:c r="D131" s="14" t="n">
        <x:v>1</x:v>
      </x:c>
      <x:c r="E131" s="14" t="str">
        <x:v>Persist who instructs, who decides, objective, forum, deadline, work product and unknowns; distinguish storage from professional acceptance.</x:v>
      </x:c>
    </x:row>
    <x:row r="132" ht="27" customHeight="1">
      <x:c r="A132" s="3" t="str">
        <x:v>P13</x:v>
      </x:c>
      <x:c r="B132" s="3" t="str">
        <x:v>Capture commission and role-scoped decisions</x:v>
      </x:c>
      <x:c r="C132" s="3" t="str">
        <x:v>steps</x:v>
      </x:c>
      <x:c r="D132" s="3" t="n">
        <x:v>2</x:v>
      </x:c>
      <x:c r="E132" s="3" t="str">
        <x:v>Evaluate material instructions through one role/scope policy used by API, jobs, decisions and eventual actions.</x:v>
      </x:c>
    </x:row>
    <x:row r="133" ht="27" customHeight="1">
      <x:c r="A133" s="14" t="str">
        <x:v>P13</x:v>
      </x:c>
      <x:c r="B133" s="14" t="str">
        <x:v>Capture commission and role-scoped decisions</x:v>
      </x:c>
      <x:c r="C133" s="14" t="str">
        <x:v>steps</x:v>
      </x:c>
      <x:c r="D133" s="14" t="n">
        <x:v>3</x:v>
      </x:c>
      <x:c r="E133" s="14" t="str">
        <x:v>Change a material instruction and attempt an unauthorised concession; show re-opened scope and durable attributed refusal.</x:v>
      </x:c>
    </x:row>
    <x:row r="134" ht="40" customHeight="1">
      <x:c r="A134" s="3" t="str">
        <x:v>P13</x:v>
      </x:c>
      <x:c r="B134" s="3" t="str">
        <x:v>Capture commission and role-scoped decisions</x:v>
      </x:c>
      <x:c r="C134" s="3" t="str">
        <x:v>steps</x:v>
      </x:c>
      <x:c r="D134" s="3" t="n">
        <x:v>4</x:v>
      </x:c>
      <x:c r="E134" s="3" t="str">
        <x:v>Render persisted client/title/posture/stage/touched time and deadline-assessment state on the cover; do not turn unknowns into invented facts or implementation IDs.</x:v>
      </x:c>
    </x:row>
    <x:row r="135" ht="27" customHeight="1">
      <x:c r="A135" s="14" t="str">
        <x:v>P13</x:v>
      </x:c>
      <x:c r="B135" s="14" t="str">
        <x:v>Capture commission and role-scoped decisions</x:v>
      </x:c>
      <x:c r="C135" s="14" t="str">
        <x:v>expected</x:v>
      </x:c>
      <x:c r="D135" s="14" t="n">
        <x:v>1</x:v>
      </x:c>
      <x:c r="E135" s="14" t="str">
        <x:v>Matter cover states the current commission after reload.</x:v>
      </x:c>
    </x:row>
    <x:row r="136" ht="27" customHeight="1">
      <x:c r="A136" s="3" t="str">
        <x:v>P13</x:v>
      </x:c>
      <x:c r="B136" s="3" t="str">
        <x:v>Capture commission and role-scoped decisions</x:v>
      </x:c>
      <x:c r="C136" s="3" t="str">
        <x:v>expected</x:v>
      </x:c>
      <x:c r="D136" s="3" t="n">
        <x:v>2</x:v>
      </x:c>
      <x:c r="E136" s="3" t="str">
        <x:v>A recommendation or colleague role does not silently grant action authority.</x:v>
      </x:c>
    </x:row>
    <x:row r="137" ht="27" customHeight="1">
      <x:c r="A137" s="14" t="str">
        <x:v>P13</x:v>
      </x:c>
      <x:c r="B137" s="14" t="str">
        <x:v>Capture commission and role-scoped decisions</x:v>
      </x:c>
      <x:c r="C137" s="14" t="str">
        <x:v>rollback</x:v>
      </x:c>
      <x:c r="D137" s="14" t="n">
        <x:v>1</x:v>
      </x:c>
      <x:c r="E137" s="14" t="str">
        <x:v>Disable unsupported role operations and retain prior commissions/decisions; never reinterpret old actions under new permissions.</x:v>
      </x:c>
    </x:row>
    <x:row r="138" ht="27" customHeight="1">
      <x:c r="A138" s="3" t="str">
        <x:v>P14</x:v>
      </x:c>
      <x:c r="B138" s="3" t="str">
        <x:v>Close ordinary admission and bounded emergency re-entry</x:v>
      </x:c>
      <x:c r="C138" s="3" t="str">
        <x:v>inputs</x:v>
      </x:c>
      <x:c r="D138" s="3" t="n">
        <x:v>1</x:v>
      </x:c>
      <x:c r="E138" s="3" t="str">
        <x:v>Versioned parties, screen results and urgent synthetic instruction</x:v>
      </x:c>
    </x:row>
    <x:row r="139" ht="27" customHeight="1">
      <x:c r="A139" s="14" t="str">
        <x:v>P14</x:v>
      </x:c>
      <x:c r="B139" s="14" t="str">
        <x:v>Close ordinary admission and bounded emergency re-entry</x:v>
      </x:c>
      <x:c r="C139" s="14" t="str">
        <x:v>outputs</x:v>
      </x:c>
      <x:c r="D139" s="14" t="n">
        <x:v>1</x:v>
      </x:c>
      <x:c r="E139" s="14" t="str">
        <x:v>Ordinary screen decision plus expiring protective-only emergency declaration</x:v>
      </x:c>
    </x:row>
    <x:row r="140" ht="27" customHeight="1">
      <x:c r="A140" s="3" t="str">
        <x:v>P14</x:v>
      </x:c>
      <x:c r="B140" s="3" t="str">
        <x:v>Close ordinary admission and bounded emergency re-entry</x:v>
      </x:c>
      <x:c r="C140" s="3" t="str">
        <x:v>steps</x:v>
      </x:c>
      <x:c r="D140" s="3" t="n">
        <x:v>1</x:v>
      </x:c>
      <x:c r="E140" s="3" t="str">
        <x:v>Use the screen owner, not duplicate edge logic; adding a party stales clearance before substance from the same turn can release.</x:v>
      </x:c>
    </x:row>
    <x:row r="141" ht="40" customHeight="1">
      <x:c r="A141" s="14" t="str">
        <x:v>P14</x:v>
      </x:c>
      <x:c r="B141" s="14" t="str">
        <x:v>Close ordinary admission and bounded emergency re-entry</x:v>
      </x:c>
      <x:c r="C141" s="14" t="str">
        <x:v>steps</x:v>
      </x:c>
      <x:c r="D141" s="14" t="n">
        <x:v>2</x:v>
      </x:c>
      <x:c r="E141" s="14" t="str">
        <x:v>Persist emergency actor, basis, permitted protective/referral scope, outstanding screens and expiry; connect BK-53 triage without admitting merits.</x:v>
      </x:c>
    </x:row>
    <x:row r="142" ht="40" customHeight="1">
      <x:c r="A142" s="3" t="str">
        <x:v>P14</x:v>
      </x:c>
      <x:c r="B142" s="3" t="str">
        <x:v>Close ordinary admission and bounded emergency re-entry</x:v>
      </x:c>
      <x:c r="C142" s="3" t="str">
        <x:v>steps</x:v>
      </x:c>
      <x:c r="D142" s="3" t="n">
        <x:v>3</x:v>
      </x:c>
      <x:c r="E142" s="3" t="str">
        <x:v>Re-enter/retry after expiry, inject unavailable screening and request merits via the emergency route; inspect blocked result and preserved urgency.</x:v>
      </x:c>
    </x:row>
    <x:row r="143" ht="40" customHeight="1">
      <x:c r="A143" s="14" t="str">
        <x:v>P14</x:v>
      </x:c>
      <x:c r="B143" s="14" t="str">
        <x:v>Close ordinary admission and bounded emergency re-entry</x:v>
      </x:c>
      <x:c r="C143" s="14" t="str">
        <x:v>steps</x:v>
      </x:c>
      <x:c r="D143" s="14" t="n">
        <x:v>4</x:v>
      </x:c>
      <x:c r="E143" s="14" t="str">
        <x:v>Record capacity/authority to instruct as assessed, unresolved or insufficient with its source and needed next step; account access alone is not capacity.</x:v>
      </x:c>
    </x:row>
    <x:row r="144" ht="55" customHeight="1">
      <x:c r="A144" s="3" t="str">
        <x:v>P14</x:v>
      </x:c>
      <x:c r="B144" s="3" t="str">
        <x:v>Close ordinary admission and bounded emergency re-entry</x:v>
      </x:c>
      <x:c r="C144" s="3" t="str">
        <x:v>steps</x:v>
      </x:c>
      <x:c r="D144" s="3" t="n">
        <x:v>5</x:v>
      </x:c>
      <x:c r="E144"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5" ht="27" customHeight="1">
      <x:c r="A145" s="14" t="str">
        <x:v>P14</x:v>
      </x:c>
      <x:c r="B145" s="14" t="str">
        <x:v>Close ordinary admission and bounded emergency re-entry</x:v>
      </x:c>
      <x:c r="C145" s="14" t="str">
        <x:v>expected</x:v>
      </x:c>
      <x:c r="D145" s="14" t="n">
        <x:v>1</x:v>
      </x:c>
      <x:c r="E145" s="14" t="str">
        <x:v>Unavailable screen never reads clear.</x:v>
      </x:c>
    </x:row>
    <x:row r="146" ht="27" customHeight="1">
      <x:c r="A146" s="3" t="str">
        <x:v>P14</x:v>
      </x:c>
      <x:c r="B146" s="3" t="str">
        <x:v>Close ordinary admission and bounded emergency re-entry</x:v>
      </x:c>
      <x:c r="C146" s="3" t="str">
        <x:v>expected</x:v>
      </x:c>
      <x:c r="D146" s="3" t="n">
        <x:v>2</x:v>
      </x:c>
      <x:c r="E146" s="3" t="str">
        <x:v>Emergency path provides only permitted protection until ordinary gates reopen.</x:v>
      </x:c>
    </x:row>
    <x:row r="147" ht="27" customHeight="1">
      <x:c r="A147" s="14" t="str">
        <x:v>P14</x:v>
      </x:c>
      <x:c r="B147" s="14" t="str">
        <x:v>Close ordinary admission and bounded emergency re-entry</x:v>
      </x:c>
      <x:c r="C147" s="14" t="str">
        <x:v>rollback</x:v>
      </x:c>
      <x:c r="D147" s="14" t="n">
        <x:v>1</x:v>
      </x:c>
      <x:c r="E147" s="14" t="str">
        <x:v>Disable emergency integration while retaining declarations and ordinary screening; do not backdate a clearance.</x:v>
      </x:c>
    </x:row>
    <x:row r="148" ht="27" customHeight="1">
      <x:c r="A148" s="3" t="str">
        <x:v>P15</x:v>
      </x:c>
      <x:c r="B148" s="3" t="str">
        <x:v>Make media admission the only reasoning input</x:v>
      </x:c>
      <x:c r="C148" s="3" t="str">
        <x:v>inputs</x:v>
      </x:c>
      <x:c r="D148" s="3" t="n">
        <x:v>1</x:v>
      </x:c>
      <x:c r="E148" s="3" t="str">
        <x:v>Purpose/authority/processor/retention decisions and unsupported/corrupt synthetic assets</x:v>
      </x:c>
    </x:row>
    <x:row r="149" ht="27" customHeight="1">
      <x:c r="A149" s="14" t="str">
        <x:v>P15</x:v>
      </x:c>
      <x:c r="B149" s="14" t="str">
        <x:v>Make media admission the only reasoning input</x:v>
      </x:c>
      <x:c r="C149" s="14" t="str">
        <x:v>outputs</x:v>
      </x:c>
      <x:c r="D149" s="14" t="n">
        <x:v>1</x:v>
      </x:c>
      <x:c r="E149" s="14" t="str">
        <x:v>Typed admission records and enforced rejection before reasoning</x:v>
      </x:c>
    </x:row>
    <x:row r="150" ht="27" customHeight="1">
      <x:c r="A150" s="3" t="str">
        <x:v>P15</x:v>
      </x:c>
      <x:c r="B150" s="3" t="str">
        <x:v>Make media admission the only reasoning input</x:v>
      </x:c>
      <x:c r="C150" s="3" t="str">
        <x:v>steps</x:v>
      </x:c>
      <x:c r="D150" s="3" t="n">
        <x:v>1</x:v>
      </x:c>
      <x:c r="E150" s="3" t="str">
        <x:v>Use the existing media admission owner; reasoners accept approved derivative references, never arbitrary upload paths or raw media.</x:v>
      </x:c>
    </x:row>
    <x:row r="151" ht="27" customHeight="1">
      <x:c r="A151" s="14" t="str">
        <x:v>P15</x:v>
      </x:c>
      <x:c r="B151" s="14" t="str">
        <x:v>Make media admission the only reasoning input</x:v>
      </x:c>
      <x:c r="C151" s="14" t="str">
        <x:v>steps</x:v>
      </x:c>
      <x:c r="D151" s="14" t="n">
        <x:v>2</x:v>
      </x:c>
      <x:c r="E151" s="14" t="str">
        <x:v>Bind each admission to source hash, actor/matter, purpose, processor decision and retention; unknown policy is a refusal.</x:v>
      </x:c>
    </x:row>
    <x:row r="152" ht="27" customHeight="1">
      <x:c r="A152" s="3" t="str">
        <x:v>P15</x:v>
      </x:c>
      <x:c r="B152" s="3" t="str">
        <x:v>Make media admission the only reasoning input</x:v>
      </x:c>
      <x:c r="C152" s="3" t="str">
        <x:v>steps</x:v>
      </x:c>
      <x:c r="D152" s="3" t="n">
        <x:v>3</x:v>
      </x:c>
      <x:c r="E152" s="3" t="str">
        <x:v>Enumerate every reasoning entry and inject an unadmitted derivative at each; verify no content crosses model or fact-state boundaries.</x:v>
      </x:c>
    </x:row>
    <x:row r="153" ht="55" customHeight="1">
      <x:c r="A153" s="14" t="str">
        <x:v>P15</x:v>
      </x:c>
      <x:c r="B153" s="14" t="str">
        <x:v>Make media admission the only reasoning input</x:v>
      </x:c>
      <x:c r="C153" s="14" t="str">
        <x:v>steps</x:v>
      </x:c>
      <x:c r="D153" s="14" t="n">
        <x:v>4</x:v>
      </x:c>
      <x:c r="E153"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4" ht="40" customHeight="1">
      <x:c r="A154" s="3" t="str">
        <x:v>P15</x:v>
      </x:c>
      <x:c r="B154" s="3" t="str">
        <x:v>Make media admission the only reasoning input</x:v>
      </x:c>
      <x:c r="C154" s="3" t="str">
        <x:v>steps</x:v>
      </x:c>
      <x:c r="D154" s="3" t="n">
        <x:v>5</x:v>
      </x:c>
      <x:c r="E154"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5" ht="27" customHeight="1">
      <x:c r="A155" s="14" t="str">
        <x:v>P15</x:v>
      </x:c>
      <x:c r="B155" s="14" t="str">
        <x:v>Make media admission the only reasoning input</x:v>
      </x:c>
      <x:c r="C155" s="14" t="str">
        <x:v>expected</x:v>
      </x:c>
      <x:c r="D155" s="14" t="n">
        <x:v>1</x:v>
      </x:c>
      <x:c r="E155" s="14" t="str">
        <x:v>Foundation can close without waiting for M08's briefing integration.</x:v>
      </x:c>
    </x:row>
    <x:row r="156" ht="27" customHeight="1">
      <x:c r="A156" s="3" t="str">
        <x:v>P15</x:v>
      </x:c>
      <x:c r="B156" s="3" t="str">
        <x:v>Make media admission the only reasoning input</x:v>
      </x:c>
      <x:c r="C156" s="3" t="str">
        <x:v>expected</x:v>
      </x:c>
      <x:c r="D156" s="3" t="n">
        <x:v>2</x:v>
      </x:c>
      <x:c r="E156" s="3" t="str">
        <x:v>Receipt, admission and successful reading remain separate states.</x:v>
      </x:c>
    </x:row>
    <x:row r="157" ht="27" customHeight="1">
      <x:c r="A157" s="14" t="str">
        <x:v>P15</x:v>
      </x:c>
      <x:c r="B157" s="14" t="str">
        <x:v>Make media admission the only reasoning input</x:v>
      </x:c>
      <x:c r="C157" s="14" t="str">
        <x:v>rollback</x:v>
      </x:c>
      <x:c r="D157" s="14" t="n">
        <x:v>1</x:v>
      </x:c>
      <x:c r="E157" s="14" t="str">
        <x:v>Disable asset admission/processing; retain authorised originals in restricted quarantine with truthful retention state.</x:v>
      </x:c>
    </x:row>
    <x:row r="158" ht="27" customHeight="1">
      <x:c r="A158" s="3" t="str">
        <x:v>P16</x:v>
      </x:c>
      <x:c r="B158" s="3" t="str">
        <x:v>Upload and record with durable locators and review</x:v>
      </x:c>
      <x:c r="C158" s="3" t="str">
        <x:v>inputs</x:v>
      </x:c>
      <x:c r="D158" s="3" t="n">
        <x:v>1</x:v>
      </x:c>
      <x:c r="E158" s="3" t="str">
        <x:v>Supported capability manifest and synthetic scan/audio/video fixtures</x:v>
      </x:c>
    </x:row>
    <x:row r="159" ht="27" customHeight="1">
      <x:c r="A159" s="14" t="str">
        <x:v>P16</x:v>
      </x:c>
      <x:c r="B159" s="14" t="str">
        <x:v>Upload and record with durable locators and review</x:v>
      </x:c>
      <x:c r="C159" s="14" t="str">
        <x:v>outputs</x:v>
      </x:c>
      <x:c r="D159" s="14" t="n">
        <x:v>1</x:v>
      </x:c>
      <x:c r="E159" s="14" t="str">
        <x:v>Resumable receipt, sandboxed extraction coverage and original page/time inspector</x:v>
      </x:c>
    </x:row>
    <x:row r="160" ht="40" customHeight="1">
      <x:c r="A160" s="3" t="str">
        <x:v>P16</x:v>
      </x:c>
      <x:c r="B160" s="3" t="str">
        <x:v>Upload and record with durable locators and review</x:v>
      </x:c>
      <x:c r="C160" s="3" t="str">
        <x:v>steps</x:v>
      </x:c>
      <x:c r="D160" s="3" t="n">
        <x:v>1</x:v>
      </x:c>
      <x:c r="E160" s="3" t="str">
        <x:v>Implement bounded upload sessions with observed type/hash/size/duration validation and object-version receipt; add record/pause/stop/playback/permission controls.</x:v>
      </x:c>
    </x:row>
    <x:row r="161" ht="27" customHeight="1">
      <x:c r="A161" s="14" t="str">
        <x:v>P16</x:v>
      </x:c>
      <x:c r="B161" s="14" t="str">
        <x:v>Upload and record with durable locators and review</x:v>
      </x:c>
      <x:c r="C161" s="14" t="str">
        <x:v>steps</x:v>
      </x:c>
      <x:c r="D161" s="14" t="n">
        <x:v>2</x:v>
      </x:c>
      <x:c r="E161" s="14" t="str">
        <x:v>Sandbox parsing/transcription with no default egress; retain per-page/time coverage, uncertainty and derivative versions.</x:v>
      </x:c>
    </x:row>
    <x:row r="162" ht="27" customHeight="1">
      <x:c r="A162" s="3" t="str">
        <x:v>P16</x:v>
      </x:c>
      <x:c r="B162" s="3" t="str">
        <x:v>Upload and record with durable locators and review</x:v>
      </x:c>
      <x:c r="C162" s="3" t="str">
        <x:v>steps</x:v>
      </x:c>
      <x:c r="D162" s="3" t="n">
        <x:v>3</x:v>
      </x:c>
      <x:c r="E162" s="3" t="str">
        <x:v>Interrupt upload, refuse microphone permission, corrupt a page, exceed limit and correct an uncertain date against its exact locator.</x:v>
      </x:c>
    </x:row>
    <x:row r="163" ht="27" customHeight="1">
      <x:c r="A163" s="14" t="str">
        <x:v>P16</x:v>
      </x:c>
      <x:c r="B163" s="14" t="str">
        <x:v>Upload and record with durable locators and review</x:v>
      </x:c>
      <x:c r="C163" s="14" t="str">
        <x:v>expected</x:v>
      </x:c>
      <x:c r="D163" s="14" t="n">
        <x:v>1</x:v>
      </x:c>
      <x:c r="E163" s="14" t="str">
        <x:v>Uploaded never means read; partial material is visible.</x:v>
      </x:c>
    </x:row>
    <x:row r="164" ht="27" customHeight="1">
      <x:c r="A164" s="3" t="str">
        <x:v>P16</x:v>
      </x:c>
      <x:c r="B164" s="3" t="str">
        <x:v>Upload and record with durable locators and review</x:v>
      </x:c>
      <x:c r="C164" s="3" t="str">
        <x:v>expected</x:v>
      </x:c>
      <x:c r="D164" s="3" t="n">
        <x:v>2</x:v>
      </x:c>
      <x:c r="E164" s="3" t="str">
        <x:v>No automatic legal fact is established by a transcript; foundation does not yet certify BK-54 full mixed brief.</x:v>
      </x:c>
    </x:row>
    <x:row r="165" ht="27" customHeight="1">
      <x:c r="A165" s="14" t="str">
        <x:v>P16</x:v>
      </x:c>
      <x:c r="B165" s="14" t="str">
        <x:v>Upload and record with durable locators and review</x:v>
      </x:c>
      <x:c r="C165" s="14" t="str">
        <x:v>rollback</x:v>
      </x:c>
      <x:c r="D165" s="14" t="n">
        <x:v>1</x:v>
      </x:c>
      <x:c r="E165" s="14" t="str">
        <x:v>Stop new processing and expose retained receipts; cancel named jobs and quarantine unverifiable derivatives without changing originals.</x:v>
      </x:c>
    </x:row>
    <x:row r="166" ht="27" customHeight="1">
      <x:c r="A166" s="3" t="str">
        <x:v>P17</x:v>
      </x:c>
      <x:c r="B166" s="3" t="str">
        <x:v>Build the attributed living file</x:v>
      </x:c>
      <x:c r="C166" s="3" t="str">
        <x:v>inputs</x:v>
      </x:c>
      <x:c r="D166" s="3" t="n">
        <x:v>1</x:v>
      </x:c>
      <x:c r="E166" s="3" t="str">
        <x:v>Two conflicting statements, source locators, confirmed and provisional dates</x:v>
      </x:c>
    </x:row>
    <x:row r="167" ht="27" customHeight="1">
      <x:c r="A167" s="14" t="str">
        <x:v>P17</x:v>
      </x:c>
      <x:c r="B167" s="14" t="str">
        <x:v>Build the attributed living file</x:v>
      </x:c>
      <x:c r="C167" s="14" t="str">
        <x:v>outputs</x:v>
      </x:c>
      <x:c r="D167" s="14" t="n">
        <x:v>1</x:v>
      </x:c>
      <x:c r="E167" s="14" t="str">
        <x:v>Typed versioned propositions, contradiction links and chronology views</x:v>
      </x:c>
    </x:row>
    <x:row r="168" ht="27" customHeight="1">
      <x:c r="A168" s="3" t="str">
        <x:v>P17</x:v>
      </x:c>
      <x:c r="B168" s="3" t="str">
        <x:v>Build the attributed living file</x:v>
      </x:c>
      <x:c r="C168" s="3" t="str">
        <x:v>steps</x:v>
      </x:c>
      <x:c r="D168" s="3" t="n">
        <x:v>1</x:v>
      </x:c>
      <x:c r="E168" s="3" t="str">
        <x:v>Persist asserted/documented/disputed/inferred status, source location, extraction confidence and confirmation separately.</x:v>
      </x:c>
    </x:row>
    <x:row r="169" ht="27" customHeight="1">
      <x:c r="A169" s="14" t="str">
        <x:v>P17</x:v>
      </x:c>
      <x:c r="B169" s="14" t="str">
        <x:v>Build the attributed living file</x:v>
      </x:c>
      <x:c r="C169" s="14" t="str">
        <x:v>steps</x:v>
      </x:c>
      <x:c r="D169" s="14" t="n">
        <x:v>2</x:v>
      </x:c>
      <x:c r="E169" s="14" t="str">
        <x:v>Apply corrections as new versions with attribution; preserve original evidence and competing accounts.</x:v>
      </x:c>
    </x:row>
    <x:row r="170" ht="27" customHeight="1">
      <x:c r="A170" s="3" t="str">
        <x:v>P17</x:v>
      </x:c>
      <x:c r="B170" s="3" t="str">
        <x:v>Build the attributed living file</x:v>
      </x:c>
      <x:c r="C170" s="3" t="str">
        <x:v>steps</x:v>
      </x:c>
      <x:c r="D170" s="3" t="n">
        <x:v>3</x:v>
      </x:c>
      <x:c r="E170" s="3" t="str">
        <x:v>Repeat an unsupported assertion and then correct a date; inspect persisted provenance, source drawer and contradictions after restart.</x:v>
      </x:c>
    </x:row>
    <x:row r="171" ht="40" customHeight="1">
      <x:c r="A171" s="14" t="str">
        <x:v>P17</x:v>
      </x:c>
      <x:c r="B171" s="14" t="str">
        <x:v>Build the attributed living file</x:v>
      </x:c>
      <x:c r="C171" s="14" t="str">
        <x:v>steps</x:v>
      </x:c>
      <x:c r="D171" s="14" t="n">
        <x:v>4</x:v>
      </x:c>
      <x:c r="E171" s="14" t="str">
        <x:v>Keep factual dispute identity distinct from alternative remedies/procedural questions; proposed thread splits require attributable reasons and cannot duplicate the same dispute into inconsistent files.</x:v>
      </x:c>
    </x:row>
    <x:row r="172" ht="70" customHeight="1">
      <x:c r="A172" s="3" t="str">
        <x:v>P17</x:v>
      </x:c>
      <x:c r="B172" s="3" t="str">
        <x:v>Build the attributed living file</x:v>
      </x:c>
      <x:c r="C172" s="3" t="str">
        <x:v>steps</x:v>
      </x:c>
      <x:c r="D172" s="3" t="n">
        <x:v>5</x:v>
      </x:c>
      <x:c r="E172"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3" ht="27" customHeight="1">
      <x:c r="A173" s="14" t="str">
        <x:v>P17</x:v>
      </x:c>
      <x:c r="B173" s="14" t="str">
        <x:v>Build the attributed living file</x:v>
      </x:c>
      <x:c r="C173" s="14" t="str">
        <x:v>expected</x:v>
      </x:c>
      <x:c r="D173" s="14" t="n">
        <x:v>1</x:v>
      </x:c>
      <x:c r="E173" s="14" t="str">
        <x:v>Repetition never upgrades a claim to documented truth.</x:v>
      </x:c>
    </x:row>
    <x:row r="174" ht="27" customHeight="1">
      <x:c r="A174" s="3" t="str">
        <x:v>P17</x:v>
      </x:c>
      <x:c r="B174" s="3" t="str">
        <x:v>Build the attributed living file</x:v>
      </x:c>
      <x:c r="C174" s="3" t="str">
        <x:v>expected</x:v>
      </x:c>
      <x:c r="D174" s="3" t="n">
        <x:v>2</x:v>
      </x:c>
      <x:c r="E174" s="3" t="str">
        <x:v>Every material conclusion has inspectable typed premises; unsupported state remains explicit.</x:v>
      </x:c>
    </x:row>
    <x:row r="175" ht="27" customHeight="1">
      <x:c r="A175" s="14" t="str">
        <x:v>P17</x:v>
      </x:c>
      <x:c r="B175" s="14" t="str">
        <x:v>Build the attributed living file</x:v>
      </x:c>
      <x:c r="C175" s="14" t="str">
        <x:v>rollback</x:v>
      </x:c>
      <x:c r="D175" s="14" t="n">
        <x:v>1</x:v>
      </x:c>
      <x:c r="E175" s="14" t="str">
        <x:v>Disable new correction commands if needed; retain versions and render the last authorised state with freshness limits.</x:v>
      </x:c>
    </x:row>
    <x:row r="176" ht="27" customHeight="1">
      <x:c r="A176" s="3" t="str">
        <x:v>P18</x:v>
      </x:c>
      <x:c r="B176" s="3" t="str">
        <x:v>Invalidate exactly the affected dependency closure</x:v>
      </x:c>
      <x:c r="C176" s="3" t="str">
        <x:v>inputs</x:v>
      </x:c>
      <x:c r="D176" s="3" t="n">
        <x:v>1</x:v>
      </x:c>
      <x:c r="E176" s="3" t="str">
        <x:v>Dependency-linked propositions, findings, computations and two independent issues</x:v>
      </x:c>
    </x:row>
    <x:row r="177" ht="27" customHeight="1">
      <x:c r="A177" s="14" t="str">
        <x:v>P18</x:v>
      </x:c>
      <x:c r="B177" s="14" t="str">
        <x:v>Invalidate exactly the affected dependency closure</x:v>
      </x:c>
      <x:c r="C177" s="14" t="str">
        <x:v>outputs</x:v>
      </x:c>
      <x:c r="D177" s="14" t="n">
        <x:v>1</x:v>
      </x:c>
      <x:c r="E177" s="14" t="str">
        <x:v>Selective stale-state propagation with preserved prior record and change reason</x:v>
      </x:c>
    </x:row>
    <x:row r="178" ht="40" customHeight="1">
      <x:c r="A178" s="3" t="str">
        <x:v>P18</x:v>
      </x:c>
      <x:c r="B178" s="3" t="str">
        <x:v>Invalidate exactly the affected dependency closure</x:v>
      </x:c>
      <x:c r="C178" s="3" t="str">
        <x:v>steps</x:v>
      </x:c>
      <x:c r="D178" s="3" t="n">
        <x:v>1</x:v>
      </x:c>
      <x:c r="E178" s="3" t="str">
        <x:v>Introduce/extend typed dependency edges for every material derived artifact; enumerate producers so untracked downstream consumers fail validation.</x:v>
      </x:c>
    </x:row>
    <x:row r="179" ht="27" customHeight="1">
      <x:c r="A179" s="14" t="str">
        <x:v>P18</x:v>
      </x:c>
      <x:c r="B179" s="14" t="str">
        <x:v>Invalidate exactly the affected dependency closure</x:v>
      </x:c>
      <x:c r="C179" s="14" t="str">
        <x:v>steps</x:v>
      </x:c>
      <x:c r="D179" s="14" t="n">
        <x:v>2</x:v>
      </x:c>
      <x:c r="E179" s="14" t="str">
        <x:v>Calculate transitive affected closure on correction/withdrawal; schedule bounded rework and prevent stale release.</x:v>
      </x:c>
    </x:row>
    <x:row r="180" ht="40" customHeight="1">
      <x:c r="A180" s="3" t="str">
        <x:v>P18</x:v>
      </x:c>
      <x:c r="B180" s="3" t="str">
        <x:v>Invalidate exactly the affected dependency closure</x:v>
      </x:c>
      <x:c r="C180" s="3" t="str">
        <x:v>steps</x:v>
      </x:c>
      <x:c r="D180" s="3" t="n">
        <x:v>3</x:v>
      </x:c>
      <x:c r="E180" s="3" t="str">
        <x:v>Change one controlling predicate and show dependent deadline/advice stale while the independent issue remains current; test cycles and missing dependencies.</x:v>
      </x:c>
    </x:row>
    <x:row r="181" ht="27" customHeight="1">
      <x:c r="A181" s="14" t="str">
        <x:v>P18</x:v>
      </x:c>
      <x:c r="B181" s="14" t="str">
        <x:v>Invalidate exactly the affected dependency closure</x:v>
      </x:c>
      <x:c r="C181" s="14" t="str">
        <x:v>expected</x:v>
      </x:c>
      <x:c r="D181" s="14" t="n">
        <x:v>1</x:v>
      </x:c>
      <x:c r="E181" s="14" t="str">
        <x:v>No affected artifact silently remains current and no unrelated conclusion is gratuitously invalidated.</x:v>
      </x:c>
    </x:row>
    <x:row r="182" ht="27" customHeight="1">
      <x:c r="A182" s="3" t="str">
        <x:v>P18</x:v>
      </x:c>
      <x:c r="B182" s="3" t="str">
        <x:v>Invalidate exactly the affected dependency closure</x:v>
      </x:c>
      <x:c r="C182" s="3" t="str">
        <x:v>rollback</x:v>
      </x:c>
      <x:c r="D182" s="3" t="n">
        <x:v>1</x:v>
      </x:c>
      <x:c r="E182" s="3" t="str">
        <x:v>Pause affected release paths and preserve dependency history; do not mark unknown dependencies current during rollback.</x:v>
      </x:c>
    </x:row>
    <x:row r="183" ht="40" customHeight="1">
      <x:c r="A183" s="14" t="str">
        <x:v>P19</x:v>
      </x:c>
      <x:c r="B183" s="14" t="str">
        <x:v>Inventory canonical sources without mutating the shared database</x:v>
      </x:c>
      <x:c r="C183" s="14" t="str">
        <x:v>inputs</x:v>
      </x:c>
      <x:c r="D183" s="14" t="n">
        <x:v>1</x:v>
      </x:c>
      <x:c r="E183" s="14" t="str">
        <x:v>Resolved legal_database junction and read-only consumer/file inventory</x:v>
      </x:c>
    </x:row>
    <x:row r="184" ht="40" customHeight="1">
      <x:c r="A184" s="3" t="str">
        <x:v>P19</x:v>
      </x:c>
      <x:c r="B184" s="3" t="str">
        <x:v>Inventory canonical sources without mutating the shared database</x:v>
      </x:c>
      <x:c r="C184" s="3" t="str">
        <x:v>outputs</x:v>
      </x:c>
      <x:c r="D184" s="3" t="n">
        <x:v>1</x:v>
      </x:c>
      <x:c r="E184" s="3" t="str">
        <x:v>Canonical source/alias register with provenance and explicit unresolved metadata</x:v>
      </x:c>
    </x:row>
    <x:row r="185" ht="40" customHeight="1">
      <x:c r="A185" s="14" t="str">
        <x:v>P19</x:v>
      </x:c>
      <x:c r="B185" s="14" t="str">
        <x:v>Inventory canonical sources without mutating the shared database</x:v>
      </x:c>
      <x:c r="C185" s="14" t="str">
        <x:v>steps</x:v>
      </x:c>
      <x:c r="D185" s="14" t="n">
        <x:v>1</x:v>
      </x:c>
      <x:c r="E185" s="14" t="str">
        <x:v>Resolve actual target/consumers; inventory originals and derived stores separately without opening private chat history.</x:v>
      </x:c>
    </x:row>
    <x:row r="186" ht="40" customHeight="1">
      <x:c r="A186" s="3" t="str">
        <x:v>P19</x:v>
      </x:c>
      <x:c r="B186" s="3" t="str">
        <x:v>Inventory canonical sources without mutating the shared database</x:v>
      </x:c>
      <x:c r="C186" s="3" t="str">
        <x:v>steps</x:v>
      </x:c>
      <x:c r="D186" s="3" t="n">
        <x:v>2</x:v>
      </x:c>
      <x:c r="E186" s="3" t="str">
        <x:v>Reconcile exact source identities, aliases, jurisdiction/language/effective/observed dates, rights and hashes; do not infer missing law from one thin index.</x:v>
      </x:c>
    </x:row>
    <x:row r="187" ht="40" customHeight="1">
      <x:c r="A187" s="14" t="str">
        <x:v>P19</x:v>
      </x:c>
      <x:c r="B187" s="14" t="str">
        <x:v>Inventory canonical sources without mutating the shared database</x:v>
      </x:c>
      <x:c r="C187" s="14" t="str">
        <x:v>steps</x:v>
      </x:c>
      <x:c r="D187" s="14" t="n">
        <x:v>3</x:v>
      </x:c>
      <x:c r="E187" s="14" t="str">
        <x:v>Inspect synthetic duplicate identities, uncertain dates and a wrong High Court mapping; withhold unsupported coverage pending qualified review.</x:v>
      </x:c>
    </x:row>
    <x:row r="188" ht="40" customHeight="1">
      <x:c r="A188" s="3" t="str">
        <x:v>P19</x:v>
      </x:c>
      <x:c r="B188" s="3" t="str">
        <x:v>Inventory canonical sources without mutating the shared database</x:v>
      </x:c>
      <x:c r="C188" s="3" t="str">
        <x:v>expected</x:v>
      </x:c>
      <x:c r="D188" s="3" t="n">
        <x:v>1</x:v>
      </x:c>
      <x:c r="E188" s="3" t="str">
        <x:v>Inventory is bounded read-only work; no indexing, embedding, scraping or source deletion is authorised.</x:v>
      </x:c>
    </x:row>
    <x:row r="189" ht="40" customHeight="1">
      <x:c r="A189" s="14" t="str">
        <x:v>P19</x:v>
      </x:c>
      <x:c r="B189" s="14" t="str">
        <x:v>Inventory canonical sources without mutating the shared database</x:v>
      </x:c>
      <x:c r="C189" s="14" t="str">
        <x:v>expected</x:v>
      </x:c>
      <x:c r="D189" s="14" t="n">
        <x:v>2</x:v>
      </x:c>
      <x:c r="E189" s="14" t="str">
        <x:v>India-only operations never imply all-India verified coverage.</x:v>
      </x:c>
    </x:row>
    <x:row r="190" ht="40" customHeight="1">
      <x:c r="A190" s="3" t="str">
        <x:v>P19</x:v>
      </x:c>
      <x:c r="B190" s="3" t="str">
        <x:v>Inventory canonical sources without mutating the shared database</x:v>
      </x:c>
      <x:c r="C190" s="3" t="str">
        <x:v>rollback</x:v>
      </x:c>
      <x:c r="D190" s="3" t="n">
        <x:v>1</x:v>
      </x:c>
      <x:c r="E190" s="3" t="str">
        <x:v>Retain inventory as a dated non-serving artifact; withdraw any unverified publication candidate without touching the shared originals.</x:v>
      </x:c>
    </x:row>
    <x:row r="191" ht="40" customHeight="1">
      <x:c r="A191" s="14" t="str">
        <x:v>P20</x:v>
      </x:c>
      <x:c r="B191" s="14" t="str">
        <x:v>Publish immutable corpus snapshots with reversible cutover</x:v>
      </x:c>
      <x:c r="C191" s="14" t="str">
        <x:v>inputs</x:v>
      </x:c>
      <x:c r="D191" s="14" t="n">
        <x:v>1</x:v>
      </x:c>
      <x:c r="E191" s="14" t="str">
        <x:v>Approved bounded source selection, extraction repairs and benchmark manifest</x:v>
      </x:c>
    </x:row>
    <x:row r="192" ht="40" customHeight="1">
      <x:c r="A192" s="3" t="str">
        <x:v>P20</x:v>
      </x:c>
      <x:c r="B192" s="3" t="str">
        <x:v>Publish immutable corpus snapshots with reversible cutover</x:v>
      </x:c>
      <x:c r="C192" s="3" t="str">
        <x:v>outputs</x:v>
      </x:c>
      <x:c r="D192" s="3" t="n">
        <x:v>1</x:v>
      </x:c>
      <x:c r="E192" s="3" t="str">
        <x:v>Atomic candidate/published/withdrawn corpus manifests and rollback pointer</x:v>
      </x:c>
    </x:row>
    <x:row r="193" ht="40" customHeight="1">
      <x:c r="A193" s="14" t="str">
        <x:v>P20</x:v>
      </x:c>
      <x:c r="B193" s="14" t="str">
        <x:v>Publish immutable corpus snapshots with reversible cutover</x:v>
      </x:c>
      <x:c r="C193" s="14" t="str">
        <x:v>steps</x:v>
      </x:c>
      <x:c r="D193" s="14" t="n">
        <x:v>1</x:v>
      </x:c>
      <x:c r="E193" s="14" t="str">
        <x:v>Build only the approved derived artifacts with source/model/dimension/tokenizer lineage; separate private evidence from public legal corpus.</x:v>
      </x:c>
    </x:row>
    <x:row r="194" ht="40" customHeight="1">
      <x:c r="A194" s="3" t="str">
        <x:v>P20</x:v>
      </x:c>
      <x:c r="B194" s="3" t="str">
        <x:v>Publish immutable corpus snapshots with reversible cutover</x:v>
      </x:c>
      <x:c r="C194" s="3" t="str">
        <x:v>steps</x:v>
      </x:c>
      <x:c r="D194" s="3" t="n">
        <x:v>2</x:v>
      </x:c>
      <x:c r="E194" s="3" t="str">
        <x:v>Reconcile expected source/chunk populations and legal review before atomic activation; an interrupted publisher cannot expose partial state.</x:v>
      </x:c>
    </x:row>
    <x:row r="195" ht="40" customHeight="1">
      <x:c r="A195" s="14" t="str">
        <x:v>P20</x:v>
      </x:c>
      <x:c r="B195" s="14" t="str">
        <x:v>Publish immutable corpus snapshots with reversible cutover</x:v>
      </x:c>
      <x:c r="C195" s="14" t="str">
        <x:v>steps</x:v>
      </x:c>
      <x:c r="D195" s="14" t="n">
        <x:v>3</x:v>
      </x:c>
      <x:c r="E195" s="14" t="str">
        <x:v>Alter a source hash, withdraw one authority and interrupt publication; show old readers remain valid and dependent work requires reassessment.</x:v>
      </x:c>
    </x:row>
    <x:row r="196" ht="40" customHeight="1">
      <x:c r="A196" s="3" t="str">
        <x:v>P20</x:v>
      </x:c>
      <x:c r="B196" s="3" t="str">
        <x:v>Publish immutable corpus snapshots with reversible cutover</x:v>
      </x:c>
      <x:c r="C196" s="3" t="str">
        <x:v>expected</x:v>
      </x:c>
      <x:c r="D196" s="3" t="n">
        <x:v>1</x:v>
      </x:c>
      <x:c r="E196" s="3" t="str">
        <x:v>Rebuild only measured incompatible or inadequate indexes.</x:v>
      </x:c>
    </x:row>
    <x:row r="197" ht="40" customHeight="1">
      <x:c r="A197" s="14" t="str">
        <x:v>P20</x:v>
      </x:c>
      <x:c r="B197" s="14" t="str">
        <x:v>Publish immutable corpus snapshots with reversible cutover</x:v>
      </x:c>
      <x:c r="C197" s="14" t="str">
        <x:v>expected</x:v>
      </x:c>
      <x:c r="D197" s="14" t="n">
        <x:v>2</x:v>
      </x:c>
      <x:c r="E197" s="14" t="str">
        <x:v>No index job or model enrichment runs without its bounded approval.</x:v>
      </x:c>
    </x:row>
    <x:row r="198" ht="40" customHeight="1">
      <x:c r="A198" s="3" t="str">
        <x:v>P20</x:v>
      </x:c>
      <x:c r="B198" s="3" t="str">
        <x:v>Publish immutable corpus snapshots with reversible cutover</x:v>
      </x:c>
      <x:c r="C198" s="3" t="str">
        <x:v>rollback</x:v>
      </x:c>
      <x:c r="D198" s="3" t="n">
        <x:v>1</x:v>
      </x:c>
      <x:c r="E198" s="3" t="str">
        <x:v>Switch readers to the retained compatible snapshot; preserve withdrawn/candidate lineage and flag work derived from the replaced snapshot.</x:v>
      </x:c>
    </x:row>
    <x:row r="199" ht="27" customHeight="1">
      <x:c r="A199" s="14" t="str">
        <x:v>P21</x:v>
      </x:c>
      <x:c r="B199" s="14" t="str">
        <x:v>Separate discovery, identity and legal verification</x:v>
      </x:c>
      <x:c r="C199" s="14" t="str">
        <x:v>inputs</x:v>
      </x:c>
      <x:c r="D199" s="14" t="n">
        <x:v>1</x:v>
      </x:c>
      <x:c r="E199" s="14" t="str">
        <x:v>Exact citation, subject query, contrary authority and unavailable index scenarios</x:v>
      </x:c>
    </x:row>
    <x:row r="200" ht="27" customHeight="1">
      <x:c r="A200" s="3" t="str">
        <x:v>P21</x:v>
      </x:c>
      <x:c r="B200" s="3" t="str">
        <x:v>Separate discovery, identity and legal verification</x:v>
      </x:c>
      <x:c r="C200" s="3" t="str">
        <x:v>outputs</x:v>
      </x:c>
      <x:c r="D200" s="3" t="n">
        <x:v>1</x:v>
      </x:c>
      <x:c r="E200" s="3" t="str">
        <x:v>Bounded search ledger and independent identity/quote/entailment/treatment/applicability checks</x:v>
      </x:c>
    </x:row>
    <x:row r="201" ht="40" customHeight="1">
      <x:c r="A201" s="14" t="str">
        <x:v>P21</x:v>
      </x:c>
      <x:c r="B201" s="14" t="str">
        <x:v>Separate discovery, identity and legal verification</x:v>
      </x:c>
      <x:c r="C201" s="14" t="str">
        <x:v>steps</x:v>
      </x:c>
      <x:c r="D201" s="14" t="n">
        <x:v>1</x:v>
      </x:c>
      <x:c r="E201" s="14" t="str">
        <x:v>Keep exact identity resolution distinct from hybrid candidate ranking; apply authorised scope before retrieval and return coverage/index identity.</x:v>
      </x:c>
    </x:row>
    <x:row r="202" ht="27" customHeight="1">
      <x:c r="A202" s="3" t="str">
        <x:v>P21</x:v>
      </x:c>
      <x:c r="B202" s="3" t="str">
        <x:v>Separate discovery, identity and legal verification</x:v>
      </x:c>
      <x:c r="C202" s="3" t="str">
        <x:v>steps</x:v>
      </x:c>
      <x:c r="D202" s="3" t="n">
        <x:v>2</x:v>
      </x:c>
      <x:c r="E202" s="3" t="str">
        <x:v>Persist consulted sources, adverse searches and stopping limits; attach selected authority to an issue with precise locators.</x:v>
      </x:c>
    </x:row>
    <x:row r="203" ht="40" customHeight="1">
      <x:c r="A203" s="14" t="str">
        <x:v>P21</x:v>
      </x:c>
      <x:c r="B203" s="14" t="str">
        <x:v>Separate discovery, identity and legal verification</x:v>
      </x:c>
      <x:c r="C203" s="14" t="str">
        <x:v>steps</x:v>
      </x:c>
      <x:c r="D203" s="14" t="n">
        <x:v>3</x:v>
      </x:c>
      <x:c r="E203" s="14" t="str">
        <x:v>Test correct quote with wrong applicability, broken index, unresolved citation and cross-tenant sentinel; qualified review scores legal conclusions, not retrieval rank.</x:v>
      </x:c>
    </x:row>
    <x:row r="204" ht="40" customHeight="1">
      <x:c r="A204" s="3" t="str">
        <x:v>P21</x:v>
      </x:c>
      <x:c r="B204" s="3" t="str">
        <x:v>Separate discovery, identity and legal verification</x:v>
      </x:c>
      <x:c r="C204" s="3" t="str">
        <x:v>steps</x:v>
      </x:c>
      <x:c r="D204" s="3" t="n">
        <x:v>4</x:v>
      </x:c>
      <x:c r="E204" s="3" t="str">
        <x:v>Implement case-level discovery then paragraph expansion, controlled court/date filters and grouped inspection; the browser proof must assert post-submission results/no-results/unavailable state, not static labels.</x:v>
      </x:c>
    </x:row>
    <x:row r="205" ht="55" customHeight="1">
      <x:c r="A205" s="14" t="str">
        <x:v>P21</x:v>
      </x:c>
      <x:c r="B205" s="14" t="str">
        <x:v>Separate discovery, identity and legal verification</x:v>
      </x:c>
      <x:c r="C205" s="14" t="str">
        <x:v>steps</x:v>
      </x:c>
      <x:c r="D205" s="14" t="n">
        <x:v>5</x:v>
      </x:c>
      <x:c r="E205"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6" ht="27" customHeight="1">
      <x:c r="A206" s="3" t="str">
        <x:v>P21</x:v>
      </x:c>
      <x:c r="B206" s="3" t="str">
        <x:v>Separate discovery, identity and legal verification</x:v>
      </x:c>
      <x:c r="C206" s="3" t="str">
        <x:v>expected</x:v>
      </x:c>
      <x:c r="D206" s="3" t="n">
        <x:v>1</x:v>
      </x:c>
      <x:c r="E206" s="3" t="str">
        <x:v>No hit is not absence of law; no negative-treatment search is not a clean bill.</x:v>
      </x:c>
    </x:row>
    <x:row r="207" ht="27" customHeight="1">
      <x:c r="A207" s="14" t="str">
        <x:v>P21</x:v>
      </x:c>
      <x:c r="B207" s="14" t="str">
        <x:v>Separate discovery, identity and legal verification</x:v>
      </x:c>
      <x:c r="C207" s="14" t="str">
        <x:v>expected</x:v>
      </x:c>
      <x:c r="D207" s="14" t="n">
        <x:v>2</x:v>
      </x:c>
      <x:c r="E207" s="14" t="str">
        <x:v>Canonical identity cannot be established by similarity or RRF score.</x:v>
      </x:c>
    </x:row>
    <x:row r="208" ht="27" customHeight="1">
      <x:c r="A208" s="3" t="str">
        <x:v>P21</x:v>
      </x:c>
      <x:c r="B208" s="3" t="str">
        <x:v>Separate discovery, identity and legal verification</x:v>
      </x:c>
      <x:c r="C208" s="3" t="str">
        <x:v>rollback</x:v>
      </x:c>
      <x:c r="D208" s="3" t="n">
        <x:v>1</x:v>
      </x:c>
      <x:c r="E208" s="3" t="str">
        <x:v>Disable incompatible index/processor and expose held-not-assessed state; never silently replace it with a different-recall scan.</x:v>
      </x:c>
    </x:row>
    <x:row r="209" ht="27" customHeight="1">
      <x:c r="A209" s="14" t="str">
        <x:v>P22</x:v>
      </x:c>
      <x:c r="B209" s="14" t="str">
        <x:v>Assess legal premises before conditional arithmetic</x:v>
      </x:c>
      <x:c r="C209" s="14" t="str">
        <x:v>inputs</x:v>
      </x:c>
      <x:c r="D209" s="14" t="n">
        <x:v>1</x:v>
      </x:c>
      <x:c r="E209" s="14" t="str">
        <x:v>Governing-law/accrual/forum hypotheses with identified primary sources</x:v>
      </x:c>
    </x:row>
    <x:row r="210" ht="27" customHeight="1">
      <x:c r="A210" s="3" t="str">
        <x:v>P22</x:v>
      </x:c>
      <x:c r="B210" s="3" t="str">
        <x:v>Assess legal premises before conditional arithmetic</x:v>
      </x:c>
      <x:c r="C210" s="3" t="str">
        <x:v>inputs</x:v>
      </x:c>
      <x:c r="D210" s="3" t="n">
        <x:v>2</x:v>
      </x:c>
      <x:c r="E210" s="3" t="str">
        <x:v>Same dates under alternative legally reviewed premises</x:v>
      </x:c>
    </x:row>
    <x:row r="211" ht="27" customHeight="1">
      <x:c r="A211" s="14" t="str">
        <x:v>P22</x:v>
      </x:c>
      <x:c r="B211" s="14" t="str">
        <x:v>Assess legal premises before conditional arithmetic</x:v>
      </x:c>
      <x:c r="C211" s="14" t="str">
        <x:v>outputs</x:v>
      </x:c>
      <x:c r="D211" s="14" t="n">
        <x:v>1</x:v>
      </x:c>
      <x:c r="E211" s="14" t="str">
        <x:v>Reviewable premise records and explicitly conditional computations</x:v>
      </x:c>
    </x:row>
    <x:row r="212" ht="27" customHeight="1">
      <x:c r="A212" s="3" t="str">
        <x:v>P22</x:v>
      </x:c>
      <x:c r="B212" s="3" t="str">
        <x:v>Assess legal premises before conditional arithmetic</x:v>
      </x:c>
      <x:c r="C212" s="3" t="str">
        <x:v>steps</x:v>
      </x:c>
      <x:c r="D212" s="3" t="n">
        <x:v>1</x:v>
      </x:c>
      <x:c r="E212" s="3" t="str">
        <x:v>Represent source, applicability, disputed premise and reviewer state separately from dates/period arithmetic.</x:v>
      </x:c>
    </x:row>
    <x:row r="213" ht="27" customHeight="1">
      <x:c r="A213" s="14" t="str">
        <x:v>P22</x:v>
      </x:c>
      <x:c r="B213" s="14" t="str">
        <x:v>Assess legal premises before conditional arithmetic</x:v>
      </x:c>
      <x:c r="C213" s="14" t="str">
        <x:v>steps</x:v>
      </x:c>
      <x:c r="D213" s="14" t="n">
        <x:v>2</x:v>
      </x:c>
      <x:c r="E213" s="14" t="str">
        <x:v>Require a selected or openly conditional legal premise before computing; preserve competing premises and controlling unknowns.</x:v>
      </x:c>
    </x:row>
    <x:row r="214" ht="40" customHeight="1">
      <x:c r="A214" s="3" t="str">
        <x:v>P22</x:v>
      </x:c>
      <x:c r="B214" s="3" t="str">
        <x:v>Assess legal premises before conditional arithmetic</x:v>
      </x:c>
      <x:c r="C214" s="3" t="str">
        <x:v>steps</x:v>
      </x:c>
      <x:c r="D214" s="3" t="n">
        <x:v>3</x:v>
      </x:c>
      <x:c r="E214" s="3" t="str">
        <x:v>Test identical arithmetic under wrong accrual, wrong forum and superseded law; changing a premise invalidates its dependent computation before release.</x:v>
      </x:c>
    </x:row>
    <x:row r="215" ht="40" customHeight="1">
      <x:c r="A215" s="14" t="str">
        <x:v>P22</x:v>
      </x:c>
      <x:c r="B215" s="14" t="str">
        <x:v>Assess legal premises before conditional arithmetic</x:v>
      </x:c>
      <x:c r="C215" s="14" t="str">
        <x:v>steps</x:v>
      </x:c>
      <x:c r="D215" s="14" t="n">
        <x:v>4</x:v>
      </x:c>
      <x:c r="E215" s="14" t="str">
        <x:v>Serve the cover, answer and deadline register from the same premise/calculation version; an inconsistency is explicit and cannot produce conflicting deadlines.</x:v>
      </x:c>
    </x:row>
    <x:row r="216" ht="55" customHeight="1">
      <x:c r="A216" s="3" t="str">
        <x:v>P22</x:v>
      </x:c>
      <x:c r="B216" s="3" t="str">
        <x:v>Assess legal premises before conditional arithmetic</x:v>
      </x:c>
      <x:c r="C216" s="3" t="str">
        <x:v>steps</x:v>
      </x:c>
      <x:c r="D216" s="3" t="n">
        <x:v>5</x:v>
      </x:c>
      <x:c r="E216"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7" ht="27" customHeight="1">
      <x:c r="A217" s="14" t="str">
        <x:v>P22</x:v>
      </x:c>
      <x:c r="B217" s="14" t="str">
        <x:v>Assess legal premises before conditional arithmetic</x:v>
      </x:c>
      <x:c r="C217" s="14" t="str">
        <x:v>expected</x:v>
      </x:c>
      <x:c r="D217" s="14" t="n">
        <x:v>1</x:v>
      </x:c>
      <x:c r="E217" s="14" t="str">
        <x:v>Correct arithmetic cannot certify applicable law.</x:v>
      </x:c>
    </x:row>
    <x:row r="218" ht="27" customHeight="1">
      <x:c r="A218" s="3" t="str">
        <x:v>P22</x:v>
      </x:c>
      <x:c r="B218" s="3" t="str">
        <x:v>Assess legal premises before conditional arithmetic</x:v>
      </x:c>
      <x:c r="C218" s="3" t="str">
        <x:v>expected</x:v>
      </x:c>
      <x:c r="D218" s="3" t="n">
        <x:v>2</x:v>
      </x:c>
      <x:c r="E218" s="3" t="str">
        <x:v>The first dated fact is not an automatic accrual trigger.</x:v>
      </x:c>
    </x:row>
    <x:row r="219" ht="27" customHeight="1">
      <x:c r="A219" s="14" t="str">
        <x:v>P22</x:v>
      </x:c>
      <x:c r="B219" s="14" t="str">
        <x:v>Assess legal premises before conditional arithmetic</x:v>
      </x:c>
      <x:c r="C219" s="14" t="str">
        <x:v>rollback</x:v>
      </x:c>
      <x:c r="D219" s="14" t="n">
        <x:v>1</x:v>
      </x:c>
      <x:c r="E219" s="14" t="str">
        <x:v>Withhold affected computations and show identified premise gaps; retain earlier computations as historical, not current advice.</x:v>
      </x:c>
    </x:row>
    <x:row r="220" ht="27" customHeight="1">
      <x:c r="A220" s="3" t="str">
        <x:v>P23</x:v>
      </x:c>
      <x:c r="B220" s="3" t="str">
        <x:v>Reason through relief and enforceability</x:v>
      </x:c>
      <x:c r="C220" s="3" t="str">
        <x:v>inputs</x:v>
      </x:c>
      <x:c r="D220" s="3" t="n">
        <x:v>1</x:v>
      </x:c>
      <x:c r="E220" s="3" t="str">
        <x:v>Same merits with unavailable, hollow, late or disproportionate relief</x:v>
      </x:c>
    </x:row>
    <x:row r="221" ht="27" customHeight="1">
      <x:c r="A221" s="14" t="str">
        <x:v>P23</x:v>
      </x:c>
      <x:c r="B221" s="14" t="str">
        <x:v>Reason through relief and enforceability</x:v>
      </x:c>
      <x:c r="C221" s="14" t="str">
        <x:v>outputs</x:v>
      </x:c>
      <x:c r="D221" s="14" t="n">
        <x:v>1</x:v>
      </x:c>
      <x:c r="E221" s="14" t="str">
        <x:v>Remedy constraints and enforceability basis linked to the objective</x:v>
      </x:c>
    </x:row>
    <x:row r="222" ht="40" customHeight="1">
      <x:c r="A222" s="3" t="str">
        <x:v>P23</x:v>
      </x:c>
      <x:c r="B222" s="3" t="str">
        <x:v>Reason through relief and enforceability</x:v>
      </x:c>
      <x:c r="C222" s="3" t="str">
        <x:v>steps</x:v>
      </x:c>
      <x:c r="D222" s="3" t="n">
        <x:v>1</x:v>
      </x:c>
      <x:c r="E222" s="3" t="str">
        <x:v>Add remedy availability, executable outcome, interim protection and proportionality to issue assessment without confusing merits with useful relief.</x:v>
      </x:c>
    </x:row>
    <x:row r="223" ht="27" customHeight="1">
      <x:c r="A223" s="14" t="str">
        <x:v>P23</x:v>
      </x:c>
      <x:c r="B223" s="14" t="str">
        <x:v>Reason through relief and enforceability</x:v>
      </x:c>
      <x:c r="C223" s="14" t="str">
        <x:v>steps</x:v>
      </x:c>
      <x:c r="D223" s="14" t="n">
        <x:v>2</x:v>
      </x:c>
      <x:c r="E223" s="14" t="str">
        <x:v>Connect asset/limitation/procedure uncertainty as attributed premises, not model guesses.</x:v>
      </x:c>
    </x:row>
    <x:row r="224" ht="40" customHeight="1">
      <x:c r="A224" s="3" t="str">
        <x:v>P23</x:v>
      </x:c>
      <x:c r="B224" s="3" t="str">
        <x:v>Reason through relief and enforceability</x:v>
      </x:c>
      <x:c r="C224" s="3" t="str">
        <x:v>steps</x:v>
      </x:c>
      <x:c r="D224" s="3" t="n">
        <x:v>3</x:v>
      </x:c>
      <x:c r="E224" s="3" t="str">
        <x:v>Compare the controlled same-merits variants; counsel verifies recommendation changes for the remedy reason and not unrelated narrative drift.</x:v>
      </x:c>
    </x:row>
    <x:row r="225" ht="70" customHeight="1">
      <x:c r="A225" s="14" t="str">
        <x:v>P23</x:v>
      </x:c>
      <x:c r="B225" s="14" t="str">
        <x:v>Reason through relief and enforceability</x:v>
      </x:c>
      <x:c r="C225" s="14" t="str">
        <x:v>steps</x:v>
      </x:c>
      <x:c r="D225" s="14" t="n">
        <x:v>4</x:v>
      </x:c>
      <x:c r="E225"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6" ht="27" customHeight="1">
      <x:c r="A226" s="3" t="str">
        <x:v>P23</x:v>
      </x:c>
      <x:c r="B226" s="3" t="str">
        <x:v>Reason through relief and enforceability</x:v>
      </x:c>
      <x:c r="C226" s="3" t="str">
        <x:v>expected</x:v>
      </x:c>
      <x:c r="D226" s="3" t="n">
        <x:v>1</x:v>
      </x:c>
      <x:c r="E226" s="3" t="str">
        <x:v>A legally arguable case with useless relief is not automatically recommended.</x:v>
      </x:c>
    </x:row>
    <x:row r="227" ht="27" customHeight="1">
      <x:c r="A227" s="14" t="str">
        <x:v>P23</x:v>
      </x:c>
      <x:c r="B227" s="14" t="str">
        <x:v>Reason through relief and enforceability</x:v>
      </x:c>
      <x:c r="C227" s="14" t="str">
        <x:v>expected</x:v>
      </x:c>
      <x:c r="D227" s="14" t="n">
        <x:v>2</x:v>
      </x:c>
      <x:c r="E227" s="14" t="str">
        <x:v>Unknown enforceability is disclosed and assigned a useful next inquiry.</x:v>
      </x:c>
    </x:row>
    <x:row r="228" ht="27" customHeight="1">
      <x:c r="A228" s="3" t="str">
        <x:v>P23</x:v>
      </x:c>
      <x:c r="B228" s="3" t="str">
        <x:v>Reason through relief and enforceability</x:v>
      </x:c>
      <x:c r="C228" s="3" t="str">
        <x:v>rollback</x:v>
      </x:c>
      <x:c r="D228" s="3" t="n">
        <x:v>1</x:v>
      </x:c>
      <x:c r="E228" s="3" t="str">
        <x:v>Fall back to qualified limited merits analysis with relief unassessed; do not preserve a full recommendation from incomplete remedy work.</x:v>
      </x:c>
    </x:row>
    <x:row r="229" ht="27" customHeight="1">
      <x:c r="A229" s="14" t="str">
        <x:v>P24</x:v>
      </x:c>
      <x:c r="B229" s="14" t="str">
        <x:v>Ask the smallest useful question and stop repeated gaps</x:v>
      </x:c>
      <x:c r="C229" s="14" t="str">
        <x:v>inputs</x:v>
      </x:c>
      <x:c r="D229" s="14" t="n">
        <x:v>1</x:v>
      </x:c>
      <x:c r="E229" s="14" t="str">
        <x:v>Brief with answered question, contradictory material, unavailable document and changed objective</x:v>
      </x:c>
    </x:row>
    <x:row r="230" ht="27" customHeight="1">
      <x:c r="A230" s="3" t="str">
        <x:v>P24</x:v>
      </x:c>
      <x:c r="B230" s="3" t="str">
        <x:v>Ask the smallest useful question and stop repeated gaps</x:v>
      </x:c>
      <x:c r="C230" s="3" t="str">
        <x:v>outputs</x:v>
      </x:c>
      <x:c r="D230" s="3" t="n">
        <x:v>1</x:v>
      </x:c>
      <x:c r="E230" s="3" t="str">
        <x:v>Versioned briefing state with question purpose, answer status, pause/resume and readiness</x:v>
      </x:c>
    </x:row>
    <x:row r="231" ht="27" customHeight="1">
      <x:c r="A231" s="14" t="str">
        <x:v>P24</x:v>
      </x:c>
      <x:c r="B231" s="14" t="str">
        <x:v>Ask the smallest useful question and stop repeated gaps</x:v>
      </x:c>
      <x:c r="C231" s="14" t="str">
        <x:v>steps</x:v>
      </x:c>
      <x:c r="D231" s="14" t="n">
        <x:v>1</x:v>
      </x:c>
      <x:c r="E231" s="14" t="str">
        <x:v>Retrieve accessible authorised existing material before asking; store the decision the question may change and which gap it addresses.</x:v>
      </x:c>
    </x:row>
    <x:row r="232" ht="40" customHeight="1">
      <x:c r="A232" s="3" t="str">
        <x:v>P24</x:v>
      </x:c>
      <x:c r="B232" s="3" t="str">
        <x:v>Ask the smallest useful question and stop repeated gaps</x:v>
      </x:c>
      <x:c r="C232" s="3" t="str">
        <x:v>steps</x:v>
      </x:c>
      <x:c r="D232" s="3" t="n">
        <x:v>2</x:v>
      </x:c>
      <x:c r="E232" s="3" t="str">
        <x:v>Allow answer, correction, not known, unavailable, pause and narrowed scope; bind resumption to new evidence or an explicit review trigger.</x:v>
      </x:c>
    </x:row>
    <x:row r="233" ht="40" customHeight="1">
      <x:c r="A233" s="14" t="str">
        <x:v>P24</x:v>
      </x:c>
      <x:c r="B233" s="14" t="str">
        <x:v>Ask the smallest useful question and stop repeated gaps</x:v>
      </x:c>
      <x:c r="C233" s="14" t="str">
        <x:v>steps</x:v>
      </x:c>
      <x:c r="D233" s="14" t="n">
        <x:v>3</x:v>
      </x:c>
      <x:c r="E233" s="14" t="str">
        <x:v>Plant a known-answer repeat and an unavailable-gap loop; neither may claim complete intake or repeat indefinitely; demonstrate a useful limited next step.</x:v>
      </x:c>
    </x:row>
    <x:row r="234" ht="40" customHeight="1">
      <x:c r="A234" s="3" t="str">
        <x:v>P24</x:v>
      </x:c>
      <x:c r="B234" s="3" t="str">
        <x:v>Ask the smallest useful question and stop repeated gaps</x:v>
      </x:c>
      <x:c r="C234" s="3" t="str">
        <x:v>steps</x:v>
      </x:c>
      <x:c r="D234" s="3" t="n">
        <x:v>4</x:v>
      </x:c>
      <x:c r="E234" s="3" t="str">
        <x:v>Integrate the adaptive lead's next-step proposals with the existing briefing boundary. Use already authorised held answers, react to a changed objective and preserve unavailable gaps. P46 is scoped runtime evidence, not full BK-91 completion.</x:v>
      </x:c>
    </x:row>
    <x:row r="235" ht="27" customHeight="1">
      <x:c r="A235" s="14" t="str">
        <x:v>P24</x:v>
      </x:c>
      <x:c r="B235" s="14" t="str">
        <x:v>Ask the smallest useful question and stop repeated gaps</x:v>
      </x:c>
      <x:c r="C235" s="14" t="str">
        <x:v>expected</x:v>
      </x:c>
      <x:c r="D235" s="14" t="n">
        <x:v>1</x:v>
      </x:c>
      <x:c r="E235" s="14" t="str">
        <x:v>Controlling unresolved gap prevents completion, not all useful assistance.</x:v>
      </x:c>
    </x:row>
    <x:row r="236" ht="27" customHeight="1">
      <x:c r="A236" s="3" t="str">
        <x:v>P24</x:v>
      </x:c>
      <x:c r="B236" s="3" t="str">
        <x:v>Ask the smallest useful question and stop repeated gaps</x:v>
      </x:c>
      <x:c r="C236" s="3" t="str">
        <x:v>expected</x:v>
      </x:c>
      <x:c r="D236" s="3" t="n">
        <x:v>2</x:v>
      </x:c>
      <x:c r="E236" s="3" t="str">
        <x:v>Accepted input survives interrupt/retry and questions do not rely on inaccessible material.</x:v>
      </x:c>
    </x:row>
    <x:row r="237" ht="40" customHeight="1">
      <x:c r="A237" s="14" t="str">
        <x:v>P24</x:v>
      </x:c>
      <x:c r="B237" s="14" t="str">
        <x:v>Ask the smallest useful question and stop repeated gaps</x:v>
      </x:c>
      <x:c r="C237" s="14" t="str">
        <x:v>rollback</x:v>
      </x:c>
      <x:c r="D237" s="14" t="n">
        <x:v>1</x:v>
      </x:c>
      <x:c r="E237" s="14" t="str">
        <x:v>Disable automatic questioning and retain collected facts/gap statuses; offer explicit pause/manual scoped review without a false complete badge.</x:v>
      </x:c>
    </x:row>
    <x:row r="238" ht="27" customHeight="1">
      <x:c r="A238" s="3" t="str">
        <x:v>P25</x:v>
      </x:c>
      <x:c r="B238" s="3" t="str">
        <x:v>Join mixed-media briefing to attribution and deletion</x:v>
      </x:c>
      <x:c r="C238" s="3" t="str">
        <x:v>inputs</x:v>
      </x:c>
      <x:c r="D238" s="3" t="n">
        <x:v>1</x:v>
      </x:c>
      <x:c r="E238" s="3" t="str">
        <x:v>One mixed brief with original scan, voice correction, rejected derivative and cancellation</x:v>
      </x:c>
    </x:row>
    <x:row r="239" ht="27" customHeight="1">
      <x:c r="A239" s="14" t="str">
        <x:v>P25</x:v>
      </x:c>
      <x:c r="B239" s="14" t="str">
        <x:v>Join mixed-media briefing to attribution and deletion</x:v>
      </x:c>
      <x:c r="C239" s="14" t="str">
        <x:v>outputs</x:v>
      </x:c>
      <x:c r="D239" s="14" t="n">
        <x:v>1</x:v>
      </x:c>
      <x:c r="E239" s="14" t="str">
        <x:v>End-to-end original/derivative/processor/retention lineage through the served briefing</x:v>
      </x:c>
    </x:row>
    <x:row r="240" ht="27" customHeight="1">
      <x:c r="A240" s="3" t="str">
        <x:v>P25</x:v>
      </x:c>
      <x:c r="B240" s="3" t="str">
        <x:v>Join mixed-media briefing to attribution and deletion</x:v>
      </x:c>
      <x:c r="C240" s="3" t="str">
        <x:v>steps</x:v>
      </x:c>
      <x:c r="D240" s="3" t="n">
        <x:v>1</x:v>
      </x:c>
      <x:c r="E240" s="3" t="str">
        <x:v>Link admitted source versions to proposition versions and actual briefing context; acknowledge unread items without using them.</x:v>
      </x:c>
    </x:row>
    <x:row r="241" ht="40" customHeight="1">
      <x:c r="A241" s="14" t="str">
        <x:v>P25</x:v>
      </x:c>
      <x:c r="B241" s="14" t="str">
        <x:v>Join mixed-media briefing to attribution and deletion</x:v>
      </x:c>
      <x:c r="C241" s="14" t="str">
        <x:v>steps</x:v>
      </x:c>
      <x:c r="D241" s="14" t="n">
        <x:v>2</x:v>
      </x:c>
      <x:c r="E241" s="14" t="str">
        <x:v>Carry cancel/retry/logout/deletion through pending uploads, jobs, temp objects, derivatives, browser state and processor acknowledgements.</x:v>
      </x:c>
    </x:row>
    <x:row r="242" ht="40" customHeight="1">
      <x:c r="A242" s="3" t="str">
        <x:v>P25</x:v>
      </x:c>
      <x:c r="B242" s="3" t="str">
        <x:v>Join mixed-media briefing to attribution and deletion</x:v>
      </x:c>
      <x:c r="C242" s="3" t="str">
        <x:v>steps</x:v>
      </x:c>
      <x:c r="D242" s="3" t="n">
        <x:v>3</x:v>
      </x:c>
      <x:c r="E242" s="3" t="str">
        <x:v>Inspect a page and timestamp behind a correction, then cancel and log out; re-enter and enumerate every retained/erased component with its reason.</x:v>
      </x:c>
    </x:row>
    <x:row r="243" ht="55" customHeight="1">
      <x:c r="A243" s="14" t="str">
        <x:v>P25</x:v>
      </x:c>
      <x:c r="B243" s="14" t="str">
        <x:v>Join mixed-media briefing to attribution and deletion</x:v>
      </x:c>
      <x:c r="C243" s="14" t="str">
        <x:v>steps</x:v>
      </x:c>
      <x:c r="D243" s="14" t="n">
        <x:v>4</x:v>
      </x:c>
      <x:c r="E243"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4" ht="40" customHeight="1">
      <x:c r="A244" s="3" t="str">
        <x:v>P25</x:v>
      </x:c>
      <x:c r="B244" s="3" t="str">
        <x:v>Join mixed-media briefing to attribution and deletion</x:v>
      </x:c>
      <x:c r="C244" s="3" t="str">
        <x:v>steps</x:v>
      </x:c>
      <x:c r="D244" s="3" t="n">
        <x:v>5</x:v>
      </x:c>
      <x:c r="E244" s="3" t="str">
        <x:v>Plant forbidden requests and nested response derivatives and inspect logs, cache, storage, reasoning and UI for leakage. Keep the real confidential route disabled until BK-88-AC4's configuration-specific proof; synthetic integration does not activate it.</x:v>
      </x:c>
    </x:row>
    <x:row r="245" ht="55" customHeight="1">
      <x:c r="A245" s="14" t="str">
        <x:v>P25</x:v>
      </x:c>
      <x:c r="B245" s="14" t="str">
        <x:v>Join mixed-media briefing to attribution and deletion</x:v>
      </x:c>
      <x:c r="C245" s="14" t="str">
        <x:v>steps</x:v>
      </x:c>
      <x:c r="D245" s="14" t="n">
        <x:v>6</x:v>
      </x:c>
      <x:c r="E245"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6" ht="27" customHeight="1">
      <x:c r="A246" s="3" t="str">
        <x:v>P25</x:v>
      </x:c>
      <x:c r="B246" s="3" t="str">
        <x:v>Join mixed-media briefing to attribution and deletion</x:v>
      </x:c>
      <x:c r="C246" s="3" t="str">
        <x:v>expected</x:v>
      </x:c>
      <x:c r="D246" s="3" t="n">
        <x:v>1</x:v>
      </x:c>
      <x:c r="E246" s="3" t="str">
        <x:v>BK-79 is integrated M08 work, never a prerequisite of M03 foundation.</x:v>
      </x:c>
    </x:row>
    <x:row r="247" ht="27" customHeight="1">
      <x:c r="A247" s="14" t="str">
        <x:v>P25</x:v>
      </x:c>
      <x:c r="B247" s="14" t="str">
        <x:v>Join mixed-media briefing to attribution and deletion</x:v>
      </x:c>
      <x:c r="C247" s="14" t="str">
        <x:v>expected</x:v>
      </x:c>
      <x:c r="D247" s="14" t="n">
        <x:v>2</x:v>
      </x:c>
      <x:c r="E247" s="14" t="str">
        <x:v>No orphaned privileged material or next-user pending intake leak; any retained exception is explicit.</x:v>
      </x:c>
    </x:row>
    <x:row r="248" ht="40" customHeight="1">
      <x:c r="A248" s="3" t="str">
        <x:v>P25</x:v>
      </x:c>
      <x:c r="B248" s="3" t="str">
        <x:v>Join mixed-media briefing to attribution and deletion</x:v>
      </x:c>
      <x:c r="C248" s="3" t="str">
        <x:v>rollback</x:v>
      </x:c>
      <x:c r="D248" s="3" t="n">
        <x:v>1</x:v>
      </x:c>
      <x:c r="E248" s="3" t="str">
        <x:v>Stop new mixed-media briefs and processing; reconcile retained assets/jobs under policy, keeping accepted authoritative records and original custody.</x:v>
      </x:c>
    </x:row>
    <x:row r="249" ht="27" customHeight="1">
      <x:c r="A249" s="14" t="str">
        <x:v>P26</x:v>
      </x:c>
      <x:c r="B249" s="14" t="str">
        <x:v>Release advice at truthful maturity</x:v>
      </x:c>
      <x:c r="C249" s="14" t="str">
        <x:v>inputs</x:v>
      </x:c>
      <x:c r="D249" s="14" t="n">
        <x:v>1</x:v>
      </x:c>
      <x:c r="E249" s="14" t="str">
        <x:v>Same task at each applicable AM maturity plus truncated/withheld output</x:v>
      </x:c>
    </x:row>
    <x:row r="250" ht="27" customHeight="1">
      <x:c r="A250" s="3" t="str">
        <x:v>P26</x:v>
      </x:c>
      <x:c r="B250" s="3" t="str">
        <x:v>Release advice at truthful maturity</x:v>
      </x:c>
      <x:c r="C250" s="3" t="str">
        <x:v>outputs</x:v>
      </x:c>
      <x:c r="D250" s="3" t="n">
        <x:v>1</x:v>
      </x:c>
      <x:c r="E250" s="3" t="str">
        <x:v>Versioned answer with conclusion, support, limits and next action appropriate to maturity</x:v>
      </x:c>
    </x:row>
    <x:row r="251" ht="27" customHeight="1">
      <x:c r="A251" s="14" t="str">
        <x:v>P26</x:v>
      </x:c>
      <x:c r="B251" s="14" t="str">
        <x:v>Release advice at truthful maturity</x:v>
      </x:c>
      <x:c r="C251" s="14" t="str">
        <x:v>steps</x:v>
      </x:c>
      <x:c r="D251" s="14" t="n">
        <x:v>1</x:v>
      </x:c>
      <x:c r="E251" s="14" t="str">
        <x:v>Derive maturity from task prerequisites; present concise conclusion and optional basis without changing substance between views.</x:v>
      </x:c>
    </x:row>
    <x:row r="252" ht="27" customHeight="1">
      <x:c r="A252" s="3" t="str">
        <x:v>P26</x:v>
      </x:c>
      <x:c r="B252" s="3" t="str">
        <x:v>Release advice at truthful maturity</x:v>
      </x:c>
      <x:c r="C252" s="3" t="str">
        <x:v>steps</x:v>
      </x:c>
      <x:c r="D252" s="3" t="n">
        <x:v>2</x:v>
      </x:c>
      <x:c r="E252" s="3" t="str">
        <x:v>Keep withheld/incomplete results out of the normal recommendation renderer and enforce checks before served bytes.</x:v>
      </x:c>
    </x:row>
    <x:row r="253" ht="40" customHeight="1">
      <x:c r="A253" s="14" t="str">
        <x:v>P26</x:v>
      </x:c>
      <x:c r="B253" s="14" t="str">
        <x:v>Release advice at truthful maturity</x:v>
      </x:c>
      <x:c r="C253" s="14" t="str">
        <x:v>steps</x:v>
      </x:c>
      <x:c r="D253" s="14" t="n">
        <x:v>3</x:v>
      </x:c>
      <x:c r="E253" s="14" t="str">
        <x:v>Ask for certainty despite missing evidence; inspect source links and truncation recovery rather than allowing cosmetic prose to imply completion.</x:v>
      </x:c>
    </x:row>
    <x:row r="254" ht="40" customHeight="1">
      <x:c r="A254" s="3" t="str">
        <x:v>P26</x:v>
      </x:c>
      <x:c r="B254" s="3" t="str">
        <x:v>Release advice at truthful maturity</x:v>
      </x:c>
      <x:c r="C254" s="3" t="str">
        <x:v>steps</x:v>
      </x:c>
      <x:c r="D254" s="3" t="n">
        <x:v>4</x:v>
      </x:c>
      <x:c r="E254" s="3" t="str">
        <x:v>Check every section and order applicable to the served answer contract, including courtesy-only responses; never substitute an arbitrary two-heading minimum.</x:v>
      </x:c>
    </x:row>
    <x:row r="255" ht="55" customHeight="1">
      <x:c r="A255" s="14" t="str">
        <x:v>P26</x:v>
      </x:c>
      <x:c r="B255" s="14" t="str">
        <x:v>Release advice at truthful maturity</x:v>
      </x:c>
      <x:c r="C255" s="14" t="str">
        <x:v>steps</x:v>
      </x:c>
      <x:c r="D255" s="14" t="n">
        <x:v>5</x:v>
      </x:c>
      <x:c r="E255"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6" ht="27" customHeight="1">
      <x:c r="A256" s="3" t="str">
        <x:v>P26</x:v>
      </x:c>
      <x:c r="B256" s="3" t="str">
        <x:v>Release advice at truthful maturity</x:v>
      </x:c>
      <x:c r="C256" s="3" t="str">
        <x:v>expected</x:v>
      </x:c>
      <x:c r="D256" s="3" t="n">
        <x:v>1</x:v>
      </x:c>
      <x:c r="E256" s="3" t="str">
        <x:v>Every counsel-facing answer declares what level it earns.</x:v>
      </x:c>
    </x:row>
    <x:row r="257" ht="27" customHeight="1">
      <x:c r="A257" s="14" t="str">
        <x:v>P26</x:v>
      </x:c>
      <x:c r="B257" s="14" t="str">
        <x:v>Release advice at truthful maturity</x:v>
      </x:c>
      <x:c r="C257" s="14" t="str">
        <x:v>expected</x:v>
      </x:c>
      <x:c r="D257" s="14" t="n">
        <x:v>2</x:v>
      </x:c>
      <x:c r="E257" s="14" t="str">
        <x:v>A short answer remains useful without hiding a material reservation.</x:v>
      </x:c>
    </x:row>
    <x:row r="258" ht="27" customHeight="1">
      <x:c r="A258" s="3" t="str">
        <x:v>P26</x:v>
      </x:c>
      <x:c r="B258" s="3" t="str">
        <x:v>Release advice at truthful maturity</x:v>
      </x:c>
      <x:c r="C258" s="3" t="str">
        <x:v>rollback</x:v>
      </x:c>
      <x:c r="D258" s="3" t="n">
        <x:v>1</x:v>
      </x:c>
      <x:c r="E258" s="3" t="str">
        <x:v>Disable affected advice surface and show safe incomplete state with accepted work preserved; do not relabel old advice as fresh.</x:v>
      </x:c>
    </x:row>
    <x:row r="259" ht="27" customHeight="1">
      <x:c r="A259" s="14" t="str">
        <x:v>P27</x:v>
      </x:c>
      <x:c r="B259" s="14" t="str">
        <x:v>Compare practical options and record authorised decisions</x:v>
      </x:c>
      <x:c r="C259" s="14" t="str">
        <x:v>inputs</x:v>
      </x:c>
      <x:c r="D259" s="14" t="n">
        <x:v>1</x:v>
      </x:c>
      <x:c r="E259" s="14" t="str">
        <x:v>Client objective and cost/time/disruption constraints; lawful alternatives and adverse material</x:v>
      </x:c>
    </x:row>
    <x:row r="260" ht="27" customHeight="1">
      <x:c r="A260" s="3" t="str">
        <x:v>P27</x:v>
      </x:c>
      <x:c r="B260" s="3" t="str">
        <x:v>Compare practical options and record authorised decisions</x:v>
      </x:c>
      <x:c r="C260" s="3" t="str">
        <x:v>outputs</x:v>
      </x:c>
      <x:c r="D260" s="3" t="n">
        <x:v>1</x:v>
      </x:c>
      <x:c r="E260" s="3" t="str">
        <x:v>Version-bound options comparison, respectful disagreement and attributed decision record</x:v>
      </x:c>
    </x:row>
    <x:row r="261" ht="40" customHeight="1">
      <x:c r="A261" s="14" t="str">
        <x:v>P27</x:v>
      </x:c>
      <x:c r="B261" s="14" t="str">
        <x:v>Compare practical options and record authorised decisions</x:v>
      </x:c>
      <x:c r="C261" s="14" t="str">
        <x:v>steps</x:v>
      </x:c>
      <x:c r="D261" s="14" t="n">
        <x:v>1</x:v>
      </x:c>
      <x:c r="E261" s="14" t="str">
        <x:v>Compare remedy, enforceability, cost, time, proportionality, settlement and doing nothing; separate known figures from estimates and missing inputs.</x:v>
      </x:c>
    </x:row>
    <x:row r="262" ht="27" customHeight="1">
      <x:c r="A262" s="3" t="str">
        <x:v>P27</x:v>
      </x:c>
      <x:c r="B262" s="3" t="str">
        <x:v>Compare practical options and record authorised decisions</x:v>
      </x:c>
      <x:c r="C262" s="3" t="str">
        <x:v>steps</x:v>
      </x:c>
      <x:c r="D262" s="3" t="n">
        <x:v>2</x:v>
      </x:c>
      <x:c r="E262" s="3" t="str">
        <x:v>Record accept/reject/narrow/defer with actor, scope, advice version, owner and review trigger; this does not authorise external action.</x:v>
      </x:c>
    </x:row>
    <x:row r="263" ht="27" customHeight="1">
      <x:c r="A263" s="14" t="str">
        <x:v>P27</x:v>
      </x:c>
      <x:c r="B263" s="14" t="str">
        <x:v>Compare practical options and record authorised decisions</x:v>
      </x:c>
      <x:c r="C263" s="14" t="str">
        <x:v>steps</x:v>
      </x:c>
      <x:c r="D263" s="14" t="n">
        <x:v>3</x:v>
      </x:c>
      <x:c r="E263" s="14" t="str">
        <x:v>Change resource constraints, insist on overconfidence and attempt another role's decision; show reasoned change/refusal without coercion.</x:v>
      </x:c>
    </x:row>
    <x:row r="264" ht="55" customHeight="1">
      <x:c r="A264" s="3" t="str">
        <x:v>P27</x:v>
      </x:c>
      <x:c r="B264" s="3" t="str">
        <x:v>Compare practical options and record authorised decisions</x:v>
      </x:c>
      <x:c r="C264" s="3" t="str">
        <x:v>steps</x:v>
      </x:c>
      <x:c r="D264" s="3" t="n">
        <x:v>4</x:v>
      </x:c>
      <x:c r="E264"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5" ht="27" customHeight="1">
      <x:c r="A265" s="14" t="str">
        <x:v>P27</x:v>
      </x:c>
      <x:c r="B265" s="14" t="str">
        <x:v>Compare practical options and record authorised decisions</x:v>
      </x:c>
      <x:c r="C265" s="14" t="str">
        <x:v>expected</x:v>
      </x:c>
      <x:c r="D265" s="14" t="n">
        <x:v>1</x:v>
      </x:c>
      <x:c r="E265" s="14" t="str">
        <x:v>Recommendations respond to objective and practical constraints.</x:v>
      </x:c>
    </x:row>
    <x:row r="266" ht="27" customHeight="1">
      <x:c r="A266" s="3" t="str">
        <x:v>P27</x:v>
      </x:c>
      <x:c r="B266" s="3" t="str">
        <x:v>Compare practical options and record authorised decisions</x:v>
      </x:c>
      <x:c r="C266" s="3" t="str">
        <x:v>expected</x:v>
      </x:c>
      <x:c r="D266" s="3" t="n">
        <x:v>2</x:v>
      </x:c>
      <x:c r="E266" s="3" t="str">
        <x:v>Material adverse facts/law remain visible and decisions survive reload with exact version.</x:v>
      </x:c>
    </x:row>
    <x:row r="267" ht="27" customHeight="1">
      <x:c r="A267" s="14" t="str">
        <x:v>P27</x:v>
      </x:c>
      <x:c r="B267" s="14" t="str">
        <x:v>Compare practical options and record authorised decisions</x:v>
      </x:c>
      <x:c r="C267" s="14" t="str">
        <x:v>rollback</x:v>
      </x:c>
      <x:c r="D267" s="14" t="n">
        <x:v>1</x:v>
      </x:c>
      <x:c r="E267" s="14" t="str">
        <x:v>Disable new decision writes while preserving accepted records; supersede incorrect decisions explicitly, never edit history in place.</x:v>
      </x:c>
    </x:row>
    <x:row r="268" ht="27" customHeight="1">
      <x:c r="A268" s="3" t="str">
        <x:v>P28</x:v>
      </x:c>
      <x:c r="B268" s="3" t="str">
        <x:v>Reopen advice only where changed instructions require it</x:v>
      </x:c>
      <x:c r="C268" s="3" t="str">
        <x:v>inputs</x:v>
      </x:c>
      <x:c r="D268" s="3" t="n">
        <x:v>1</x:v>
      </x:c>
      <x:c r="E268" s="3" t="str">
        <x:v>Approved decision and two independent advice branches</x:v>
      </x:c>
    </x:row>
    <x:row r="269" ht="27" customHeight="1">
      <x:c r="A269" s="14" t="str">
        <x:v>P28</x:v>
      </x:c>
      <x:c r="B269" s="14" t="str">
        <x:v>Reopen advice only where changed instructions require it</x:v>
      </x:c>
      <x:c r="C269" s="14" t="str">
        <x:v>outputs</x:v>
      </x:c>
      <x:c r="D269" s="14" t="n">
        <x:v>1</x:v>
      </x:c>
      <x:c r="E269" s="14" t="str">
        <x:v>Visible stale advice/decision state and targeted review task</x:v>
      </x:c>
    </x:row>
    <x:row r="270" ht="27" customHeight="1">
      <x:c r="A270" s="3" t="str">
        <x:v>P28</x:v>
      </x:c>
      <x:c r="B270" s="3" t="str">
        <x:v>Reopen advice only where changed instructions require it</x:v>
      </x:c>
      <x:c r="C270" s="3" t="str">
        <x:v>steps</x:v>
      </x:c>
      <x:c r="D270" s="3" t="n">
        <x:v>1</x:v>
      </x:c>
      <x:c r="E270" s="3" t="str">
        <x:v>Connect commission withdrawal and corrected predicates to advice/decision dependencies.</x:v>
      </x:c>
    </x:row>
    <x:row r="271" ht="27" customHeight="1">
      <x:c r="A271" s="14" t="str">
        <x:v>P28</x:v>
      </x:c>
      <x:c r="B271" s="14" t="str">
        <x:v>Reopen advice only where changed instructions require it</x:v>
      </x:c>
      <x:c r="C271" s="14" t="str">
        <x:v>steps</x:v>
      </x:c>
      <x:c r="D271" s="14" t="n">
        <x:v>2</x:v>
      </x:c>
      <x:c r="E271" s="14" t="str">
        <x:v>Invalidate dependent approval/current labels immediately, preserving prior recommendation and the reason.</x:v>
      </x:c>
    </x:row>
    <x:row r="272" ht="27" customHeight="1">
      <x:c r="A272" s="3" t="str">
        <x:v>P28</x:v>
      </x:c>
      <x:c r="B272" s="3" t="str">
        <x:v>Reopen advice only where changed instructions require it</x:v>
      </x:c>
      <x:c r="C272" s="3" t="str">
        <x:v>steps</x:v>
      </x:c>
      <x:c r="D272" s="3" t="n">
        <x:v>3</x:v>
      </x:c>
      <x:c r="E272" s="3" t="str">
        <x:v>Change one premise while a second tab is open; check both current projection and direct API, then perform only required reassessment.</x:v>
      </x:c>
    </x:row>
    <x:row r="273" ht="27" customHeight="1">
      <x:c r="A273" s="14" t="str">
        <x:v>P28</x:v>
      </x:c>
      <x:c r="B273" s="14" t="str">
        <x:v>Reopen advice only where changed instructions require it</x:v>
      </x:c>
      <x:c r="C273" s="14" t="str">
        <x:v>expected</x:v>
      </x:c>
      <x:c r="D273" s="14" t="n">
        <x:v>1</x:v>
      </x:c>
      <x:c r="E273" s="14" t="str">
        <x:v>Affected stale advice cannot be approved or acted on.</x:v>
      </x:c>
    </x:row>
    <x:row r="274" ht="27" customHeight="1">
      <x:c r="A274" s="3" t="str">
        <x:v>P28</x:v>
      </x:c>
      <x:c r="B274" s="3" t="str">
        <x:v>Reopen advice only where changed instructions require it</x:v>
      </x:c>
      <x:c r="C274" s="3" t="str">
        <x:v>expected</x:v>
      </x:c>
      <x:c r="D274" s="3" t="n">
        <x:v>2</x:v>
      </x:c>
      <x:c r="E274" s="3" t="str">
        <x:v>Independent advice stays available and its freshness basis is inspectable.</x:v>
      </x:c>
    </x:row>
    <x:row r="275" ht="27" customHeight="1">
      <x:c r="A275" s="14" t="str">
        <x:v>P28</x:v>
      </x:c>
      <x:c r="B275" s="14" t="str">
        <x:v>Reopen advice only where changed instructions require it</x:v>
      </x:c>
      <x:c r="C275" s="14" t="str">
        <x:v>rollback</x:v>
      </x:c>
      <x:c r="D275" s="14" t="n">
        <x:v>1</x:v>
      </x:c>
      <x:c r="E275" s="14" t="str">
        <x:v>Block affected approval/actions until dependency reconciliation; keep version history and do not make all work current to recover UI.</x:v>
      </x:c>
    </x:row>
    <x:row r="276" ht="27" customHeight="1">
      <x:c r="A276" s="3" t="str">
        <x:v>P29</x:v>
      </x:c>
      <x:c r="B276" s="3" t="str">
        <x:v>Prepare and verify the exact drafting package</x:v>
      </x:c>
      <x:c r="C276" s="3" t="str">
        <x:v>inputs</x:v>
      </x:c>
      <x:c r="D276" s="3" t="n">
        <x:v>1</x:v>
      </x:c>
      <x:c r="E276" s="3" t="str">
        <x:v>Approved task objective, posture, theory, relief, audience, form, facts and source locators</x:v>
      </x:c>
    </x:row>
    <x:row r="277" ht="27" customHeight="1">
      <x:c r="A277" s="14" t="str">
        <x:v>P29</x:v>
      </x:c>
      <x:c r="B277" s="14" t="str">
        <x:v>Prepare and verify the exact drafting package</x:v>
      </x:c>
      <x:c r="C277" s="14" t="str">
        <x:v>outputs</x:v>
      </x:c>
      <x:c r="D277" s="14" t="n">
        <x:v>1</x:v>
      </x:c>
      <x:c r="E277" s="14" t="str">
        <x:v>Versioned draft brief, verified draft, marked blanks and exact export preview</x:v>
      </x:c>
    </x:row>
    <x:row r="278" ht="27" customHeight="1">
      <x:c r="A278" s="3" t="str">
        <x:v>P29</x:v>
      </x:c>
      <x:c r="B278" s="3" t="str">
        <x:v>Prepare and verify the exact drafting package</x:v>
      </x:c>
      <x:c r="C278" s="3" t="str">
        <x:v>steps</x:v>
      </x:c>
      <x:c r="D278" s="3" t="n">
        <x:v>1</x:v>
      </x:c>
      <x:c r="E278" s="3" t="str">
        <x:v>Build draft/review/export first; create an immutable task package with owner/deadline/gaps before generation.</x:v>
      </x:c>
    </x:row>
    <x:row r="279" ht="27" customHeight="1">
      <x:c r="A279" s="14" t="str">
        <x:v>P29</x:v>
      </x:c>
      <x:c r="B279" s="14" t="str">
        <x:v>Prepare and verify the exact drafting package</x:v>
      </x:c>
      <x:c r="C279" s="14" t="str">
        <x:v>steps</x:v>
      </x:c>
      <x:c r="D279" s="14" t="n">
        <x:v>2</x:v>
      </x:c>
      <x:c r="E279" s="14" t="str">
        <x:v>Check each material assertion, citation and annexure against the brief and source; retain blanks where information is absent.</x:v>
      </x:c>
    </x:row>
    <x:row r="280" ht="27" customHeight="1">
      <x:c r="A280" s="3" t="str">
        <x:v>P29</x:v>
      </x:c>
      <x:c r="B280" s="3" t="str">
        <x:v>Prepare and verify the exact drafting package</x:v>
      </x:c>
      <x:c r="C280" s="3" t="str">
        <x:v>steps</x:v>
      </x:c>
      <x:c r="D280" s="3" t="n">
        <x:v>3</x:v>
      </x:c>
      <x:c r="E280" s="3" t="str">
        <x:v>Edit substantive wording or annexures after approval and compare exported bytes; require new approval and show the diff.</x:v>
      </x:c>
    </x:row>
    <x:row r="281" ht="55" customHeight="1">
      <x:c r="A281" s="14" t="str">
        <x:v>P29</x:v>
      </x:c>
      <x:c r="B281" s="14" t="str">
        <x:v>Prepare and verify the exact drafting package</x:v>
      </x:c>
      <x:c r="C281" s="14" t="str">
        <x:v>steps</x:v>
      </x:c>
      <x:c r="D281" s="14" t="n">
        <x:v>4</x:v>
      </x:c>
      <x:c r="E281"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2" ht="27" customHeight="1">
      <x:c r="A282" s="3" t="str">
        <x:v>P29</x:v>
      </x:c>
      <x:c r="B282" s="3" t="str">
        <x:v>Prepare and verify the exact drafting package</x:v>
      </x:c>
      <x:c r="C282" s="3" t="str">
        <x:v>expected</x:v>
      </x:c>
      <x:c r="D282" s="3" t="n">
        <x:v>1</x:v>
      </x:c>
      <x:c r="E282" s="3" t="str">
        <x:v>Reviewed package identity matches export identity.</x:v>
      </x:c>
    </x:row>
    <x:row r="283" ht="27" customHeight="1">
      <x:c r="A283" s="14" t="str">
        <x:v>P29</x:v>
      </x:c>
      <x:c r="B283" s="14" t="str">
        <x:v>Prepare and verify the exact drafting package</x:v>
      </x:c>
      <x:c r="C283" s="14" t="str">
        <x:v>expected</x:v>
      </x:c>
      <x:c r="D283" s="14" t="n">
        <x:v>2</x:v>
      </x:c>
      <x:c r="E283" s="14" t="str">
        <x:v>Draft status is not sent/filed; scope and material blanks remain visible.</x:v>
      </x:c>
    </x:row>
    <x:row r="284" ht="40" customHeight="1">
      <x:c r="A284" s="3" t="str">
        <x:v>P29</x:v>
      </x:c>
      <x:c r="B284" s="3" t="str">
        <x:v>Prepare and verify the exact drafting package</x:v>
      </x:c>
      <x:c r="C284" s="3" t="str">
        <x:v>rollback</x:v>
      </x:c>
      <x:c r="D284" s="3" t="n">
        <x:v>1</x:v>
      </x:c>
      <x:c r="E284" s="3" t="str">
        <x:v>Disable export/action for affected draft versions and preserve prior packages; produce a corrected superseding version, not silent replacement.</x:v>
      </x:c>
    </x:row>
    <x:row r="285" ht="27" customHeight="1">
      <x:c r="A285" s="14" t="str">
        <x:v>P30</x:v>
      </x:c>
      <x:c r="B285" s="14" t="str">
        <x:v>Enforce action authority and reconcile uncertain delivery</x:v>
      </x:c>
      <x:c r="C285" s="14" t="str">
        <x:v>inputs</x:v>
      </x:c>
      <x:c r="D285" s="14" t="n">
        <x:v>1</x:v>
      </x:c>
      <x:c r="E285" s="14" t="str">
        <x:v>Approved exact package, authorised actor/destination/deadline and connector scope</x:v>
      </x:c>
    </x:row>
    <x:row r="286" ht="27" customHeight="1">
      <x:c r="A286" s="3" t="str">
        <x:v>P30</x:v>
      </x:c>
      <x:c r="B286" s="3" t="str">
        <x:v>Enforce action authority and reconcile uncertain delivery</x:v>
      </x:c>
      <x:c r="C286" s="3" t="str">
        <x:v>outputs</x:v>
      </x:c>
      <x:c r="D286" s="3" t="n">
        <x:v>1</x:v>
      </x:c>
      <x:c r="E286" s="3" t="str">
        <x:v>Durable action attempt/receipt ledger with unknown outcome</x:v>
      </x:c>
    </x:row>
    <x:row r="287" ht="27" customHeight="1">
      <x:c r="A287" s="14" t="str">
        <x:v>P30</x:v>
      </x:c>
      <x:c r="B287" s="14" t="str">
        <x:v>Enforce action authority and reconcile uncertain delivery</x:v>
      </x:c>
      <x:c r="C287" s="14" t="str">
        <x:v>steps</x:v>
      </x:c>
      <x:c r="D287" s="14" t="n">
        <x:v>1</x:v>
      </x:c>
      <x:c r="E287" s="14" t="str">
        <x:v>Keep external sending/filing disabled unless separately approved; manual receipt capture remains explicit when no connector exists.</x:v>
      </x:c>
    </x:row>
    <x:row r="288" ht="27" customHeight="1">
      <x:c r="A288" s="3" t="str">
        <x:v>P30</x:v>
      </x:c>
      <x:c r="B288" s="3" t="str">
        <x:v>Enforce action authority and reconcile uncertain delivery</x:v>
      </x:c>
      <x:c r="C288" s="3" t="str">
        <x:v>steps</x:v>
      </x:c>
      <x:c r="D288" s="3" t="n">
        <x:v>2</x:v>
      </x:c>
      <x:c r="E288" s="3" t="str">
        <x:v>Bind execution to current approval hash, actor, recipient and limits; check revocation immediately before effect.</x:v>
      </x:c>
    </x:row>
    <x:row r="289" ht="27" customHeight="1">
      <x:c r="A289" s="14" t="str">
        <x:v>P30</x:v>
      </x:c>
      <x:c r="B289" s="14" t="str">
        <x:v>Enforce action authority and reconcile uncertain delivery</x:v>
      </x:c>
      <x:c r="C289" s="14" t="str">
        <x:v>steps</x:v>
      </x:c>
      <x:c r="D289" s="14" t="n">
        <x:v>3</x:v>
      </x:c>
      <x:c r="E289" s="14" t="str">
        <x:v>Simulate timeout after acceptance, duplicate click, wrong recipient and changed approval; reconcile receipt before any retry.</x:v>
      </x:c>
    </x:row>
    <x:row r="290" ht="27" customHeight="1">
      <x:c r="A290" s="3" t="str">
        <x:v>P30</x:v>
      </x:c>
      <x:c r="B290" s="3" t="str">
        <x:v>Enforce action authority and reconcile uncertain delivery</x:v>
      </x:c>
      <x:c r="C290" s="3" t="str">
        <x:v>expected</x:v>
      </x:c>
      <x:c r="D290" s="3" t="n">
        <x:v>1</x:v>
      </x:c>
      <x:c r="E290" s="3" t="str">
        <x:v>No unknown delivery becomes success or triggers duplicate action.</x:v>
      </x:c>
    </x:row>
    <x:row r="291" ht="27" customHeight="1">
      <x:c r="A291" s="14" t="str">
        <x:v>P30</x:v>
      </x:c>
      <x:c r="B291" s="14" t="str">
        <x:v>Enforce action authority and reconcile uncertain delivery</x:v>
      </x:c>
      <x:c r="C291" s="14" t="str">
        <x:v>expected</x:v>
      </x:c>
      <x:c r="D291" s="14" t="n">
        <x:v>2</x:v>
      </x:c>
      <x:c r="E291" s="14" t="str">
        <x:v>No approval can be replayed against changed bytes or a new destination.</x:v>
      </x:c>
    </x:row>
    <x:row r="292" ht="40" customHeight="1">
      <x:c r="A292" s="3" t="str">
        <x:v>P30</x:v>
      </x:c>
      <x:c r="B292" s="3" t="str">
        <x:v>Enforce action authority and reconcile uncertain delivery</x:v>
      </x:c>
      <x:c r="C292" s="3" t="str">
        <x:v>rollback</x:v>
      </x:c>
      <x:c r="D292" s="3" t="n">
        <x:v>1</x:v>
      </x:c>
      <x:c r="E292" s="3" t="str">
        <x:v>Stop dispatch and revoke connector credentials if needed; preserve attempt/receipt ledger and reconcile already initiated effects before rollback.</x:v>
      </x:c>
    </x:row>
    <x:row r="293" ht="27" customHeight="1">
      <x:c r="A293" s="14" t="str">
        <x:v>P31</x:v>
      </x:c>
      <x:c r="B293" s="14" t="str">
        <x:v>Prepare hearing, negotiation and witness work responsibly</x:v>
      </x:c>
      <x:c r="C293" s="14" t="str">
        <x:v>inputs</x:v>
      </x:c>
      <x:c r="D293" s="14" t="n">
        <x:v>1</x:v>
      </x:c>
      <x:c r="E293" s="14" t="str">
        <x:v>Current theory, relief, hard questions, witness knowledge and settlement/concession limits</x:v>
      </x:c>
    </x:row>
    <x:row r="294" ht="27" customHeight="1">
      <x:c r="A294" s="3" t="str">
        <x:v>P31</x:v>
      </x:c>
      <x:c r="B294" s="3" t="str">
        <x:v>Prepare hearing, negotiation and witness work responsibly</x:v>
      </x:c>
      <x:c r="C294" s="3" t="str">
        <x:v>outputs</x:v>
      </x:c>
      <x:c r="D294" s="3" t="n">
        <x:v>1</x:v>
      </x:c>
      <x:c r="E294" s="3" t="str">
        <x:v>Source-linked hearing brief and authority-preserving preparation record</x:v>
      </x:c>
    </x:row>
    <x:row r="295" ht="40" customHeight="1">
      <x:c r="A295" s="14" t="str">
        <x:v>P31</x:v>
      </x:c>
      <x:c r="B295" s="14" t="str">
        <x:v>Prepare hearing, negotiation and witness work responsibly</x:v>
      </x:c>
      <x:c r="C295" s="14" t="str">
        <x:v>steps</x:v>
      </x:c>
      <x:c r="D295" s="14" t="n">
        <x:v>1</x:v>
      </x:c>
      <x:c r="E295" s="14" t="str">
        <x:v>Build proof-issue witness/expert packs distinguishing knowledge, expertise, contradictions and availability; never manufacture testimony or initiate unapproved contact.</x:v>
      </x:c>
    </x:row>
    <x:row r="296" ht="40" customHeight="1">
      <x:c r="A296" s="3" t="str">
        <x:v>P31</x:v>
      </x:c>
      <x:c r="B296" s="3" t="str">
        <x:v>Prepare hearing, negotiation and witness work responsibly</x:v>
      </x:c>
      <x:c r="C296" s="3" t="str">
        <x:v>steps</x:v>
      </x:c>
      <x:c r="D296" s="3" t="n">
        <x:v>2</x:v>
      </x:c>
      <x:c r="E296" s="3" t="str">
        <x:v>Compose concise current theory/relief/propositions with record and authority locators plus strongest countercase and hard-question responses.</x:v>
      </x:c>
    </x:row>
    <x:row r="297" ht="40" customHeight="1">
      <x:c r="A297" s="14" t="str">
        <x:v>P31</x:v>
      </x:c>
      <x:c r="B297" s="14" t="str">
        <x:v>Prepare hearing, negotiation and witness work responsibly</x:v>
      </x:c>
      <x:c r="C297" s="14" t="str">
        <x:v>steps</x:v>
      </x:c>
      <x:c r="D297" s="14" t="n">
        <x:v>3</x:v>
      </x:c>
      <x:c r="E297" s="14" t="str">
        <x:v>Change an instruction/authority during preparation and simulate failed communication; reopen only affected work and retain owner/next obligation.</x:v>
      </x:c>
    </x:row>
    <x:row r="298" ht="27" customHeight="1">
      <x:c r="A298" s="3" t="str">
        <x:v>P31</x:v>
      </x:c>
      <x:c r="B298" s="3" t="str">
        <x:v>Prepare hearing, negotiation and witness work responsibly</x:v>
      </x:c>
      <x:c r="C298" s="3" t="str">
        <x:v>expected</x:v>
      </x:c>
      <x:c r="D298" s="3" t="n">
        <x:v>1</x:v>
      </x:c>
      <x:c r="E298" s="3" t="str">
        <x:v>In-court lookup distinguishes verified material, uncertain analysis and proposed action.</x:v>
      </x:c>
    </x:row>
    <x:row r="299" ht="27" customHeight="1">
      <x:c r="A299" s="14" t="str">
        <x:v>P31</x:v>
      </x:c>
      <x:c r="B299" s="14" t="str">
        <x:v>Prepare hearing, negotiation and witness work responsibly</x:v>
      </x:c>
      <x:c r="C299" s="14" t="str">
        <x:v>expected</x:v>
      </x:c>
      <x:c r="D299" s="14" t="n">
        <x:v>2</x:v>
      </x:c>
      <x:c r="E299" s="14" t="str">
        <x:v>Negotiation and hearing pressure do not bypass concession or settlement limits.</x:v>
      </x:c>
    </x:row>
    <x:row r="300" ht="27" customHeight="1">
      <x:c r="A300" s="3" t="str">
        <x:v>P31</x:v>
      </x:c>
      <x:c r="B300" s="3" t="str">
        <x:v>Prepare hearing, negotiation and witness work responsibly</x:v>
      </x:c>
      <x:c r="C300" s="3" t="str">
        <x:v>rollback</x:v>
      </x:c>
      <x:c r="D300" s="3" t="n">
        <x:v>1</x:v>
      </x:c>
      <x:c r="E300" s="3" t="str">
        <x:v>Mark affected packs stale and pause consequential support; preserve prior approved limits and direct to the accountable advocate.</x:v>
      </x:c>
    </x:row>
    <x:row r="301" ht="27" customHeight="1">
      <x:c r="A301" s="14" t="str">
        <x:v>P32</x:v>
      </x:c>
      <x:c r="B301" s="14" t="str">
        <x:v>Make event re-entry and handover preserve responsibility</x:v>
      </x:c>
      <x:c r="C301" s="14" t="str">
        <x:v>inputs</x:v>
      </x:c>
      <x:c r="D301" s="14" t="n">
        <x:v>1</x:v>
      </x:c>
      <x:c r="E301" s="14" t="str">
        <x:v>New order, obligation owner, changed deadline basis and proposed handover recipient</x:v>
      </x:c>
    </x:row>
    <x:row r="302" ht="27" customHeight="1">
      <x:c r="A302" s="3" t="str">
        <x:v>P32</x:v>
      </x:c>
      <x:c r="B302" s="3" t="str">
        <x:v>Make event re-entry and handover preserve responsibility</x:v>
      </x:c>
      <x:c r="C302" s="3" t="str">
        <x:v>outputs</x:v>
      </x:c>
      <x:c r="D302" s="3" t="n">
        <x:v>1</x:v>
      </x:c>
      <x:c r="E302" s="3" t="str">
        <x:v>Versioned change summary, accepted handover and obligation-aware closure</x:v>
      </x:c>
    </x:row>
    <x:row r="303" ht="40" customHeight="1">
      <x:c r="A303" s="14" t="str">
        <x:v>P32</x:v>
      </x:c>
      <x:c r="B303" s="14" t="str">
        <x:v>Make event re-entry and handover preserve responsibility</x:v>
      </x:c>
      <x:c r="C303" s="14" t="str">
        <x:v>steps</x:v>
      </x:c>
      <x:c r="D303" s="14" t="n">
        <x:v>1</x:v>
      </x:c>
      <x:c r="E303" s="14" t="str">
        <x:v>Implement events and re-entry from authoritative versions; record deadline premise and responsible owner rather than inventing a chat summary.</x:v>
      </x:c>
    </x:row>
    <x:row r="304" ht="27" customHeight="1">
      <x:c r="A304" s="3" t="str">
        <x:v>P32</x:v>
      </x:c>
      <x:c r="B304" s="3" t="str">
        <x:v>Make event re-entry and handover preserve responsibility</x:v>
      </x:c>
      <x:c r="C304" s="3" t="str">
        <x:v>steps</x:v>
      </x:c>
      <x:c r="D304" s="3" t="n">
        <x:v>2</x:v>
      </x:c>
      <x:c r="E304" s="3" t="str">
        <x:v>Create permission-scoped handover snapshot and explicit recipient acceptance; until acceptance original responsibility remains visible.</x:v>
      </x:c>
    </x:row>
    <x:row r="305" ht="40" customHeight="1">
      <x:c r="A305" s="14" t="str">
        <x:v>P32</x:v>
      </x:c>
      <x:c r="B305" s="14" t="str">
        <x:v>Make event re-entry and handover preserve responsibility</x:v>
      </x:c>
      <x:c r="C305" s="14" t="str">
        <x:v>steps</x:v>
      </x:c>
      <x:c r="D305" s="14" t="n">
        <x:v>3</x:v>
      </x:c>
      <x:c r="E305" s="14" t="str">
        <x:v>Attempt closure with a live obligation; require disposition/authorised transfer, preserve record, and require current permission/instruction review on reopen.</x:v>
      </x:c>
    </x:row>
    <x:row r="306" ht="40" customHeight="1">
      <x:c r="A306" s="3" t="str">
        <x:v>P32</x:v>
      </x:c>
      <x:c r="B306" s="3" t="str">
        <x:v>Make event re-entry and handover preserve responsibility</x:v>
      </x:c>
      <x:c r="C306" s="3" t="str">
        <x:v>steps</x:v>
      </x:c>
      <x:c r="D306" s="3" t="n">
        <x:v>4</x:v>
      </x:c>
      <x:c r="E306" s="3" t="str">
        <x:v>History renders actual issued advice and chronological corrections with source/version linkage, not transport/model diagnostics. Re-entry never imports another matter's state; current handover lists authorities, reservations and explicitly unassessed areas.</x:v>
      </x:c>
    </x:row>
    <x:row r="307" ht="27" customHeight="1">
      <x:c r="A307" s="14" t="str">
        <x:v>P32</x:v>
      </x:c>
      <x:c r="B307" s="14" t="str">
        <x:v>Make event re-entry and handover preserve responsibility</x:v>
      </x:c>
      <x:c r="C307" s="14" t="str">
        <x:v>expected</x:v>
      </x:c>
      <x:c r="D307" s="14" t="n">
        <x:v>1</x:v>
      </x:c>
      <x:c r="E307" s="14" t="str">
        <x:v>Closing does not erase obligations or certify advice freshly reviewed.</x:v>
      </x:c>
    </x:row>
    <x:row r="308" ht="27" customHeight="1">
      <x:c r="A308" s="3" t="str">
        <x:v>P32</x:v>
      </x:c>
      <x:c r="B308" s="3" t="str">
        <x:v>Make event re-entry and handover preserve responsibility</x:v>
      </x:c>
      <x:c r="C308" s="3" t="str">
        <x:v>expected</x:v>
      </x:c>
      <x:c r="D308" s="3" t="n">
        <x:v>2</x:v>
      </x:c>
      <x:c r="E308" s="3" t="str">
        <x:v>Handover exposes no material beyond authorised recipient scope.</x:v>
      </x:c>
    </x:row>
    <x:row r="309" ht="40" customHeight="1">
      <x:c r="A309" s="14" t="str">
        <x:v>P32</x:v>
      </x:c>
      <x:c r="B309" s="14" t="str">
        <x:v>Make event re-entry and handover preserve responsibility</x:v>
      </x:c>
      <x:c r="C309" s="14" t="str">
        <x:v>rollback</x:v>
      </x:c>
      <x:c r="D309" s="14" t="n">
        <x:v>1</x:v>
      </x:c>
      <x:c r="E309" s="14" t="str">
        <x:v>Disable closure/transfer commands while retaining original obligations and owners; reversal requires an attributed corrective handover, not silent reassignment.</x:v>
      </x:c>
    </x:row>
    <x:row r="310" ht="40" customHeight="1">
      <x:c r="A310" s="3" t="str">
        <x:v>P33</x:v>
      </x:c>
      <x:c r="B310" s="3" t="str">
        <x:v>Implement held and erased lifecycle, then wire its real consumers</x:v>
      </x:c>
      <x:c r="C310" s="3" t="str">
        <x:v>inputs</x:v>
      </x:c>
      <x:c r="D310" s="3" t="n">
        <x:v>1</x:v>
      </x:c>
      <x:c r="E310" s="3" t="str">
        <x:v>Approved per-purpose schedule, scoped legal hold and lineage inventory</x:v>
      </x:c>
    </x:row>
    <x:row r="311" ht="40" customHeight="1">
      <x:c r="A311" s="14" t="str">
        <x:v>P33</x:v>
      </x:c>
      <x:c r="B311" s="14" t="str">
        <x:v>Implement held and erased lifecycle, then wire its real consumers</x:v>
      </x:c>
      <x:c r="C311" s="14" t="str">
        <x:v>outputs</x:v>
      </x:c>
      <x:c r="D311" s="14" t="n">
        <x:v>1</x:v>
      </x:c>
      <x:c r="E311" s="14" t="str">
        <x:v>Authorised retention workflow, deletion tombstones and truthful backup-pending state</x:v>
      </x:c>
    </x:row>
    <x:row r="312" ht="40" customHeight="1">
      <x:c r="A312" s="3" t="str">
        <x:v>P33</x:v>
      </x:c>
      <x:c r="B312" s="3" t="str">
        <x:v>Implement held and erased lifecycle, then wire its real consumers</x:v>
      </x:c>
      <x:c r="C312" s="3" t="str">
        <x:v>steps</x:v>
      </x:c>
      <x:c r="D312" s="3" t="n">
        <x:v>1</x:v>
      </x:c>
      <x:c r="E312" s="3" t="str">
        <x:v>First prove the BK-85 retention-policy engine with synthetic copy inventories, holds and tombstones. This output is usable before media integration; BK-88-AC1 closes only after actual-path and deployed-restore proof.</x:v>
      </x:c>
    </x:row>
    <x:row r="313" ht="40" customHeight="1">
      <x:c r="A313" s="14" t="str">
        <x:v>P33</x:v>
      </x:c>
      <x:c r="B313" s="14" t="str">
        <x:v>Implement held and erased lifecycle, then wire its real consumers</x:v>
      </x:c>
      <x:c r="C313" s="14" t="str">
        <x:v>steps</x:v>
      </x:c>
      <x:c r="D313" s="14" t="n">
        <x:v>2</x:v>
      </x:c>
      <x:c r="E313" s="14" t="str">
        <x:v>Enumerate originals, derivatives, indexes, caches, temp objects, provider copies and backups through lineage; distinguish archive from erasure.</x:v>
      </x:c>
    </x:row>
    <x:row r="314" ht="40" customHeight="1">
      <x:c r="A314" s="3" t="str">
        <x:v>P33</x:v>
      </x:c>
      <x:c r="B314" s="3" t="str">
        <x:v>Implement held and erased lifecycle, then wire its real consumers</x:v>
      </x:c>
      <x:c r="C314" s="3" t="str">
        <x:v>steps</x:v>
      </x:c>
      <x:c r="D314" s="3" t="n">
        <x:v>3</x:v>
      </x:c>
      <x:c r="E314" s="3" t="str">
        <x:v>Enforce hold/release authority and receipt-based deletion; retain minimal content-free tombstones and unresolved processor exceptions.</x:v>
      </x:c>
    </x:row>
    <x:row r="315" ht="40" customHeight="1">
      <x:c r="A315" s="14" t="str">
        <x:v>P33</x:v>
      </x:c>
      <x:c r="B315" s="14" t="str">
        <x:v>Implement held and erased lifecycle, then wire its real consumers</x:v>
      </x:c>
      <x:c r="C315" s="14" t="str">
        <x:v>steps</x:v>
      </x:c>
      <x:c r="D315" s="14" t="n">
        <x:v>4</x:v>
      </x:c>
      <x:c r="E315" s="14" t="str">
        <x:v>Attempt held deletion and restore a pre-erasure snapshot; prove material cannot silently reappear or be marked completely erased while backups remain pending.</x:v>
      </x:c>
    </x:row>
    <x:row r="316" ht="40" customHeight="1">
      <x:c r="A316" s="3" t="str">
        <x:v>P33</x:v>
      </x:c>
      <x:c r="B316" s="3" t="str">
        <x:v>Implement held and erased lifecycle, then wire its real consumers</x:v>
      </x:c>
      <x:c r="C316" s="3" t="str">
        <x:v>expected</x:v>
      </x:c>
      <x:c r="D316" s="3" t="n">
        <x:v>1</x:v>
      </x:c>
      <x:c r="E316" s="3" t="str">
        <x:v>Deletion status names its actual scope and retained exceptions.</x:v>
      </x:c>
    </x:row>
    <x:row r="317" ht="40" customHeight="1">
      <x:c r="A317" s="14" t="str">
        <x:v>P33</x:v>
      </x:c>
      <x:c r="B317" s="14" t="str">
        <x:v>Implement held and erased lifecycle, then wire its real consumers</x:v>
      </x:c>
      <x:c r="C317" s="14" t="str">
        <x:v>expected</x:v>
      </x:c>
      <x:c r="D317" s="14" t="n">
        <x:v>2</x:v>
      </x:c>
      <x:c r="E317" s="14" t="str">
        <x:v>No auto-delete based on unreviewed retention numbers.</x:v>
      </x:c>
    </x:row>
    <x:row r="318" ht="40" customHeight="1">
      <x:c r="A318" s="3" t="str">
        <x:v>P33</x:v>
      </x:c>
      <x:c r="B318" s="3" t="str">
        <x:v>Implement held and erased lifecycle, then wire its real consumers</x:v>
      </x:c>
      <x:c r="C318" s="3" t="str">
        <x:v>rollback</x:v>
      </x:c>
      <x:c r="D318" s="3" t="n">
        <x:v>1</x:v>
      </x:c>
      <x:c r="E318" s="3" t="str">
        <x:v>Pause erasure queue and preserve holds/tombstones; do not undo completed erasure by restoring older material.</x:v>
      </x:c>
    </x:row>
    <x:row r="319" ht="27" customHeight="1">
      <x:c r="A319" s="14" t="str">
        <x:v>P34</x:v>
      </x:c>
      <x:c r="B319" s="14" t="str">
        <x:v>Validate comprehension and briefing economy</x:v>
      </x:c>
      <x:c r="C319" s="14" t="str">
        <x:v>inputs</x:v>
      </x:c>
      <x:c r="D319" s="14" t="n">
        <x:v>1</x:v>
      </x:c>
      <x:c r="E319" s="14" t="str">
        <x:v>Predeclared representative advocates, tasks, accessibility conditions and rubric</x:v>
      </x:c>
    </x:row>
    <x:row r="320" ht="27" customHeight="1">
      <x:c r="A320" s="3" t="str">
        <x:v>P34</x:v>
      </x:c>
      <x:c r="B320" s="3" t="str">
        <x:v>Validate comprehension and briefing economy</x:v>
      </x:c>
      <x:c r="C320" s="3" t="str">
        <x:v>outputs</x:v>
      </x:c>
      <x:c r="D320" s="3" t="n">
        <x:v>1</x:v>
      </x:c>
      <x:c r="E320" s="3" t="str">
        <x:v>Observed task/comprehension record including disagreement and assistance</x:v>
      </x:c>
    </x:row>
    <x:row r="321" ht="27" customHeight="1">
      <x:c r="A321" s="14" t="str">
        <x:v>P34</x:v>
      </x:c>
      <x:c r="B321" s="14" t="str">
        <x:v>Validate comprehension and briefing economy</x:v>
      </x:c>
      <x:c r="C321" s="14" t="str">
        <x:v>steps</x:v>
      </x:c>
      <x:c r="D321" s="14" t="n">
        <x:v>1</x:v>
      </x:c>
      <x:c r="E321" s="14" t="str">
        <x:v>Freeze tasks, participant strata and thresholds before scoring; use unfamiliar variants, not only demo fixtures.</x:v>
      </x:c>
    </x:row>
    <x:row r="322" ht="40" customHeight="1">
      <x:c r="A322" s="3" t="str">
        <x:v>P34</x:v>
      </x:c>
      <x:c r="B322" s="3" t="str">
        <x:v>Validate comprehension and briefing economy</x:v>
      </x:c>
      <x:c r="C322" s="3" t="str">
        <x:v>steps</x:v>
      </x:c>
      <x:c r="D322" s="3" t="n">
        <x:v>2</x:v>
      </x:c>
      <x:c r="E322" s="3" t="str">
        <x:v>Observe users explain what NM understood/used/assumed/changed/needs/does next and complete correction/pause/return without repeated typing.</x:v>
      </x:c>
    </x:row>
    <x:row r="323" ht="40" customHeight="1">
      <x:c r="A323" s="14" t="str">
        <x:v>P34</x:v>
      </x:c>
      <x:c r="B323" s="14" t="str">
        <x:v>Validate comprehension and briefing economy</x:v>
      </x:c>
      <x:c r="C323" s="14" t="str">
        <x:v>steps</x:v>
      </x:c>
      <x:c r="D323" s="14" t="n">
        <x:v>3</x:v>
      </x:c>
      <x:c r="E323" s="14" t="str">
        <x:v>Record task denominators, mistakes, source navigation and material disagreements; failed comprehension is not repaired by changing the rubric after the run.</x:v>
      </x:c>
    </x:row>
    <x:row r="324" ht="27" customHeight="1">
      <x:c r="A324" s="3" t="str">
        <x:v>P34</x:v>
      </x:c>
      <x:c r="B324" s="3" t="str">
        <x:v>Validate comprehension and briefing economy</x:v>
      </x:c>
      <x:c r="C324" s="3" t="str">
        <x:v>expected</x:v>
      </x:c>
      <x:c r="D324" s="3" t="n">
        <x:v>1</x:v>
      </x:c>
      <x:c r="E324" s="3" t="str">
        <x:v>Representative people, not only a model judge, validate usefulness.</x:v>
      </x:c>
    </x:row>
    <x:row r="325" ht="27" customHeight="1">
      <x:c r="A325" s="14" t="str">
        <x:v>P34</x:v>
      </x:c>
      <x:c r="B325" s="14" t="str">
        <x:v>Validate comprehension and briefing economy</x:v>
      </x:c>
      <x:c r="C325" s="14" t="str">
        <x:v>expected</x:v>
      </x:c>
      <x:c r="D325" s="14" t="n">
        <x:v>2</x:v>
      </x:c>
      <x:c r="E325" s="14" t="str">
        <x:v>Automated fixtures do not substitute for observed advocate work.</x:v>
      </x:c>
    </x:row>
    <x:row r="326" ht="40" customHeight="1">
      <x:c r="A326" s="3" t="str">
        <x:v>P34</x:v>
      </x:c>
      <x:c r="B326" s="3" t="str">
        <x:v>Validate comprehension and briefing economy</x:v>
      </x:c>
      <x:c r="C326" s="3" t="str">
        <x:v>rollback</x:v>
      </x:c>
      <x:c r="D326" s="3" t="n">
        <x:v>1</x:v>
      </x:c>
      <x:c r="E326" s="3" t="str">
        <x:v>Withdraw the affected experience claim, register findings and retain scored artifacts; rerun the affected frozen population after correction.</x:v>
      </x:c>
    </x:row>
    <x:row r="327" ht="27" customHeight="1">
      <x:c r="A327" s="14" t="str">
        <x:v>P35</x:v>
      </x:c>
      <x:c r="B327" s="14" t="str">
        <x:v>Earn qualified professional approval and maintain it</x:v>
      </x:c>
      <x:c r="C327" s="14" t="str">
        <x:v>inputs</x:v>
      </x:c>
      <x:c r="D327" s="14" t="n">
        <x:v>1</x:v>
      </x:c>
      <x:c r="E327" s="14" t="str">
        <x:v>Predeclared matter strata, PA standards, qualified reviewers and identified primary sources</x:v>
      </x:c>
    </x:row>
    <x:row r="328" ht="27" customHeight="1">
      <x:c r="A328" s="3" t="str">
        <x:v>P35</x:v>
      </x:c>
      <x:c r="B328" s="3" t="str">
        <x:v>Earn qualified professional approval and maintain it</x:v>
      </x:c>
      <x:c r="C328" s="3" t="str">
        <x:v>outputs</x:v>
      </x:c>
      <x:c r="D328" s="3" t="n">
        <x:v>1</x:v>
      </x:c>
      <x:c r="E328" s="3" t="str">
        <x:v>Current professional approval for named scope with reservations and change triggers</x:v>
      </x:c>
    </x:row>
    <x:row r="329" ht="40" customHeight="1">
      <x:c r="A329" s="14" t="str">
        <x:v>P35</x:v>
      </x:c>
      <x:c r="B329" s="14" t="str">
        <x:v>Earn qualified professional approval and maintain it</x:v>
      </x:c>
      <x:c r="C329" s="14" t="str">
        <x:v>steps</x:v>
      </x:c>
      <x:c r="D329" s="14" t="n">
        <x:v>1</x:v>
      </x:c>
      <x:c r="E329" s="14" t="str">
        <x:v>Freeze representative/held-out tasks, legal ground truth, critical failures, scoring and disagreement process; obtain bounded model-run approval.</x:v>
      </x:c>
    </x:row>
    <x:row r="330" ht="40" customHeight="1">
      <x:c r="A330" s="3" t="str">
        <x:v>P35</x:v>
      </x:c>
      <x:c r="B330" s="3" t="str">
        <x:v>Earn qualified professional approval and maintain it</x:v>
      </x:c>
      <x:c r="C330" s="3" t="str">
        <x:v>steps</x:v>
      </x:c>
      <x:c r="D330" s="3" t="n">
        <x:v>2</x:v>
      </x:c>
      <x:c r="E330" s="3" t="str">
        <x:v>Review applicable law, accrual, forum, binding/treatment and role restrictions independently from conditional arithmetic; inspect exact served advice.</x:v>
      </x:c>
    </x:row>
    <x:row r="331" ht="40" customHeight="1">
      <x:c r="A331" s="14" t="str">
        <x:v>P35</x:v>
      </x:c>
      <x:c r="B331" s="14" t="str">
        <x:v>Earn qualified professional approval and maintain it</x:v>
      </x:c>
      <x:c r="C331" s="14" t="str">
        <x:v>steps</x:v>
      </x:c>
      <x:c r="D331" s="14" t="n">
        <x:v>3</x:v>
      </x:c>
      <x:c r="E331" s="14" t="str">
        <x:v>Invalidate affected approval on new facts/law/corpus/model/prompt changes and reassess held-out scenarios; no inherited automatic model-version approval.</x:v>
      </x:c>
    </x:row>
    <x:row r="332" ht="55" customHeight="1">
      <x:c r="A332" s="3" t="str">
        <x:v>P35</x:v>
      </x:c>
      <x:c r="B332" s="3" t="str">
        <x:v>Earn qualified professional approval and maintain it</x:v>
      </x:c>
      <x:c r="C332" s="3" t="str">
        <x:v>steps</x:v>
      </x:c>
      <x:c r="D332" s="3" t="n">
        <x:v>4</x:v>
      </x:c>
      <x:c r="E332"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3" ht="27" customHeight="1">
      <x:c r="A333" s="14" t="str">
        <x:v>P35</x:v>
      </x:c>
      <x:c r="B333" s="14" t="str">
        <x:v>Earn qualified professional approval and maintain it</x:v>
      </x:c>
      <x:c r="C333" s="14" t="str">
        <x:v>expected</x:v>
      </x:c>
      <x:c r="D333" s="14" t="n">
        <x:v>1</x:v>
      </x:c>
      <x:c r="E333" s="14" t="str">
        <x:v>Critical legal failure blocks the affected release even if average score is high.</x:v>
      </x:c>
    </x:row>
    <x:row r="334" ht="27" customHeight="1">
      <x:c r="A334" s="3" t="str">
        <x:v>P35</x:v>
      </x:c>
      <x:c r="B334" s="3" t="str">
        <x:v>Earn qualified professional approval and maintain it</x:v>
      </x:c>
      <x:c r="C334" s="3" t="str">
        <x:v>expected</x:v>
      </x:c>
      <x:c r="D334" s="3" t="n">
        <x:v>2</x:v>
      </x:c>
      <x:c r="E334" s="3" t="str">
        <x:v>Every applicable PA standard and reservation is accounted for with a qualified actor.</x:v>
      </x:c>
    </x:row>
    <x:row r="335" ht="27" customHeight="1">
      <x:c r="A335" s="14" t="str">
        <x:v>P35</x:v>
      </x:c>
      <x:c r="B335" s="14" t="str">
        <x:v>Earn qualified professional approval and maintain it</x:v>
      </x:c>
      <x:c r="C335" s="14" t="str">
        <x:v>rollback</x:v>
      </x:c>
      <x:c r="D335" s="14" t="n">
        <x:v>1</x:v>
      </x:c>
      <x:c r="E335" s="14" t="str">
        <x:v>Withdraw affected legal coverage/task approval and retain historical review; offer only the supportable lower scope.</x:v>
      </x:c>
    </x:row>
    <x:row r="336" ht="27" customHeight="1">
      <x:c r="A336" s="3" t="str">
        <x:v>P36</x:v>
      </x:c>
      <x:c r="B336" s="3" t="str">
        <x:v>Make every supported width navigable and accessible</x:v>
      </x:c>
      <x:c r="C336" s="3" t="str">
        <x:v>inputs</x:v>
      </x:c>
      <x:c r="D336" s="3" t="n">
        <x:v>1</x:v>
      </x:c>
      <x:c r="E336" s="3" t="str">
        <x:v>Supported widths, browser/OS/assistive-tech matrix and realistic long matter content</x:v>
      </x:c>
    </x:row>
    <x:row r="337" ht="27" customHeight="1">
      <x:c r="A337" s="14" t="str">
        <x:v>P36</x:v>
      </x:c>
      <x:c r="B337" s="14" t="str">
        <x:v>Make every supported width navigable and accessible</x:v>
      </x:c>
      <x:c r="C337" s="14" t="str">
        <x:v>inputs</x:v>
      </x:c>
      <x:c r="D337" s="14" t="n">
        <x:v>2</x:v>
      </x:c>
      <x:c r="E337" s="14" t="str">
        <x:v>Required viewport widths 390, 768 and 1280 pixels, plus zoom and assistive variants</x:v>
      </x:c>
    </x:row>
    <x:row r="338" ht="27" customHeight="1">
      <x:c r="A338" s="3" t="str">
        <x:v>P36</x:v>
      </x:c>
      <x:c r="B338" s="3" t="str">
        <x:v>Make every supported width navigable and accessible</x:v>
      </x:c>
      <x:c r="C338" s="3" t="str">
        <x:v>outputs</x:v>
      </x:c>
      <x:c r="D338" s="3" t="n">
        <x:v>1</x:v>
      </x:c>
      <x:c r="E338" s="3" t="str">
        <x:v>Accessible shared shell/source/history/control navigation with measured reorientation</x:v>
      </x:c>
    </x:row>
    <x:row r="339" ht="40" customHeight="1">
      <x:c r="A339" s="14" t="str">
        <x:v>P36</x:v>
      </x:c>
      <x:c r="B339" s="14" t="str">
        <x:v>Make every supported width navigable and accessible</x:v>
      </x:c>
      <x:c r="C339" s="14" t="str">
        <x:v>steps</x:v>
      </x:c>
      <x:c r="D339" s="14" t="n">
        <x:v>1</x:v>
      </x:c>
      <x:c r="E339" s="14" t="str">
        <x:v>Apply semantic forms, focus/keyboard flow, reflow and perceivable error/status states to shared components rather than per-screen patches.</x:v>
      </x:c>
    </x:row>
    <x:row r="340" ht="40" customHeight="1">
      <x:c r="A340" s="3" t="str">
        <x:v>P36</x:v>
      </x:c>
      <x:c r="B340" s="3" t="str">
        <x:v>Make every supported width navigable and accessible</x:v>
      </x:c>
      <x:c r="C340" s="3" t="str">
        <x:v>steps</x:v>
      </x:c>
      <x:c r="D340" s="3" t="n">
        <x:v>2</x:v>
      </x:c>
      <x:c r="E340" s="3" t="str">
        <x:v>At each target width open evidence, authority, history and material controls; verify no internal IDs or engineering terms substitute for user meaning.</x:v>
      </x:c>
    </x:row>
    <x:row r="341" ht="27" customHeight="1">
      <x:c r="A341" s="14" t="str">
        <x:v>P36</x:v>
      </x:c>
      <x:c r="B341" s="14" t="str">
        <x:v>Make every supported width navigable and accessible</x:v>
      </x:c>
      <x:c r="C341" s="14" t="str">
        <x:v>steps</x:v>
      </x:c>
      <x:c r="D341" s="14" t="n">
        <x:v>3</x:v>
      </x:c>
      <x:c r="E341" s="14" t="str">
        <x:v>Measure reorientation within one minute; include keyboard, screen reader, zoom, long names, mixed script and asynchronous failed loads.</x:v>
      </x:c>
    </x:row>
    <x:row r="342" ht="40" customHeight="1">
      <x:c r="A342" s="3" t="str">
        <x:v>P36</x:v>
      </x:c>
      <x:c r="B342" s="3" t="str">
        <x:v>Make every supported width navigable and accessible</x:v>
      </x:c>
      <x:c r="C342" s="3" t="str">
        <x:v>steps</x:v>
      </x:c>
      <x:c r="D342" s="3" t="n">
        <x:v>4</x:v>
      </x:c>
      <x:c r="E342" s="3" t="str">
        <x:v>At every declared width actually drive start/find/switch matter, research, History, identity and sign-out. Detect inaccessible clipped primary controls even if overflow is hidden; no desktop early return or static visibility-only pass.</x:v>
      </x:c>
    </x:row>
    <x:row r="343" ht="27" customHeight="1">
      <x:c r="A343" s="14" t="str">
        <x:v>P36</x:v>
      </x:c>
      <x:c r="B343" s="14" t="str">
        <x:v>Make every supported width navigable and accessible</x:v>
      </x:c>
      <x:c r="C343" s="14" t="str">
        <x:v>expected</x:v>
      </x:c>
      <x:c r="D343" s="14" t="n">
        <x:v>1</x:v>
      </x:c>
      <x:c r="E343" s="14" t="str">
        <x:v>An advocate can reach the basis/control behind material statements without guessing.</x:v>
      </x:c>
    </x:row>
    <x:row r="344" ht="27" customHeight="1">
      <x:c r="A344" s="3" t="str">
        <x:v>P36</x:v>
      </x:c>
      <x:c r="B344" s="3" t="str">
        <x:v>Make every supported width navigable and accessible</x:v>
      </x:c>
      <x:c r="C344" s="3" t="str">
        <x:v>expected</x:v>
      </x:c>
      <x:c r="D344" s="3" t="n">
        <x:v>2</x:v>
      </x:c>
      <x:c r="E344" s="3" t="str">
        <x:v>Screenshot/automated scan alone cannot establish screen-reader conformance.</x:v>
      </x:c>
    </x:row>
    <x:row r="345" ht="27" customHeight="1">
      <x:c r="A345" s="14" t="str">
        <x:v>P36</x:v>
      </x:c>
      <x:c r="B345" s="14" t="str">
        <x:v>Make every supported width navigable and accessible</x:v>
      </x:c>
      <x:c r="C345" s="14" t="str">
        <x:v>rollback</x:v>
      </x:c>
      <x:c r="D345" s="14" t="n">
        <x:v>1</x:v>
      </x:c>
      <x:c r="E345" s="14" t="str">
        <x:v>Restore the previous compatible shared layout and retain semantic/security fixes; disable inaccessible new controls pending correction.</x:v>
      </x:c>
    </x:row>
    <x:row r="346" ht="27" customHeight="1">
      <x:c r="A346" s="3" t="str">
        <x:v>P37</x:v>
      </x:c>
      <x:c r="B346" s="3" t="str">
        <x:v>Bound latency, cost and degraded-service behaviour</x:v>
      </x:c>
      <x:c r="C346" s="3" t="str">
        <x:v>inputs</x:v>
      </x:c>
      <x:c r="D346" s="3" t="n">
        <x:v>1</x:v>
      </x:c>
      <x:c r="E346" s="3" t="str">
        <x:v>Approved workload/budget/reference network and slow/throttled/provider-failure cases</x:v>
      </x:c>
    </x:row>
    <x:row r="347" ht="27" customHeight="1">
      <x:c r="A347" s="14" t="str">
        <x:v>P37</x:v>
      </x:c>
      <x:c r="B347" s="14" t="str">
        <x:v>Bound latency, cost and degraded-service behaviour</x:v>
      </x:c>
      <x:c r="C347" s="14" t="str">
        <x:v>outputs</x:v>
      </x:c>
      <x:c r="D347" s="14" t="n">
        <x:v>1</x:v>
      </x:c>
      <x:c r="E347" s="14" t="str">
        <x:v>Measured stage percentiles, bounded retries/cancellation and truthful progress</x:v>
      </x:c>
    </x:row>
    <x:row r="348" ht="40" customHeight="1">
      <x:c r="A348" s="3" t="str">
        <x:v>P37</x:v>
      </x:c>
      <x:c r="B348" s="3" t="str">
        <x:v>Bound latency, cost and degraded-service behaviour</x:v>
      </x:c>
      <x:c r="C348" s="3" t="str">
        <x:v>steps</x:v>
      </x:c>
      <x:c r="D348" s="3" t="n">
        <x:v>1</x:v>
      </x:c>
      <x:c r="E348" s="3" t="str">
        <x:v>Use deterministic and retrieval work first; route model effort by evaluated task need and cache only scoped version-compatible safe results.</x:v>
      </x:c>
    </x:row>
    <x:row r="349" ht="27" customHeight="1">
      <x:c r="A349" s="14" t="str">
        <x:v>P37</x:v>
      </x:c>
      <x:c r="B349" s="14" t="str">
        <x:v>Bound latency, cost and degraded-service behaviour</x:v>
      </x:c>
      <x:c r="C349" s="14" t="str">
        <x:v>steps</x:v>
      </x:c>
      <x:c r="D349" s="14" t="n">
        <x:v>2</x:v>
      </x:c>
      <x:c r="E349" s="14" t="str">
        <x:v>Apply per-operation time/token/cost/retry budgets and progress from actual saved/job state, not invented percentages.</x:v>
      </x:c>
    </x:row>
    <x:row r="350" ht="40" customHeight="1">
      <x:c r="A350" s="3" t="str">
        <x:v>P37</x:v>
      </x:c>
      <x:c r="B350" s="3" t="str">
        <x:v>Bound latency, cost and degraded-service behaviour</x:v>
      </x:c>
      <x:c r="C350" s="3" t="str">
        <x:v>steps</x:v>
      </x:c>
      <x:c r="D350" s="3" t="n">
        <x:v>3</x:v>
      </x:c>
      <x:c r="E350" s="3" t="str">
        <x:v>Measure cold/warm, concurrent and long-input cases; cancel after acceptance, exhaust budgets and return only safe complete results or explicit recoverable limits.</x:v>
      </x:c>
    </x:row>
    <x:row r="351" ht="40" customHeight="1">
      <x:c r="A351" s="14" t="str">
        <x:v>P37</x:v>
      </x:c>
      <x:c r="B351" s="14" t="str">
        <x:v>Bound latency, cost and degraded-service behaviour</x:v>
      </x:c>
      <x:c r="C351" s="14" t="str">
        <x:v>steps</x:v>
      </x:c>
      <x:c r="D351" s="14" t="n">
        <x:v>4</x:v>
      </x:c>
      <x:c r="E351" s="14" t="str">
        <x:v>Enumerate all model reads and completion modes, including structured output and quotation-heavy reads; one schema-aware budget mechanism normalises length stops to typed incomplete results before downstream acceptance.</x:v>
      </x:c>
    </x:row>
    <x:row r="352" ht="55" customHeight="1">
      <x:c r="A352" s="3" t="str">
        <x:v>P37</x:v>
      </x:c>
      <x:c r="B352" s="3" t="str">
        <x:v>Bound latency, cost and degraded-service behaviour</x:v>
      </x:c>
      <x:c r="C352" s="3" t="str">
        <x:v>steps</x:v>
      </x:c>
      <x:c r="D352" s="3" t="n">
        <x:v>5</x:v>
      </x:c>
      <x:c r="E352"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3" ht="27" customHeight="1">
      <x:c r="A353" s="14" t="str">
        <x:v>P37</x:v>
      </x:c>
      <x:c r="B353" s="14" t="str">
        <x:v>Bound latency, cost and degraded-service behaviour</x:v>
      </x:c>
      <x:c r="C353" s="14" t="str">
        <x:v>expected</x:v>
      </x:c>
      <x:c r="D353" s="14" t="n">
        <x:v>1</x:v>
      </x:c>
      <x:c r="E353" s="14" t="str">
        <x:v>User sees what is saved, what remains reliable and the next safe action.</x:v>
      </x:c>
    </x:row>
    <x:row r="354" ht="27" customHeight="1">
      <x:c r="A354" s="3" t="str">
        <x:v>P37</x:v>
      </x:c>
      <x:c r="B354" s="3" t="str">
        <x:v>Bound latency, cost and degraded-service behaviour</x:v>
      </x:c>
      <x:c r="C354" s="3" t="str">
        <x:v>expected</x:v>
      </x:c>
      <x:c r="D354" s="3" t="n">
        <x:v>2</x:v>
      </x:c>
      <x:c r="E354" s="3" t="str">
        <x:v>Performance cannot be improved by releasing unchecked advice or unbounded duplicate model work.</x:v>
      </x:c>
    </x:row>
    <x:row r="355" ht="40" customHeight="1">
      <x:c r="A355" s="14" t="str">
        <x:v>P37</x:v>
      </x:c>
      <x:c r="B355" s="14" t="str">
        <x:v>Bound latency, cost and degraded-service behaviour</x:v>
      </x:c>
      <x:c r="C355" s="14" t="str">
        <x:v>rollback</x:v>
      </x:c>
      <x:c r="D355" s="14" t="n">
        <x:v>1</x:v>
      </x:c>
      <x:c r="E355" s="14" t="str">
        <x:v>Reduce concurrency or disable expensive routes while preserving accepted jobs; state degraded limits rather than changing truthfulness thresholds.</x:v>
      </x:c>
    </x:row>
    <x:row r="356" ht="27" customHeight="1">
      <x:c r="A356" s="3" t="str">
        <x:v>P38</x:v>
      </x:c>
      <x:c r="B356" s="3" t="str">
        <x:v>Prove restore, isolation and rollback on deployment</x:v>
      </x:c>
      <x:c r="C356" s="3" t="str">
        <x:v>inputs</x:v>
      </x:c>
      <x:c r="D356" s="3" t="n">
        <x:v>1</x:v>
      </x:c>
      <x:c r="E356" s="3" t="str">
        <x:v>Versioned release candidate, target credentials and encrypted backup/object/key manifests</x:v>
      </x:c>
    </x:row>
    <x:row r="357" ht="27" customHeight="1">
      <x:c r="A357" s="14" t="str">
        <x:v>P38</x:v>
      </x:c>
      <x:c r="B357" s="14" t="str">
        <x:v>Prove restore, isolation and rollback on deployment</x:v>
      </x:c>
      <x:c r="C357" s="14" t="str">
        <x:v>outputs</x:v>
      </x:c>
      <x:c r="D357" s="14" t="n">
        <x:v>1</x:v>
      </x:c>
      <x:c r="E357" s="14" t="str">
        <x:v>Measured isolated restore and reversible release rehearsal</x:v>
      </x:c>
    </x:row>
    <x:row r="358" ht="27" customHeight="1">
      <x:c r="A358" s="3" t="str">
        <x:v>P38</x:v>
      </x:c>
      <x:c r="B358" s="3" t="str">
        <x:v>Prove restore, isolation and rollback on deployment</x:v>
      </x:c>
      <x:c r="C358" s="3" t="str">
        <x:v>steps</x:v>
      </x:c>
      <x:c r="D358" s="3" t="n">
        <x:v>1</x:v>
      </x:c>
      <x:c r="E358" s="3" t="str">
        <x:v>Restore with egress/dispatch disabled; reconcile records, hashes, object versions and key access using actual runtime roles.</x:v>
      </x:c>
    </x:row>
    <x:row r="359" ht="27" customHeight="1">
      <x:c r="A359" s="14" t="str">
        <x:v>P38</x:v>
      </x:c>
      <x:c r="B359" s="14" t="str">
        <x:v>Prove restore, isolation and rollback on deployment</x:v>
      </x:c>
      <x:c r="C359" s="14" t="str">
        <x:v>steps</x:v>
      </x:c>
      <x:c r="D359" s="14" t="n">
        <x:v>2</x:v>
      </x:c>
      <x:c r="E359" s="14" t="str">
        <x:v>Apply current revocation policy and erasure tombstones, invalidate restored sessions and reconcile jobs/receipts before reopening.</x:v>
      </x:c>
    </x:row>
    <x:row r="360" ht="27" customHeight="1">
      <x:c r="A360" s="3" t="str">
        <x:v>P38</x:v>
      </x:c>
      <x:c r="B360" s="3" t="str">
        <x:v>Prove restore, isolation and rollback on deployment</x:v>
      </x:c>
      <x:c r="C360" s="3" t="str">
        <x:v>steps</x:v>
      </x:c>
      <x:c r="D360" s="3" t="n">
        <x:v>3</x:v>
      </x:c>
      <x:c r="E360" s="3" t="str">
        <x:v>Measure actual RTO/RPO; inject missing key/object, stale schema and rollback after target-only writes, refusing unsafe recovery.</x:v>
      </x:c>
    </x:row>
    <x:row r="361" ht="27" customHeight="1">
      <x:c r="A361" s="14" t="str">
        <x:v>P38</x:v>
      </x:c>
      <x:c r="B361" s="14" t="str">
        <x:v>Prove restore, isolation and rollback on deployment</x:v>
      </x:c>
      <x:c r="C361" s="14" t="str">
        <x:v>expected</x:v>
      </x:c>
      <x:c r="D361" s="14" t="n">
        <x:v>1</x:v>
      </x:c>
      <x:c r="E361" s="14" t="str">
        <x:v>A successful backup command is not restore proof.</x:v>
      </x:c>
    </x:row>
    <x:row r="362" ht="27" customHeight="1">
      <x:c r="A362" s="3" t="str">
        <x:v>P38</x:v>
      </x:c>
      <x:c r="B362" s="3" t="str">
        <x:v>Prove restore, isolation and rollback on deployment</x:v>
      </x:c>
      <x:c r="C362" s="3" t="str">
        <x:v>expected</x:v>
      </x:c>
      <x:c r="D362" s="3" t="n">
        <x:v>2</x:v>
      </x:c>
      <x:c r="E362" s="3" t="str">
        <x:v>No revoked account or erased object regains availability; accepted writes survive the rehearsed rollback.</x:v>
      </x:c>
    </x:row>
    <x:row r="363" ht="27" customHeight="1">
      <x:c r="A363" s="14" t="str">
        <x:v>P38</x:v>
      </x:c>
      <x:c r="B363" s="14" t="str">
        <x:v>Prove restore, isolation and rollback on deployment</x:v>
      </x:c>
      <x:c r="C363" s="14" t="str">
        <x:v>rollback</x:v>
      </x:c>
      <x:c r="D363" s="14" t="n">
        <x:v>1</x:v>
      </x:c>
      <x:c r="E363" s="14" t="str">
        <x:v>Keep the candidate isolated and serving closed; resume only from a reconciled compatible checkpoint with approved key recovery.</x:v>
      </x:c>
    </x:row>
    <x:row r="364" ht="40" customHeight="1">
      <x:c r="A364" s="3" t="str">
        <x:v>P39</x:v>
      </x:c>
      <x:c r="B364" s="3" t="str">
        <x:v>Verify deployed privacy, support and supply-chain boundaries</x:v>
      </x:c>
      <x:c r="C364" s="3" t="str">
        <x:v>inputs</x:v>
      </x:c>
      <x:c r="D364" s="3" t="n">
        <x:v>1</x:v>
      </x:c>
      <x:c r="E364" s="3" t="str">
        <x:v>Target pipeline/service identities, dependency artifacts, support roles and processor map</x:v>
      </x:c>
    </x:row>
    <x:row r="365" ht="40" customHeight="1">
      <x:c r="A365" s="14" t="str">
        <x:v>P39</x:v>
      </x:c>
      <x:c r="B365" s="14" t="str">
        <x:v>Verify deployed privacy, support and supply-chain boundaries</x:v>
      </x:c>
      <x:c r="C365" s="14" t="str">
        <x:v>inputs</x:v>
      </x:c>
      <x:c r="D365" s="14" t="n">
        <x:v>2</x:v>
      </x:c>
      <x:c r="E365" s="14" t="str">
        <x:v>CHOICE-05 operation-specific approval and BK-69-AC3/BK-79-AC3 media policy/integration evidence</x:v>
      </x:c>
    </x:row>
    <x:row r="366" ht="40" customHeight="1">
      <x:c r="A366" s="3" t="str">
        <x:v>P39</x:v>
      </x:c>
      <x:c r="B366" s="3" t="str">
        <x:v>Verify deployed privacy, support and supply-chain boundaries</x:v>
      </x:c>
      <x:c r="C366" s="3" t="str">
        <x:v>outputs</x:v>
      </x:c>
      <x:c r="D366" s="3" t="n">
        <x:v>1</x:v>
      </x:c>
      <x:c r="E366" s="3" t="str">
        <x:v>Independent security evidence for deployed data paths and build provenance</x:v>
      </x:c>
    </x:row>
    <x:row r="367" ht="40" customHeight="1">
      <x:c r="A367" s="14" t="str">
        <x:v>P39</x:v>
      </x:c>
      <x:c r="B367" s="14" t="str">
        <x:v>Verify deployed privacy, support and supply-chain boundaries</x:v>
      </x:c>
      <x:c r="C367" s="14" t="str">
        <x:v>steps</x:v>
      </x:c>
      <x:c r="D367" s="14" t="n">
        <x:v>1</x:v>
      </x:c>
      <x:c r="E367" s="14" t="str">
        <x:v>Inventory every deploy artifact/dependency/secret source and privileged support path; bind scans/signatures/policies to the candidate.</x:v>
      </x:c>
    </x:row>
    <x:row r="368" ht="40" customHeight="1">
      <x:c r="A368" s="3" t="str">
        <x:v>P39</x:v>
      </x:c>
      <x:c r="B368" s="3" t="str">
        <x:v>Verify deployed privacy, support and supply-chain boundaries</x:v>
      </x:c>
      <x:c r="C368" s="3" t="str">
        <x:v>steps</x:v>
      </x:c>
      <x:c r="D368" s="3" t="n">
        <x:v>2</x:v>
      </x:c>
      <x:c r="E368" s="3" t="str">
        <x:v>Exercise wrong-tenant worker/search/export, unapproved egress, diagnostic sentinel, secret-bearing artifact and unrelated-matter support access.</x:v>
      </x:c>
    </x:row>
    <x:row r="369" ht="40" customHeight="1">
      <x:c r="A369" s="14" t="str">
        <x:v>P39</x:v>
      </x:c>
      <x:c r="B369" s="14" t="str">
        <x:v>Verify deployed privacy, support and supply-chain boundaries</x:v>
      </x:c>
      <x:c r="C369" s="14" t="str">
        <x:v>steps</x:v>
      </x:c>
      <x:c r="D369" s="14" t="n">
        <x:v>3</x:v>
      </x:c>
      <x:c r="E369" s="14" t="str">
        <x:v>Run qualified adversarial review on the enabled configuration; include logged emergency access expiry and processor deletion/retention evidence.</x:v>
      </x:c>
    </x:row>
    <x:row r="370" ht="55" customHeight="1">
      <x:c r="A370" s="3" t="str">
        <x:v>P39</x:v>
      </x:c>
      <x:c r="B370" s="3" t="str">
        <x:v>Verify deployed privacy, support and supply-chain boundaries</x:v>
      </x:c>
      <x:c r="C370" s="3" t="str">
        <x:v>steps</x:v>
      </x:c>
      <x:c r="D370" s="3" t="n">
        <x:v>4</x:v>
      </x:c>
      <x:c r="E370"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71" ht="40" customHeight="1">
      <x:c r="A371" s="14" t="str">
        <x:v>P39</x:v>
      </x:c>
      <x:c r="B371" s="14" t="str">
        <x:v>Verify deployed privacy, support and supply-chain boundaries</x:v>
      </x:c>
      <x:c r="C371" s="14" t="str">
        <x:v>steps</x:v>
      </x:c>
      <x:c r="D371" s="14" t="n">
        <x:v>5</x:v>
      </x:c>
      <x:c r="E371"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2" ht="40" customHeight="1">
      <x:c r="A372" s="3" t="str">
        <x:v>P39</x:v>
      </x:c>
      <x:c r="B372" s="3" t="str">
        <x:v>Verify deployed privacy, support and supply-chain boundaries</x:v>
      </x:c>
      <x:c r="C372" s="3" t="str">
        <x:v>expected</x:v>
      </x:c>
      <x:c r="D372" s="3" t="n">
        <x:v>1</x:v>
      </x:c>
      <x:c r="E372" s="3" t="str">
        <x:v>A scanner result is not a penetration-test or compliance certificate.</x:v>
      </x:c>
    </x:row>
    <x:row r="373" ht="40" customHeight="1">
      <x:c r="A373" s="14" t="str">
        <x:v>P39</x:v>
      </x:c>
      <x:c r="B373" s="14" t="str">
        <x:v>Verify deployed privacy, support and supply-chain boundaries</x:v>
      </x:c>
      <x:c r="C373" s="14" t="str">
        <x:v>expected</x:v>
      </x:c>
      <x:c r="D373" s="14" t="n">
        <x:v>2</x:v>
      </x:c>
      <x:c r="E373" s="14" t="str">
        <x:v>Synthetic local permissions do not prove target IAM/KMS/network isolation.</x:v>
      </x:c>
    </x:row>
    <x:row r="374" ht="40" customHeight="1">
      <x:c r="A374" s="3" t="str">
        <x:v>P39</x:v>
      </x:c>
      <x:c r="B374" s="3" t="str">
        <x:v>Verify deployed privacy, support and supply-chain boundaries</x:v>
      </x:c>
      <x:c r="C374" s="3" t="str">
        <x:v>rollback</x:v>
      </x:c>
      <x:c r="D374" s="3" t="n">
        <x:v>1</x:v>
      </x:c>
      <x:c r="E374" s="3" t="str">
        <x:v>Quarantine the candidate or affected processor; revoke access, rotate exposed credentials and preserve incident evidence under the reviewed process.</x:v>
      </x:c>
    </x:row>
    <x:row r="375" ht="27" customHeight="1">
      <x:c r="A375" s="14" t="str">
        <x:v>P40</x:v>
      </x:c>
      <x:c r="B375" s="14" t="str">
        <x:v>Rehearse incident response with actual accountable people</x:v>
      </x:c>
      <x:c r="C375" s="14" t="str">
        <x:v>inputs</x:v>
      </x:c>
      <x:c r="D375" s="14" t="n">
        <x:v>1</x:v>
      </x:c>
      <x:c r="E375" s="14" t="str">
        <x:v>Dated incident duties, contacts, escalation rota and simulated incomplete-information event</x:v>
      </x:c>
    </x:row>
    <x:row r="376" ht="27" customHeight="1">
      <x:c r="A376" s="3" t="str">
        <x:v>P40</x:v>
      </x:c>
      <x:c r="B376" s="3" t="str">
        <x:v>Rehearse incident response with actual accountable people</x:v>
      </x:c>
      <x:c r="C376" s="3" t="str">
        <x:v>outputs</x:v>
      </x:c>
      <x:c r="D376" s="3" t="n">
        <x:v>1</x:v>
      </x:c>
      <x:c r="E376" s="3" t="str">
        <x:v>Timestamped tabletop record, notification decisions and recovery responsibilities</x:v>
      </x:c>
    </x:row>
    <x:row r="377" ht="27" customHeight="1">
      <x:c r="A377" s="14" t="str">
        <x:v>P40</x:v>
      </x:c>
      <x:c r="B377" s="14" t="str">
        <x:v>Rehearse incident response with actual accountable people</x:v>
      </x:c>
      <x:c r="C377" s="14" t="str">
        <x:v>steps</x:v>
      </x:c>
      <x:c r="D377" s="14" t="n">
        <x:v>1</x:v>
      </x:c>
      <x:c r="E377" s="14" t="str">
        <x:v>Trigger detection and primary-contact failure; record time without logging client content.</x:v>
      </x:c>
    </x:row>
    <x:row r="378" ht="27" customHeight="1">
      <x:c r="A378" s="3" t="str">
        <x:v>P40</x:v>
      </x:c>
      <x:c r="B378" s="3" t="str">
        <x:v>Rehearse incident response with actual accountable people</x:v>
      </x:c>
      <x:c r="C378" s="3" t="str">
        <x:v>steps</x:v>
      </x:c>
      <x:c r="D378" s="3" t="n">
        <x:v>2</x:v>
      </x:c>
      <x:c r="E378" s="3" t="str">
        <x:v>Use reviewed applicable clocks and available-information reporting; test secondary escalation, containment and evidence custody.</x:v>
      </x:c>
    </x:row>
    <x:row r="379" ht="27" customHeight="1">
      <x:c r="A379" s="14" t="str">
        <x:v>P40</x:v>
      </x:c>
      <x:c r="B379" s="14" t="str">
        <x:v>Rehearse incident response with actual accountable people</x:v>
      </x:c>
      <x:c r="C379" s="14" t="str">
        <x:v>steps</x:v>
      </x:c>
      <x:c r="D379" s="14" t="n">
        <x:v>3</x:v>
      </x:c>
      <x:c r="E379" s="14" t="str">
        <x:v>Reconcile containment/recovery with client privilege, continuing duties and support authority; register every missed step with owner.</x:v>
      </x:c>
    </x:row>
    <x:row r="380" ht="27" customHeight="1">
      <x:c r="A380" s="3" t="str">
        <x:v>P40</x:v>
      </x:c>
      <x:c r="B380" s="3" t="str">
        <x:v>Rehearse incident response with actual accountable people</x:v>
      </x:c>
      <x:c r="C380" s="3" t="str">
        <x:v>expected</x:v>
      </x:c>
      <x:c r="D380" s="3" t="n">
        <x:v>1</x:v>
      </x:c>
      <x:c r="E380" s="3" t="str">
        <x:v>Missing information or absent primary contact does not silently stop the required response.</x:v>
      </x:c>
    </x:row>
    <x:row r="381" ht="27" customHeight="1">
      <x:c r="A381" s="14" t="str">
        <x:v>P40</x:v>
      </x:c>
      <x:c r="B381" s="14" t="str">
        <x:v>Rehearse incident response with actual accountable people</x:v>
      </x:c>
      <x:c r="C381" s="14" t="str">
        <x:v>expected</x:v>
      </x:c>
      <x:c r="D381" s="14" t="n">
        <x:v>2</x:v>
      </x:c>
      <x:c r="E381" s="14" t="str">
        <x:v>Evidence includes people/contact results, not just an incident-policy document.</x:v>
      </x:c>
    </x:row>
    <x:row r="382" ht="27" customHeight="1">
      <x:c r="A382" s="3" t="str">
        <x:v>P40</x:v>
      </x:c>
      <x:c r="B382" s="3" t="str">
        <x:v>Rehearse incident response with actual accountable people</x:v>
      </x:c>
      <x:c r="C382" s="3" t="str">
        <x:v>rollback</x:v>
      </x:c>
      <x:c r="D382" s="3" t="n">
        <x:v>1</x:v>
      </x:c>
      <x:c r="E382" s="3" t="str">
        <x:v>Keep release closed where accountable response failed; correct contact/authority gaps and repeat the bounded tabletop.</x:v>
      </x:c>
    </x:row>
    <x:row r="383" ht="27" customHeight="1">
      <x:c r="A383" s="14" t="str">
        <x:v>P41</x:v>
      </x:c>
      <x:c r="B383" s="14" t="str">
        <x:v>Sign off a scoped operated release</x:v>
      </x:c>
      <x:c r="C383" s="14" t="str">
        <x:v>inputs</x:v>
      </x:c>
      <x:c r="D383" s="14" t="n">
        <x:v>1</x:v>
      </x:c>
      <x:c r="E383" s="14" t="str">
        <x:v>Enabled-scope manifest, cumulative current evidence and accountable release reviewer</x:v>
      </x:c>
    </x:row>
    <x:row r="384" ht="27" customHeight="1">
      <x:c r="A384" s="3" t="str">
        <x:v>P41</x:v>
      </x:c>
      <x:c r="B384" s="3" t="str">
        <x:v>Sign off a scoped operated release</x:v>
      </x:c>
      <x:c r="C384" s="3" t="str">
        <x:v>outputs</x:v>
      </x:c>
      <x:c r="D384" s="3" t="n">
        <x:v>1</x:v>
      </x:c>
      <x:c r="E384" s="3" t="str">
        <x:v>Explicit release decision with exclusions, reservations, rollback triggers and review cadence</x:v>
      </x:c>
    </x:row>
    <x:row r="385" ht="27" customHeight="1">
      <x:c r="A385" s="14" t="str">
        <x:v>P41</x:v>
      </x:c>
      <x:c r="B385" s="14" t="str">
        <x:v>Sign off a scoped operated release</x:v>
      </x:c>
      <x:c r="C385" s="14" t="str">
        <x:v>steps</x:v>
      </x:c>
      <x:c r="D385" s="14" t="n">
        <x:v>1</x:v>
      </x:c>
      <x:c r="E385" s="14" t="str">
        <x:v>Freeze exact build/schema/policy/corpus/model/prompt/provider/scope identities and expected end-to-end population.</x:v>
      </x:c>
    </x:row>
    <x:row r="386" ht="27" customHeight="1">
      <x:c r="A386" s="3" t="str">
        <x:v>P41</x:v>
      </x:c>
      <x:c r="B386" s="3" t="str">
        <x:v>Sign off a scoped operated release</x:v>
      </x:c>
      <x:c r="C386" s="3" t="str">
        <x:v>steps</x:v>
      </x:c>
      <x:c r="D386" s="3" t="n">
        <x:v>2</x:v>
      </x:c>
      <x:c r="E386" s="3" t="str">
        <x:v>Run the approved supported journey, accessibility, load/degradation and legal-quality portfolio without hand-authored inter-stage state.</x:v>
      </x:c>
    </x:row>
    <x:row r="387" ht="40" customHeight="1">
      <x:c r="A387" s="14" t="str">
        <x:v>P41</x:v>
      </x:c>
      <x:c r="B387" s="14" t="str">
        <x:v>Sign off a scoped operated release</x:v>
      </x:c>
      <x:c r="C387" s="14" t="str">
        <x:v>steps</x:v>
      </x:c>
      <x:c r="D387" s="14" t="n">
        <x:v>3</x:v>
      </x:c>
      <x:c r="E387" s="14" t="str">
        <x:v>Refuse critical failures, incomplete runs or unapproved enabled scope; roll out to the named population only, monitor triggers and retain prior evidence.</x:v>
      </x:c>
    </x:row>
    <x:row r="388" ht="40" customHeight="1">
      <x:c r="A388" s="3" t="str">
        <x:v>P41</x:v>
      </x:c>
      <x:c r="B388" s="3" t="str">
        <x:v>Sign off a scoped operated release</x:v>
      </x:c>
      <x:c r="C388" s="3" t="str">
        <x:v>steps</x:v>
      </x:c>
      <x:c r="D388" s="3" t="n">
        <x:v>4</x:v>
      </x:c>
      <x:c r="E388" s="3" t="str">
        <x:v>Preserve the frozen known-good portfolio for exact retrieval, visible refusals, served History and the selected authentication profile while extending the journey.</x:v>
      </x:c>
    </x:row>
    <x:row r="389" ht="27" customHeight="1">
      <x:c r="A389" s="14" t="str">
        <x:v>P41</x:v>
      </x:c>
      <x:c r="B389" s="14" t="str">
        <x:v>Sign off a scoped operated release</x:v>
      </x:c>
      <x:c r="C389" s="14" t="str">
        <x:v>expected</x:v>
      </x:c>
      <x:c r="D389" s="14" t="n">
        <x:v>1</x:v>
      </x:c>
      <x:c r="E389" s="14" t="str">
        <x:v>No aggregate green score overrides a critical security or legal failure.</x:v>
      </x:c>
    </x:row>
    <x:row r="390" ht="40" customHeight="1">
      <x:c r="A390" s="3" t="str">
        <x:v>P41</x:v>
      </x:c>
      <x:c r="B390" s="3" t="str">
        <x:v>Sign off a scoped operated release</x:v>
      </x:c>
      <x:c r="C390" s="3" t="str">
        <x:v>expected</x:v>
      </x:c>
      <x:c r="D390" s="3" t="n">
        <x:v>2</x:v>
      </x:c>
      <x:c r="E390" s="3" t="str">
        <x:v>Optional external actions remain disabled if CHOICE-09 does not approve them; their excluded connector does not block the approved draft/manual-receipt scope.</x:v>
      </x:c>
    </x:row>
    <x:row r="391" ht="27" customHeight="1">
      <x:c r="A391" s="14" t="str">
        <x:v>P41</x:v>
      </x:c>
      <x:c r="B391" s="14" t="str">
        <x:v>Sign off a scoped operated release</x:v>
      </x:c>
      <x:c r="C391" s="14" t="str">
        <x:v>rollback</x:v>
      </x:c>
      <x:c r="D391" s="14" t="n">
        <x:v>1</x:v>
      </x:c>
      <x:c r="E391" s="14" t="str">
        <x:v>Pause unsafe enabled paths and execute the rehearsed compatible rollback while preserving accepted state and informing affected users.</x:v>
      </x:c>
    </x:row>
    <x:row r="392" ht="40" customHeight="1">
      <x:c r="A392" s="3" t="str">
        <x:v>P42</x:v>
      </x:c>
      <x:c r="B392" s="3" t="str">
        <x:v>Keep the existing control plane and byte restoration intact</x:v>
      </x:c>
      <x:c r="C392" s="3" t="str">
        <x:v>inputs</x:v>
      </x:c>
      <x:c r="D392" s="3" t="n">
        <x:v>1</x:v>
      </x:c>
      <x:c r="E392" s="3" t="str">
        <x:v>Current registry, generated board and isolated temporary specification bytes</x:v>
      </x:c>
    </x:row>
    <x:row r="393" ht="40" customHeight="1">
      <x:c r="A393" s="14" t="str">
        <x:v>P42</x:v>
      </x:c>
      <x:c r="B393" s="14" t="str">
        <x:v>Keep the existing control plane and byte restoration intact</x:v>
      </x:c>
      <x:c r="C393" s="14" t="str">
        <x:v>outputs</x:v>
      </x:c>
      <x:c r="D393" s="14" t="n">
        <x:v>1</x:v>
      </x:c>
      <x:c r="E393" s="14" t="str">
        <x:v>Cumulative existing-control regression evidence with explicit baseline failures</x:v>
      </x:c>
    </x:row>
    <x:row r="394" ht="40" customHeight="1">
      <x:c r="A394" s="3" t="str">
        <x:v>P42</x:v>
      </x:c>
      <x:c r="B394" s="3" t="str">
        <x:v>Keep the existing control plane and byte restoration intact</x:v>
      </x:c>
      <x:c r="C394" s="3" t="str">
        <x:v>steps</x:v>
      </x:c>
      <x:c r="D394" s="3" t="n">
        <x:v>1</x:v>
      </x:c>
      <x:c r="E394" s="3" t="str">
        <x:v>Re-use existing population/derived-state/lifecycle controls; do not create alternate packet completion state.</x:v>
      </x:c>
    </x:row>
    <x:row r="395" ht="40" customHeight="1">
      <x:c r="A395" s="14" t="str">
        <x:v>P42</x:v>
      </x:c>
      <x:c r="B395" s="14" t="str">
        <x:v>Keep the existing control plane and byte restoration intact</x:v>
      </x:c>
      <x:c r="C395" s="14" t="str">
        <x:v>steps</x:v>
      </x:c>
      <x:c r="D395" s="14" t="n">
        <x:v>2</x:v>
      </x:c>
      <x:c r="E395" s="14" t="str">
        <x:v>Test all-item/feature/step reconciliation, missing evidence, authored done and generated drift using isolated copies.</x:v>
      </x:c>
    </x:row>
    <x:row r="396" ht="40" customHeight="1">
      <x:c r="A396" s="3" t="str">
        <x:v>P42</x:v>
      </x:c>
      <x:c r="B396" s="3" t="str">
        <x:v>Keep the existing control plane and byte restoration intact</x:v>
      </x:c>
      <x:c r="C396" s="3" t="str">
        <x:v>steps</x:v>
      </x:c>
      <x:c r="D396" s="3" t="n">
        <x:v>3</x:v>
      </x:c>
      <x:c r="E396" s="3" t="str">
        <x:v>Exercise mutation cleanup after planted failure and assert exact original bytes are restored; distinguish source-preservation failures from unrelated trace baseline.</x:v>
      </x:c>
    </x:row>
    <x:row r="397" ht="40" customHeight="1">
      <x:c r="A397" s="14" t="str">
        <x:v>P42</x:v>
      </x:c>
      <x:c r="B397" s="14" t="str">
        <x:v>Keep the existing control plane and byte restoration intact</x:v>
      </x:c>
      <x:c r="C397" s="14" t="str">
        <x:v>steps</x:v>
      </x:c>
      <x:c r="D397" s="14" t="n">
        <x:v>4</x:v>
      </x:c>
      <x:c r="E397" s="14" t="str">
        <x:v>Retain existing professional/wave mutation probes, Start/Build/Test/Sign-off enforcement, evidence bootstrap-cycle refusal and executable graph-hook checks; a known-good journey regression must fail, not be reclassified as an expected defect.</x:v>
      </x:c>
    </x:row>
    <x:row r="398" ht="40" customHeight="1">
      <x:c r="A398" s="3" t="str">
        <x:v>P42</x:v>
      </x:c>
      <x:c r="B398" s="3" t="str">
        <x:v>Keep the existing control plane and byte restoration intact</x:v>
      </x:c>
      <x:c r="C398" s="3" t="str">
        <x:v>expected</x:v>
      </x:c>
      <x:c r="D398" s="3" t="n">
        <x:v>1</x:v>
      </x:c>
      <x:c r="E398" s="3" t="str">
        <x:v>This is maintenance of existing work, not a claim it must be rebuilt.</x:v>
      </x:c>
    </x:row>
    <x:row r="399" ht="40" customHeight="1">
      <x:c r="A399" s="14" t="str">
        <x:v>P42</x:v>
      </x:c>
      <x:c r="B399" s="14" t="str">
        <x:v>Keep the existing control plane and byte restoration intact</x:v>
      </x:c>
      <x:c r="C399" s="14" t="str">
        <x:v>expected</x:v>
      </x:c>
      <x:c r="D399" s="14" t="n">
        <x:v>2</x:v>
      </x:c>
      <x:c r="E399" s="14" t="str">
        <x:v>Current evidence freshness and any existing failures remain visible.</x:v>
      </x:c>
    </x:row>
    <x:row r="400" ht="40" customHeight="1">
      <x:c r="A400" s="3" t="str">
        <x:v>P42</x:v>
      </x:c>
      <x:c r="B400" s="3" t="str">
        <x:v>Keep the existing control plane and byte restoration intact</x:v>
      </x:c>
      <x:c r="C400" s="3" t="str">
        <x:v>rollback</x:v>
      </x:c>
      <x:c r="D400" s="3" t="n">
        <x:v>1</x:v>
      </x:c>
      <x:c r="E400" s="3" t="str">
        <x:v>Restore only the task's isolated mutation fixtures; preserve user edits and the registered failed evidence.</x:v>
      </x:c>
    </x:row>
    <x:row r="401" ht="27" customHeight="1">
      <x:c r="A401" s="14" t="str">
        <x:v>P43</x:v>
      </x:c>
      <x:c r="B401" s="14" t="str">
        <x:v>Adopt and maintain the execution-ready plan</x:v>
      </x:c>
      <x:c r="C401" s="14" t="str">
        <x:v>inputs</x:v>
      </x:c>
      <x:c r="D401" s="14" t="n">
        <x:v>1</x:v>
      </x:c>
      <x:c r="E401" s="14" t="str">
        <x:v>Current plan, all current criteria and decision/scenario/command catalogs</x:v>
      </x:c>
    </x:row>
    <x:row r="402" ht="27" customHeight="1">
      <x:c r="A402" s="3" t="str">
        <x:v>P43</x:v>
      </x:c>
      <x:c r="B402" s="3" t="str">
        <x:v>Adopt and maintain the execution-ready plan</x:v>
      </x:c>
      <x:c r="C402" s="3" t="str">
        <x:v>outputs</x:v>
      </x:c>
      <x:c r="D402" s="3" t="n">
        <x:v>1</x:v>
      </x:c>
      <x:c r="E402" s="3" t="str">
        <x:v>Reconciled module/packet/criterion navigation with explicit unapproved release choices</x:v>
      </x:c>
    </x:row>
    <x:row r="403" ht="40" customHeight="1">
      <x:c r="A403" s="14" t="str">
        <x:v>P43</x:v>
      </x:c>
      <x:c r="B403" s="14" t="str">
        <x:v>Adopt and maintain the execution-ready plan</x:v>
      </x:c>
      <x:c r="C403" s="14" t="str">
        <x:v>steps</x:v>
      </x:c>
      <x:c r="D403" s="14" t="n">
        <x:v>1</x:v>
      </x:c>
      <x:c r="E403" s="14" t="str">
        <x:v>Check exact populations, packet DAG, criterion/command/scenario/decision references and module cross-links; preserve registry waves and historical prose.</x:v>
      </x:c>
    </x:row>
    <x:row r="404" ht="27" customHeight="1">
      <x:c r="A404" s="3" t="str">
        <x:v>P43</x:v>
      </x:c>
      <x:c r="B404" s="3" t="str">
        <x:v>Adopt and maintain the execution-ready plan</x:v>
      </x:c>
      <x:c r="C404" s="3" t="str">
        <x:v>steps</x:v>
      </x:c>
      <x:c r="D404" s="3" t="n">
        <x:v>2</x:v>
      </x:c>
      <x:c r="E404" s="3" t="str">
        <x:v>Use qualified design review for substantive India legal/privacy/role boundaries; machine checks do not self-certify these.</x:v>
      </x:c>
    </x:row>
    <x:row r="405" ht="40" customHeight="1">
      <x:c r="A405" s="14" t="str">
        <x:v>P43</x:v>
      </x:c>
      <x:c r="B405" s="14" t="str">
        <x:v>Adopt and maintain the execution-ready plan</x:v>
      </x:c>
      <x:c r="C405" s="14" t="str">
        <x:v>steps</x:v>
      </x:c>
      <x:c r="D405" s="14" t="n">
        <x:v>3</x:v>
      </x:c>
      <x:c r="E405" s="14" t="str">
        <x:v>Refresh generated reader views from authoritative records; record what is ready to implement versus blocked by a named decision, never all-plan done from structural checks.</x:v>
      </x:c>
    </x:row>
    <x:row r="406" ht="27" customHeight="1">
      <x:c r="A406" s="3" t="str">
        <x:v>P43</x:v>
      </x:c>
      <x:c r="B406" s="3" t="str">
        <x:v>Adopt and maintain the execution-ready plan</x:v>
      </x:c>
      <x:c r="C406" s="3" t="str">
        <x:v>expected</x:v>
      </x:c>
      <x:c r="D406" s="3" t="n">
        <x:v>1</x:v>
      </x:c>
      <x:c r="E406" s="3" t="str">
        <x:v>All new execution obligations have a delivery criterion or explicit adoption owner.</x:v>
      </x:c>
    </x:row>
    <x:row r="407" ht="27" customHeight="1">
      <x:c r="A407" s="14" t="str">
        <x:v>P43</x:v>
      </x:c>
      <x:c r="B407" s="14" t="str">
        <x:v>Adopt and maintain the execution-ready plan</x:v>
      </x:c>
      <x:c r="C407" s="14" t="str">
        <x:v>expected</x:v>
      </x:c>
      <x:c r="D407" s="14" t="n">
        <x:v>2</x:v>
      </x:c>
      <x:c r="E407" s="14" t="str">
        <x:v>Packet labels have no independent delivery status and unresolved approvals block only their dependent paths.</x:v>
      </x:c>
    </x:row>
    <x:row r="408" ht="40" customHeight="1">
      <x:c r="A408" s="3" t="str">
        <x:v>P43</x:v>
      </x:c>
      <x:c r="B408" s="3" t="str">
        <x:v>Adopt and maintain the execution-ready plan</x:v>
      </x:c>
      <x:c r="C408" s="3" t="str">
        <x:v>rollback</x:v>
      </x:c>
      <x:c r="D408" s="3" t="n">
        <x:v>1</x:v>
      </x:c>
      <x:c r="E408" s="3" t="str">
        <x:v>Withdraw the affected plan revision, preserve historical evidence and reopen the registered design criterion; do not erase the review finding.</x:v>
      </x:c>
    </x:row>
    <x:row r="409" ht="27" customHeight="1">
      <x:c r="A409" s="14" t="str">
        <x:v>P44</x:v>
      </x:c>
      <x:c r="B409" s="14" t="str">
        <x:v>Acquire recent eligible law without citation-count bias</x:v>
      </x:c>
      <x:c r="C409" s="14" t="str">
        <x:v>inputs</x:v>
      </x:c>
      <x:c r="D409" s="14" t="n">
        <x:v>1</x:v>
      </x:c>
      <x:c r="E409" s="14" t="str">
        <x:v>Approved source/right and bounded acquisition population including a recent low-citation eligible decision</x:v>
      </x:c>
    </x:row>
    <x:row r="410" ht="27" customHeight="1">
      <x:c r="A410" s="3" t="str">
        <x:v>P44</x:v>
      </x:c>
      <x:c r="B410" s="3" t="str">
        <x:v>Acquire recent eligible law without citation-count bias</x:v>
      </x:c>
      <x:c r="C410" s="3" t="str">
        <x:v>outputs</x:v>
      </x:c>
      <x:c r="D410" s="3" t="n">
        <x:v>1</x:v>
      </x:c>
      <x:c r="E410" s="3" t="str">
        <x:v>Explainable versioned selection rule and acquisition manifest</x:v>
      </x:c>
    </x:row>
    <x:row r="411" ht="40" customHeight="1">
      <x:c r="A411" s="14" t="str">
        <x:v>P44</x:v>
      </x:c>
      <x:c r="B411" s="14" t="str">
        <x:v>Acquire recent eligible law without citation-count bias</x:v>
      </x:c>
      <x:c r="C411" s="14" t="str">
        <x:v>steps</x:v>
      </x:c>
      <x:c r="D411" s="14" t="n">
        <x:v>1</x:v>
      </x:c>
      <x:c r="E411" s="14" t="str">
        <x:v>Replace citation-count-only exclusion with reviewed recency/eligibility rules; preserve selection reasons and identifiers for accepted/rejected records.</x:v>
      </x:c>
    </x:row>
    <x:row r="412" ht="40" customHeight="1">
      <x:c r="A412" s="3" t="str">
        <x:v>P44</x:v>
      </x:c>
      <x:c r="B412" s="3" t="str">
        <x:v>Acquire recent eligible law without citation-count bias</x:v>
      </x:c>
      <x:c r="C412" s="3" t="str">
        <x:v>steps</x:v>
      </x:c>
      <x:c r="D412" s="3" t="n">
        <x:v>2</x:v>
      </x:c>
      <x:c r="E412" s="3" t="str">
        <x:v>Test a recent eligible uncited decision and an ineligible highly cited decision so popularity cannot establish legal relevance or currency.</x:v>
      </x:c>
    </x:row>
    <x:row r="413" ht="40" customHeight="1">
      <x:c r="A413" s="14" t="str">
        <x:v>P44</x:v>
      </x:c>
      <x:c r="B413" s="14" t="str">
        <x:v>Acquire recent eligible law without citation-count bias</x:v>
      </x:c>
      <x:c r="C413" s="14" t="str">
        <x:v>steps</x:v>
      </x:c>
      <x:c r="D413" s="14" t="n">
        <x:v>3</x:v>
      </x:c>
      <x:c r="E413" s="14" t="str">
        <x:v>Prepare the bounded acquisition command and receipt reconciliation; obtain specific approval before scraping/downloading, then submit candidates to P20 publication rather than altering the active shared store.</x:v>
      </x:c>
    </x:row>
    <x:row r="414" ht="27" customHeight="1">
      <x:c r="A414" s="3" t="str">
        <x:v>P44</x:v>
      </x:c>
      <x:c r="B414" s="3" t="str">
        <x:v>Acquire recent eligible law without citation-count bias</x:v>
      </x:c>
      <x:c r="C414" s="3" t="str">
        <x:v>expected</x:v>
      </x:c>
      <x:c r="D414" s="3" t="n">
        <x:v>1</x:v>
      </x:c>
      <x:c r="E414" s="3" t="str">
        <x:v>Recent otherwise eligible decisions are not excluded merely for low citation count.</x:v>
      </x:c>
    </x:row>
    <x:row r="415" ht="27" customHeight="1">
      <x:c r="A415" s="14" t="str">
        <x:v>P44</x:v>
      </x:c>
      <x:c r="B415" s="14" t="str">
        <x:v>Acquire recent eligible law without citation-count bias</x:v>
      </x:c>
      <x:c r="C415" s="14" t="str">
        <x:v>expected</x:v>
      </x:c>
      <x:c r="D415" s="14" t="n">
        <x:v>2</x:v>
      </x:c>
      <x:c r="E415" s="14" t="str">
        <x:v>Successful acquisition does not establish verified applicability or completeness.</x:v>
      </x:c>
    </x:row>
    <x:row r="416" ht="27" customHeight="1">
      <x:c r="A416" s="3" t="str">
        <x:v>P44</x:v>
      </x:c>
      <x:c r="B416" s="3" t="str">
        <x:v>Acquire recent eligible law without citation-count bias</x:v>
      </x:c>
      <x:c r="C416" s="3" t="str">
        <x:v>rollback</x:v>
      </x:c>
      <x:c r="D416" s="3" t="n">
        <x:v>1</x:v>
      </x:c>
      <x:c r="E416" s="3" t="str">
        <x:v>Suspend acquisition, retain rights/source/selection receipts and quarantine candidates; the active published snapshot remains untouched.</x:v>
      </x:c>
    </x:row>
    <x:row r="417" ht="40" customHeight="1">
      <x:c r="A417" s="14" t="str">
        <x:v>P45</x:v>
      </x:c>
      <x:c r="B417" s="14" t="str">
        <x:v>Operate authorised proactive work and continuing conflict watch</x:v>
      </x:c>
      <x:c r="C417" s="14" t="str">
        <x:v>inputs</x:v>
      </x:c>
      <x:c r="D417" s="14" t="n">
        <x:v>1</x:v>
      </x:c>
      <x:c r="E417" s="14" t="str">
        <x:v>Recorded service authority, responsible actor, trigger/cadence and notification preference</x:v>
      </x:c>
    </x:row>
    <x:row r="418" ht="40" customHeight="1">
      <x:c r="A418" s="3" t="str">
        <x:v>P45</x:v>
      </x:c>
      <x:c r="B418" s="3" t="str">
        <x:v>Operate authorised proactive work and continuing conflict watch</x:v>
      </x:c>
      <x:c r="C418" s="3" t="str">
        <x:v>inputs</x:v>
      </x:c>
      <x:c r="D418" s="3" t="n">
        <x:v>2</x:v>
      </x:c>
      <x:c r="E418" s="3" t="str">
        <x:v>New party shared across restricted synthetic matters</x:v>
      </x:c>
    </x:row>
    <x:row r="419" ht="40" customHeight="1">
      <x:c r="A419" s="14" t="str">
        <x:v>P45</x:v>
      </x:c>
      <x:c r="B419" s="14" t="str">
        <x:v>Operate authorised proactive work and continuing conflict watch</x:v>
      </x:c>
      <x:c r="C419" s="14" t="str">
        <x:v>outputs</x:v>
      </x:c>
      <x:c r="D419" s="14" t="n">
        <x:v>1</x:v>
      </x:c>
      <x:c r="E419" s="14" t="str">
        <x:v>Cancellable deduplicated service jobs and scoped continuing-conflict reassessment</x:v>
      </x:c>
    </x:row>
    <x:row r="420" ht="40" customHeight="1">
      <x:c r="A420" s="3" t="str">
        <x:v>P45</x:v>
      </x:c>
      <x:c r="B420" s="3" t="str">
        <x:v>Operate authorised proactive work and continuing conflict watch</x:v>
      </x:c>
      <x:c r="C420" s="3" t="str">
        <x:v>steps</x:v>
      </x:c>
      <x:c r="D420" s="3" t="n">
        <x:v>1</x:v>
      </x:c>
      <x:c r="E420" s="3" t="str">
        <x:v>Persist proactive service authority separately from permission to read the matter; create jobs only while owner, authority and trigger are current.</x:v>
      </x:c>
    </x:row>
    <x:row r="421" ht="40" customHeight="1">
      <x:c r="A421" s="14" t="str">
        <x:v>P45</x:v>
      </x:c>
      <x:c r="B421" s="14" t="str">
        <x:v>Operate authorised proactive work and continuing conflict watch</x:v>
      </x:c>
      <x:c r="C421" s="14" t="str">
        <x:v>steps</x:v>
      </x:c>
      <x:c r="D421" s="14" t="n">
        <x:v>2</x:v>
      </x:c>
      <x:c r="E421" s="14" t="str">
        <x:v>On new parties/material changes reopen relevant conflict assessments through a minimal restricted index, never returning another client's matter details to the advocate.</x:v>
      </x:c>
    </x:row>
    <x:row r="422" ht="40" customHeight="1">
      <x:c r="A422" s="3" t="str">
        <x:v>P45</x:v>
      </x:c>
      <x:c r="B422" s="3" t="str">
        <x:v>Operate authorised proactive work and continuing conflict watch</x:v>
      </x:c>
      <x:c r="C422" s="3" t="str">
        <x:v>steps</x:v>
      </x:c>
      <x:c r="D422" s="3" t="n">
        <x:v>3</x:v>
      </x:c>
      <x:c r="E422" s="3" t="str">
        <x:v>Cancel/revoke during job execution and simulate a lost notification acknowledgement; reconcile duplicates and show outstanding owner/next action without claiming silent ongoing monitoring.</x:v>
      </x:c>
    </x:row>
    <x:row r="423" ht="40" customHeight="1">
      <x:c r="A423" s="14" t="str">
        <x:v>P45</x:v>
      </x:c>
      <x:c r="B423" s="14" t="str">
        <x:v>Operate authorised proactive work and continuing conflict watch</x:v>
      </x:c>
      <x:c r="C423" s="14" t="str">
        <x:v>expected</x:v>
      </x:c>
      <x:c r="D423" s="14" t="n">
        <x:v>1</x:v>
      </x:c>
      <x:c r="E423" s="14" t="str">
        <x:v>No unsolicited background work or duplicated consequential notification.</x:v>
      </x:c>
    </x:row>
    <x:row r="424" ht="40" customHeight="1">
      <x:c r="A424" s="3" t="str">
        <x:v>P45</x:v>
      </x:c>
      <x:c r="B424" s="3" t="str">
        <x:v>Operate authorised proactive work and continuing conflict watch</x:v>
      </x:c>
      <x:c r="C424" s="3" t="str">
        <x:v>expected</x:v>
      </x:c>
      <x:c r="D424" s="3" t="n">
        <x:v>2</x:v>
      </x:c>
      <x:c r="E424" s="3" t="str">
        <x:v>Continuing-conflict assessment protects other matters while making the current file's limit visible.</x:v>
      </x:c>
    </x:row>
    <x:row r="425" ht="40" customHeight="1">
      <x:c r="A425" s="14" t="str">
        <x:v>P45</x:v>
      </x:c>
      <x:c r="B425" s="14" t="str">
        <x:v>Operate authorised proactive work and continuing conflict watch</x:v>
      </x:c>
      <x:c r="C425" s="14" t="str">
        <x:v>rollback</x:v>
      </x:c>
      <x:c r="D425" s="14" t="n">
        <x:v>1</x:v>
      </x:c>
      <x:c r="E425" s="14" t="str">
        <x:v>Disable service dispatch and retain cancelled/unknown delivery records; restore only explicitly approved subscriptions without duplicating prior notifications.</x:v>
      </x:c>
    </x:row>
    <x:row r="426" ht="27" customHeight="1">
      <x:c r="A426" s="3" t="str">
        <x:v>P46</x:v>
      </x:c>
      <x:c r="B426" s="3" t="str">
        <x:v>Adapt investigation to evidence within a fixed mandate</x:v>
      </x:c>
      <x:c r="C426" s="3" t="str">
        <x:v>inputs</x:v>
      </x:c>
      <x:c r="D426" s="3" t="n">
        <x:v>1</x:v>
      </x:c>
      <x:c r="E426" s="3" t="str">
        <x:v>Current source and governed contracts in docs/blueprint/autonomy.json; no currently implemented agent API is implied.</x:v>
      </x:c>
    </x:row>
    <x:row r="427" ht="27" customHeight="1">
      <x:c r="A427" s="14" t="str">
        <x:v>P46</x:v>
      </x:c>
      <x:c r="B427" s="14" t="str">
        <x:v>Adapt investigation to evidence within a fixed mandate</x:v>
      </x:c>
      <x:c r="C427" s="14" t="str">
        <x:v>inputs</x:v>
      </x:c>
      <x:c r="D427" s="14" t="n">
        <x:v>2</x:v>
      </x:c>
      <x:c r="E427" s="14" t="str">
        <x:v>Versioned commission, permitted tool catalogue, evidence packet and durable job outputs from the named prerequisites.</x:v>
      </x:c>
    </x:row>
    <x:row r="428" ht="27" customHeight="1">
      <x:c r="A428" s="3" t="str">
        <x:v>P46</x:v>
      </x:c>
      <x:c r="B428" s="3" t="str">
        <x:v>Adapt investigation to evidence within a fixed mandate</x:v>
      </x:c>
      <x:c r="C428" s="3" t="str">
        <x:v>inputs</x:v>
      </x:c>
      <x:c r="D428" s="3" t="n">
        <x:v>3</x:v>
      </x:c>
      <x:c r="E428" s="3" t="str">
        <x:v>Isolated scripted synthetic providers; separately approved model, counsel and deployed runs for stronger evidence.</x:v>
      </x:c>
    </x:row>
    <x:row r="429" ht="27" customHeight="1">
      <x:c r="A429" s="14" t="str">
        <x:v>P46</x:v>
      </x:c>
      <x:c r="B429" s="14" t="str">
        <x:v>Adapt investigation to evidence within a fixed mandate</x:v>
      </x:c>
      <x:c r="C429" s="14" t="str">
        <x:v>outputs</x:v>
      </x:c>
      <x:c r="D429" s="14" t="n">
        <x:v>1</x:v>
      </x:c>
      <x:c r="E429" s="14" t="str">
        <x:v>Versioned adaptive-plan state and inspected next-step proposals bound to the commission.</x:v>
      </x:c>
    </x:row>
    <x:row r="430" ht="27" customHeight="1">
      <x:c r="A430" s="3" t="str">
        <x:v>P46</x:v>
      </x:c>
      <x:c r="B430" s="3" t="str">
        <x:v>Adapt investigation to evidence within a fixed mandate</x:v>
      </x:c>
      <x:c r="C430" s="3" t="str">
        <x:v>outputs</x:v>
      </x:c>
      <x:c r="D430" s="3" t="n">
        <x:v>2</x:v>
      </x:c>
      <x:c r="E430" s="3" t="str">
        <x:v>One lead runtime through approved tools and the existing acceptance path, with positive/refusal/restart witnesses.</x:v>
      </x:c>
    </x:row>
    <x:row r="431" ht="55" customHeight="1">
      <x:c r="A431" s="14" t="str">
        <x:v>P46</x:v>
      </x:c>
      <x:c r="B431" s="14" t="str">
        <x:v>Adapt investigation to evidence within a fixed mandate</x:v>
      </x:c>
      <x:c r="C431" s="14" t="str">
        <x:v>steps</x:v>
      </x:c>
      <x:c r="D431" s="14" t="n">
        <x:v>1</x:v>
      </x:c>
      <x:c r="E431"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2" ht="40" customHeight="1">
      <x:c r="A432" s="3" t="str">
        <x:v>P46</x:v>
      </x:c>
      <x:c r="B432" s="3" t="str">
        <x:v>Adapt investigation to evidence within a fixed mandate</x:v>
      </x:c>
      <x:c r="C432" s="3" t="str">
        <x:v>steps</x:v>
      </x:c>
      <x:c r="D432" s="3" t="n">
        <x:v>2</x:v>
      </x:c>
      <x:c r="E432" s="3" t="str">
        <x:v>Implement a bounded feedback loop through the existing ports: observe actual results and replan on material discoveries; use no specialist when direct permitted work suffices. Application policy, not the planner, admits each operation.</x:v>
      </x:c>
    </x:row>
    <x:row r="433" ht="40" customHeight="1">
      <x:c r="A433" s="14" t="str">
        <x:v>P46</x:v>
      </x:c>
      <x:c r="B433" s="14" t="str">
        <x:v>Adapt investigation to evidence within a fixed mandate</x:v>
      </x:c>
      <x:c r="C433" s="14" t="str">
        <x:v>steps</x:v>
      </x:c>
      <x:c r="D433" s="14" t="n">
        <x:v>3</x:v>
      </x:c>
      <x:c r="E433" s="14" t="str">
        <x:v>Keep factual assertion, extracted text, disputed proposition, inference and unknown distinct. Deterministic identity/locator/quote checks do not establish semantic support or legal applicability; enforce the required reviewed assessment outcomes.</x:v>
      </x:c>
    </x:row>
    <x:row r="434" ht="40" customHeight="1">
      <x:c r="A434" s="3" t="str">
        <x:v>P46</x:v>
      </x:c>
      <x:c r="B434" s="3" t="str">
        <x:v>Adapt investigation to evidence within a fixed mandate</x:v>
      </x:c>
      <x:c r="C434" s="3" t="str">
        <x:v>steps</x:v>
      </x:c>
      <x:c r="D434" s="3" t="n">
        <x:v>4</x:v>
      </x:c>
      <x:c r="E434" s="3" t="str">
        <x:v>Reject stale or revoked input/results and invalidate dependencies before publishing. A missing premise, unavailable source, failed check or exhausted budget must retain its actual state and stop reason.</x:v>
      </x:c>
    </x:row>
    <x:row r="435" ht="40" customHeight="1">
      <x:c r="A435" s="14" t="str">
        <x:v>P46</x:v>
      </x:c>
      <x:c r="B435" s="14" t="str">
        <x:v>Adapt investigation to evidence within a fixed mandate</x:v>
      </x:c>
      <x:c r="C435" s="14" t="str">
        <x:v>steps</x:v>
      </x:c>
      <x:c r="D435" s="14" t="n">
        <x:v>5</x:v>
      </x:c>
      <x:c r="E435" s="14" t="str">
        <x:v>Prove positive evidence-triggered replanning and refusal using EVAL-031, plus criterion-specific transfer/boundary tests. Obtain separately approved real-model evidence for reasoning behaviour; P24 and P35 own later interaction and professional comparison.</x:v>
      </x:c>
    </x:row>
    <x:row r="436" ht="27" customHeight="1">
      <x:c r="A436" s="3" t="str">
        <x:v>P46</x:v>
      </x:c>
      <x:c r="B436" s="3" t="str">
        <x:v>Adapt investigation to evidence within a fixed mandate</x:v>
      </x:c>
      <x:c r="C436" s="3" t="str">
        <x:v>expected</x:v>
      </x:c>
      <x:c r="D436" s="3" t="n">
        <x:v>1</x:v>
      </x:c>
      <x:c r="E436" s="3" t="str">
        <x:v>Adaptive investigation remains within unchanged policy, source and authority boundaries.</x:v>
      </x:c>
    </x:row>
    <x:row r="437" ht="40" customHeight="1">
      <x:c r="A437" s="14" t="str">
        <x:v>P46</x:v>
      </x:c>
      <x:c r="B437" s="14" t="str">
        <x:v>Adapt investigation to evidence within a fixed mandate</x:v>
      </x:c>
      <x:c r="C437" s="14" t="str">
        <x:v>expected</x:v>
      </x:c>
      <x:c r="D437" s="14" t="n">
        <x:v>2</x:v>
      </x:c>
      <x:c r="E437" s="14" t="str">
        <x:v>Every selected task has an observed terminal result or explicit open state; no fabricated factual completion, clean failed child or stale accepted output.</x:v>
      </x:c>
    </x:row>
    <x:row r="438" ht="40" customHeight="1">
      <x:c r="A438" s="3" t="str">
        <x:v>P46</x:v>
      </x:c>
      <x:c r="B438" s="3" t="str">
        <x:v>Adapt investigation to evidence within a fixed mandate</x:v>
      </x:c>
      <x:c r="C438" s="3" t="str">
        <x:v>expected</x:v>
      </x:c>
      <x:c r="D438" s="3" t="n">
        <x:v>3</x:v>
      </x:c>
      <x:c r="E438" s="3" t="str">
        <x:v>Each registered criterion requires its own exact test and evidence methods; static contracts and synthetic demos are not legal or deployed proof.</x:v>
      </x:c>
    </x:row>
    <x:row r="439" ht="40" customHeight="1">
      <x:c r="A439" s="14" t="str">
        <x:v>P46</x:v>
      </x:c>
      <x:c r="B439" s="14" t="str">
        <x:v>Adapt investigation to evidence within a fixed mandate</x:v>
      </x:c>
      <x:c r="C439" s="14" t="str">
        <x:v>rollback</x:v>
      </x:c>
      <x:c r="D439" s="14" t="n">
        <x:v>1</x:v>
      </x:c>
      <x:c r="E439" s="14" t="str">
        <x:v>Disable the new planner/delegation route and preserve accepted source versions, task history, cancelled/unknown results and existing non-agent paths. Do not replay consequential effects or remove evidence to obtain a green result.</x:v>
      </x:c>
    </x:row>
    <x:row r="440" ht="40" customHeight="1">
      <x:c r="A440" s="3" t="str">
        <x:v>P47</x:v>
      </x:c>
      <x:c r="B440" s="3" t="str">
        <x:v>Run bounded specialist tasks with shared authority and budgets</x:v>
      </x:c>
      <x:c r="C440" s="3" t="str">
        <x:v>inputs</x:v>
      </x:c>
      <x:c r="D440" s="3" t="n">
        <x:v>1</x:v>
      </x:c>
      <x:c r="E440" s="3" t="str">
        <x:v>Current source and governed contracts in docs/blueprint/autonomy.json; no currently implemented agent API is implied.</x:v>
      </x:c>
    </x:row>
    <x:row r="441" ht="40" customHeight="1">
      <x:c r="A441" s="14" t="str">
        <x:v>P47</x:v>
      </x:c>
      <x:c r="B441" s="14" t="str">
        <x:v>Run bounded specialist tasks with shared authority and budgets</x:v>
      </x:c>
      <x:c r="C441" s="14" t="str">
        <x:v>inputs</x:v>
      </x:c>
      <x:c r="D441" s="14" t="n">
        <x:v>2</x:v>
      </x:c>
      <x:c r="E441" s="14" t="str">
        <x:v>Versioned commission, permitted tool catalogue, evidence packet and durable job outputs from the named prerequisites.</x:v>
      </x:c>
    </x:row>
    <x:row r="442" ht="40" customHeight="1">
      <x:c r="A442" s="3" t="str">
        <x:v>P47</x:v>
      </x:c>
      <x:c r="B442" s="3" t="str">
        <x:v>Run bounded specialist tasks with shared authority and budgets</x:v>
      </x:c>
      <x:c r="C442" s="3" t="str">
        <x:v>inputs</x:v>
      </x:c>
      <x:c r="D442" s="3" t="n">
        <x:v>3</x:v>
      </x:c>
      <x:c r="E442" s="3" t="str">
        <x:v>Isolated scripted synthetic providers; separately approved model, counsel and deployed runs for stronger evidence.</x:v>
      </x:c>
    </x:row>
    <x:row r="443" ht="40" customHeight="1">
      <x:c r="A443" s="14" t="str">
        <x:v>P47</x:v>
      </x:c>
      <x:c r="B443" s="14" t="str">
        <x:v>Run bounded specialist tasks with shared authority and budgets</x:v>
      </x:c>
      <x:c r="C443" s="14" t="str">
        <x:v>outputs</x:v>
      </x:c>
      <x:c r="D443" s="14" t="n">
        <x:v>1</x:v>
      </x:c>
      <x:c r="E443" s="14" t="str">
        <x:v>Durable bounded parent/child execution and canonical result acceptance, usable with scripted specialists.</x:v>
      </x:c>
    </x:row>
    <x:row r="444" ht="40" customHeight="1">
      <x:c r="A444" s="3" t="str">
        <x:v>P47</x:v>
      </x:c>
      <x:c r="B444" s="3" t="str">
        <x:v>Run bounded specialist tasks with shared authority and budgets</x:v>
      </x:c>
      <x:c r="C444" s="3" t="str">
        <x:v>outputs</x:v>
      </x:c>
      <x:c r="D444" s="3" t="n">
        <x:v>2</x:v>
      </x:c>
      <x:c r="E444" s="3" t="str">
        <x:v>Observed aggregate budget, permission, stale-result and recovery refusal evidence.</x:v>
      </x:c>
    </x:row>
    <x:row r="445" ht="40" customHeight="1">
      <x:c r="A445" s="14" t="str">
        <x:v>P47</x:v>
      </x:c>
      <x:c r="B445" s="14" t="str">
        <x:v>Run bounded specialist tasks with shared authority and budgets</x:v>
      </x:c>
      <x:c r="C445" s="14" t="str">
        <x:v>steps</x:v>
      </x:c>
      <x:c r="D445" s="14" t="n">
        <x:v>1</x:v>
      </x:c>
      <x:c r="E445" s="14" t="str">
        <x:v>Extend the durable job contract with typed parent/child identity, role, objective, snapshot, purpose, permitted tools/data/processors, shared budget allocation, deadline and expected result schema from autonomy.json.</x:v>
      </x:c>
    </x:row>
    <x:row r="446" ht="40" customHeight="1">
      <x:c r="A446" s="3" t="str">
        <x:v>P47</x:v>
      </x:c>
      <x:c r="B446" s="3" t="str">
        <x:v>Run bounded specialist tasks with shared authority and budgets</x:v>
      </x:c>
      <x:c r="C446" s="3" t="str">
        <x:v>steps</x:v>
      </x:c>
      <x:c r="D446" s="3" t="n">
        <x:v>2</x:v>
      </x:c>
      <x:c r="E446"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7" ht="40" customHeight="1">
      <x:c r="A447" s="14" t="str">
        <x:v>P47</x:v>
      </x:c>
      <x:c r="B447" s="14" t="str">
        <x:v>Run bounded specialist tasks with shared authority and budgets</x:v>
      </x:c>
      <x:c r="C447" s="14" t="str">
        <x:v>steps</x:v>
      </x:c>
      <x:c r="D447" s="14" t="n">
        <x:v>3</x:v>
      </x:c>
      <x:c r="E447" s="14" t="str">
        <x:v>Reserve and reconcile aggregate task cost/time across all children, retries and unfinished provider work. Do not reset budgets per child; refuse dispatch over the remaining cap and report cancellation honestly.</x:v>
      </x:c>
    </x:row>
    <x:row r="448" ht="40" customHeight="1">
      <x:c r="A448" s="3" t="str">
        <x:v>P47</x:v>
      </x:c>
      <x:c r="B448" s="3" t="str">
        <x:v>Run bounded specialist tasks with shared authority and budgets</x:v>
      </x:c>
      <x:c r="C448" s="3" t="str">
        <x:v>steps</x:v>
      </x:c>
      <x:c r="D448" s="3" t="n">
        <x:v>4</x:v>
      </x:c>
      <x:c r="E448"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9" ht="40" customHeight="1">
      <x:c r="A449" s="14" t="str">
        <x:v>P47</x:v>
      </x:c>
      <x:c r="B449" s="14" t="str">
        <x:v>Run bounded specialist tasks with shared authority and budgets</x:v>
      </x:c>
      <x:c r="C449" s="14" t="str">
        <x:v>steps</x:v>
      </x:c>
      <x:c r="D449" s="14" t="n">
        <x:v>5</x:v>
      </x:c>
      <x:c r="E449" s="14" t="str">
        <x:v>Propagate cancellation/revocation and lease fencing; recheck policy before provider calls and before accepting results. Prompt-injected source text, forged children and unknown tools cannot alter authority or create a direct network/shell route.</x:v>
      </x:c>
    </x:row>
    <x:row r="450" ht="40" customHeight="1">
      <x:c r="A450" s="3" t="str">
        <x:v>P47</x:v>
      </x:c>
      <x:c r="B450" s="3" t="str">
        <x:v>Run bounded specialist tasks with shared authority and budgets</x:v>
      </x:c>
      <x:c r="C450" s="3" t="str">
        <x:v>steps</x:v>
      </x:c>
      <x:c r="D450" s="3" t="n">
        <x:v>6</x:v>
      </x:c>
      <x:c r="E450" s="3" t="str">
        <x:v>Demonstrate ordinary delegated work, an unavailable child, concurrent budget admission, changed source, retry/restart, cancellation and malicious input with EVAL-032. P46 uses this runtime; P29 and P37 own later artifacts and economic enablement.</x:v>
      </x:c>
    </x:row>
    <x:row r="451" ht="40" customHeight="1">
      <x:c r="A451" s="14" t="str">
        <x:v>P47</x:v>
      </x:c>
      <x:c r="B451" s="14" t="str">
        <x:v>Run bounded specialist tasks with shared authority and budgets</x:v>
      </x:c>
      <x:c r="C451" s="14" t="str">
        <x:v>expected</x:v>
      </x:c>
      <x:c r="D451" s="14" t="n">
        <x:v>1</x:v>
      </x:c>
      <x:c r="E451" s="14" t="str">
        <x:v>Adaptive investigation remains within unchanged policy, source and authority boundaries.</x:v>
      </x:c>
    </x:row>
    <x:row r="452" ht="40" customHeight="1">
      <x:c r="A452" s="3" t="str">
        <x:v>P47</x:v>
      </x:c>
      <x:c r="B452" s="3" t="str">
        <x:v>Run bounded specialist tasks with shared authority and budgets</x:v>
      </x:c>
      <x:c r="C452" s="3" t="str">
        <x:v>expected</x:v>
      </x:c>
      <x:c r="D452" s="3" t="n">
        <x:v>2</x:v>
      </x:c>
      <x:c r="E452" s="3" t="str">
        <x:v>Every selected task has an observed terminal result or explicit open state; no fabricated factual completion, clean failed child or stale accepted output.</x:v>
      </x:c>
    </x:row>
    <x:row r="453" ht="40" customHeight="1">
      <x:c r="A453" s="14" t="str">
        <x:v>P47</x:v>
      </x:c>
      <x:c r="B453" s="14" t="str">
        <x:v>Run bounded specialist tasks with shared authority and budgets</x:v>
      </x:c>
      <x:c r="C453" s="14" t="str">
        <x:v>expected</x:v>
      </x:c>
      <x:c r="D453" s="14" t="n">
        <x:v>3</x:v>
      </x:c>
      <x:c r="E453" s="14" t="str">
        <x:v>Each registered criterion requires its own exact test and evidence methods; static contracts and synthetic demos are not legal or deployed proof.</x:v>
      </x:c>
    </x:row>
    <x:row r="454" ht="40" customHeight="1">
      <x:c r="A454" s="3" t="str">
        <x:v>P47</x:v>
      </x:c>
      <x:c r="B454" s="3" t="str">
        <x:v>Run bounded specialist tasks with shared authority and budgets</x:v>
      </x:c>
      <x:c r="C454" s="3" t="str">
        <x:v>rollback</x:v>
      </x:c>
      <x:c r="D454" s="3" t="n">
        <x:v>1</x:v>
      </x:c>
      <x:c r="E454"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3fdd5b746f2e42fe"/>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STALE</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STALE</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STALE</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STALE</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STALE</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STALE</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STALE</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backend/nm/, or the gap is declared with what settles it; a feature moving to built brings its contracts into the checked population rather than leaving them unexamined</x:v>
      </x:c>
      <x:c r="D73" s="14" t="str">
        <x:v>domain_test</x:v>
      </x:c>
      <x:c r="E73" s="14" t="str">
        <x:v>move a feature to built whose PRODUCES clause names a type backend/nm/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assurance/specification/features.yaml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development_environment/developer_tooling/graph_vectors.py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assurance/hooks/post-merge,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STALE</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STALE</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STALE</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STALE</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STALE</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STALE</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STALE</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STALE</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STALE</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STALE</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STALE</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STALE</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STALE</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65c82421dd7d4da5"/>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469c9d06e04c49aa"/>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71b69d90ae88472a"/>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6685f2fe7bef4a17"/>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6fdc334543ae4d22"/>
  </x:tableParts>
</x:worksheet>
</file>

<file path=xl/worksheets/sheet2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ddd9da6042cc5648272f31e8b721fd37af2fe5847cd30d88b022d0f0d484681a</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ef031faf12bc4503e461d27723081cb057a0e32143b2ea7cf3dadc1d60e1e837</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f914fc6db872cddac949717720b7b4511db8304994518e74c4970248adbc2c84</x:v>
      </x:c>
      <x:c r="D8" s="3" t="str">
        <x:v>Authoritative content or rendering input; status authority remains status.yaml.</x:v>
      </x:c>
    </x:row>
    <x:row r="9" ht="27" customHeight="1">
      <x:c r="A9" s="14" t="str">
        <x:v>docs/backlog/SCHEMA.md</x:v>
      </x:c>
      <x:c r="B9" s="14" t="str">
        <x:v>Snapshot source</x:v>
      </x:c>
      <x:c r="C9" s="14" t="str">
        <x:v>82668c1a22156fca1f55580b3bfe33fbea957cab2cda8d73e7dc422d84a2cd91</x:v>
      </x:c>
      <x:c r="D9" s="14" t="str">
        <x:v>Authoritative content or rendering input; status authority remains status.yaml.</x:v>
      </x:c>
    </x:row>
    <x:row r="10" ht="40" customHeight="1">
      <x:c r="A10" s="3" t="str">
        <x:v>docs/backlog/evidence/class_a.json</x:v>
      </x:c>
      <x:c r="B10" s="3" t="str">
        <x:v>Captured execution artifact</x:v>
      </x:c>
      <x:c r="C10" s="3" t="str">
        <x:v>34cbd5f8dc73d18e0418de4af20d0ea6a32eca11fb420d30a6c71c34bff934ec</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8e7ac6257b717a0ced50cb339f674dd7dc2bb21c4c91bba593296a12fa454fb2</x:v>
      </x:c>
      <x:c r="D11" s="14" t="str">
        <x:v>Authoritative content or rendering input; status authority remains status.yaml.</x:v>
      </x:c>
    </x:row>
    <x:row r="12" ht="27" customHeight="1">
      <x:c r="A12" s="3" t="str">
        <x:v>docs/playbooks/START_A_CHANGE.md</x:v>
      </x:c>
      <x:c r="B12" s="3" t="str">
        <x:v>Snapshot source</x:v>
      </x:c>
      <x:c r="C12" s="3" t="str">
        <x:v>9bc75fc4cc81abca6a69c124a96e2c13538a036237905cc2c2d131190a6ae28a</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3115033f4606feaf22d45b74ff92dbe4132e567e66fd81119973d7e1f28eec9c</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assurance/specification/prd/part_a.js</x:v>
      </x:c>
      <x:c r="B16" s="3" t="str">
        <x:v>Snapshot source</x:v>
      </x:c>
      <x:c r="C16" s="3" t="str">
        <x:v>fba9de5af8a94f2210849b20bdc6b99d5f3aca5b27387e2cd6f1c0f75cca47ad</x:v>
      </x:c>
      <x:c r="D16" s="3" t="str">
        <x:v>Authoritative content or rendering input; status authority remains status.yaml.</x:v>
      </x:c>
    </x:row>
    <x:row r="17" ht="27" customHeight="1">
      <x:c r="A17" s="14" t="str">
        <x:v>assurance/specification/prd/part_b.js</x:v>
      </x:c>
      <x:c r="B17" s="14" t="str">
        <x:v>Snapshot source</x:v>
      </x:c>
      <x:c r="C17" s="14" t="str">
        <x:v>12538d3f60f43720b75bd817b944526b05adea89837503269347bfcdace88cda</x:v>
      </x:c>
      <x:c r="D17" s="14" t="str">
        <x:v>Authoritative content or rendering input; status authority remains status.yaml.</x:v>
      </x:c>
    </x:row>
    <x:row r="18" ht="27" customHeight="1">
      <x:c r="A18" s="3" t="str">
        <x:v>assurance/specification/prd/part_c.js</x:v>
      </x:c>
      <x:c r="B18" s="3" t="str">
        <x:v>Snapshot source</x:v>
      </x:c>
      <x:c r="C18" s="3" t="str">
        <x:v>79552b53fadd918740dce7d1e2da15c67004532d15f43e47e33a6ceafa406a7e</x:v>
      </x:c>
      <x:c r="D18" s="3" t="str">
        <x:v>Authoritative content or rendering input; status authority remains status.yaml.</x:v>
      </x:c>
    </x:row>
    <x:row r="19" ht="27" customHeight="1">
      <x:c r="A19" s="14" t="str">
        <x:v>assurance/specification/prd/build.js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assurance/specification/prd/helpers.js</x:v>
      </x:c>
      <x:c r="B20" s="3" t="str">
        <x:v>Snapshot source</x:v>
      </x:c>
      <x:c r="C20" s="3" t="str">
        <x:v>a62218b9347a572dca0d1b1ff7d3e2200d3f2a3bfe9cfb878f6daf953c73eff0</x:v>
      </x:c>
      <x:c r="D20" s="3" t="str">
        <x:v>Authoritative content or rendering input; status authority remains status.yaml.</x:v>
      </x:c>
    </x:row>
    <x:row r="21" ht="27" customHeight="1">
      <x:c r="A21" s="14" t="str">
        <x:v>assurance/specification/prd/schemas.js</x:v>
      </x:c>
      <x:c r="B21" s="14" t="str">
        <x:v>Snapshot source</x:v>
      </x:c>
      <x:c r="C21" s="14" t="str">
        <x:v>a964bd5eec42019afba055812746355ed9fdc2d840d1875a88cbc549ad50ed1b</x:v>
      </x:c>
      <x:c r="D21" s="14" t="str">
        <x:v>Authoritative content or rendering input; status authority remains status.yaml.</x:v>
      </x:c>
    </x:row>
    <x:row r="22" ht="27" customHeight="1">
      <x:c r="A22" s="3" t="str">
        <x:v>assurance/specification/prd/gates.json</x:v>
      </x:c>
      <x:c r="B22" s="3" t="str">
        <x:v>Snapshot source</x:v>
      </x:c>
      <x:c r="C22" s="3" t="str">
        <x:v>7ecb919aec10cad77d3079dbcfdc9f4bf4d91a65e3df833e9e84e2dd53354ca5</x:v>
      </x:c>
      <x:c r="D22" s="3" t="str">
        <x:v>Authoritative content or rendering input; status authority remains status.yaml.</x:v>
      </x:c>
    </x:row>
    <x:row r="23" ht="27" customHeight="1">
      <x:c r="A23" s="14" t="str">
        <x:v>assurance/specification/features.yaml</x:v>
      </x:c>
      <x:c r="B23" s="14" t="str">
        <x:v>Snapshot source</x:v>
      </x:c>
      <x:c r="C23" s="14" t="str">
        <x:v>0e55e6f2cd3f64ecfd753105bf142add26a5c465426ce6610d76e8336d91e6c2</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assurance/specification/plan/view_content.json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assurance/specification/plan/build_current_plan.mjs</x:v>
      </x:c>
      <x:c r="B26" s="3" t="str">
        <x:v>Snapshot source</x:v>
      </x:c>
      <x:c r="C26" s="3" t="str">
        <x:v>cff6ac30ce11e1ca4c888d17d2fa4ed6b967b9eac99096c948363f2034dd7b98</x:v>
      </x:c>
      <x:c r="D26" s="3" t="str">
        <x:v>Authoritative content or rendering input; status authority remains status.yaml.</x:v>
      </x:c>
    </x:row>
    <x:row r="27" ht="27" customHeight="1">
      <x:c r="A27" s="14" t="str">
        <x:v>assurance/specification/plan/export_current_plan.py</x:v>
      </x:c>
      <x:c r="B27" s="14" t="str">
        <x:v>Snapshot source</x:v>
      </x:c>
      <x:c r="C27" s="14" t="str">
        <x:v>7ed40e5885fa1e85af6fa9211c2c2dcd3be3aeee4b494f9498be399d0da06066</x:v>
      </x:c>
      <x:c r="D27" s="14" t="str">
        <x:v>Authoritative content or rendering input; status authority remains status.yaml.</x:v>
      </x:c>
    </x:row>
    <x:row r="28" ht="27" customHeight="1">
      <x:c r="A28" s="3" t="str">
        <x:v>assurance/specification/plan/README.md</x:v>
      </x:c>
      <x:c r="B28" s="3" t="str">
        <x:v>Snapshot source</x:v>
      </x:c>
      <x:c r="C28" s="3" t="str">
        <x:v>6fcf139eb7d92daed610df5328dd57cf6b731d429bcb14926b3b302359afa91d</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docs/blueprint/BK-85-AC3.counsel-review.template.json</x:v>
      </x:c>
      <x:c r="B33" s="14" t="str">
        <x:v>Snapshot source</x:v>
      </x:c>
      <x:c r="C33" s="14" t="str">
        <x:v>feafb7a97e2b070598e89ac90698300232344e6951ad162ef158e005c613e628</x:v>
      </x:c>
      <x:c r="D33" s="14" t="str">
        <x:v>Authoritative content or rendering input; status authority remains status.yaml.</x:v>
      </x:c>
    </x:row>
    <x:row r="34" ht="27" customHeight="1">
      <x:c r="A34" s="3" t="str">
        <x:v>docs/blueprint/contracts/commands.json</x:v>
      </x:c>
      <x:c r="B34" s="3" t="str">
        <x:v>Snapshot source</x:v>
      </x:c>
      <x:c r="C34" s="3" t="str">
        <x:v>e1bcf683f8e0dbd042c140a1dda5b146127c95937a1a4d36d805f8a5fc3b878c</x:v>
      </x:c>
      <x:c r="D34" s="3" t="str">
        <x:v>Authoritative content or rendering input; status authority remains status.yaml.</x:v>
      </x:c>
    </x:row>
    <x:row r="35" ht="27" customHeight="1">
      <x:c r="A35" s="14" t="str">
        <x:v>docs/blueprint/DATA_ARCHITECTURE.md</x:v>
      </x:c>
      <x:c r="B35" s="14" t="str">
        <x:v>Snapshot source</x:v>
      </x:c>
      <x:c r="C35" s="14" t="str">
        <x:v>b7cebf8d29dde69571a7e547518d4eca03d7bb6ce2d6f1be610f75f1791becd7</x:v>
      </x:c>
      <x:c r="D35" s="14" t="str">
        <x:v>Authoritative content or rendering input; status authority remains status.yaml.</x:v>
      </x:c>
    </x:row>
    <x:row r="36" ht="27" customHeight="1">
      <x:c r="A36" s="3" t="str">
        <x:v>docs/blueprint/decisions.json</x:v>
      </x:c>
      <x:c r="B36" s="3" t="str">
        <x:v>Snapshot source</x:v>
      </x:c>
      <x:c r="C36" s="3" t="str">
        <x:v>73fad7f714183ad1fa9067a65e8f93bc817877b9c230170a16101b7b1deaaac1</x:v>
      </x:c>
      <x:c r="D36" s="3" t="str">
        <x:v>Authoritative content or rendering input; status authority remains status.yaml.</x:v>
      </x:c>
    </x:row>
    <x:row r="37" ht="27" customHeight="1">
      <x:c r="A37" s="14" t="str">
        <x:v>docs/blueprint/evaluations.json</x:v>
      </x:c>
      <x:c r="B37" s="14" t="str">
        <x:v>Snapshot source</x:v>
      </x:c>
      <x:c r="C37" s="14" t="str">
        <x:v>05ed66dac3f68a69b479c1337f51812741cbda1212421653cdb24828df563dbf</x:v>
      </x:c>
      <x:c r="D37" s="14" t="str">
        <x:v>Authoritative content or rendering input; status authority remains status.yaml.</x:v>
      </x:c>
    </x:row>
    <x:row r="38" ht="27" customHeight="1">
      <x:c r="A38" s="3" t="str">
        <x:v>docs/blueprint/EXECUTION.md</x:v>
      </x:c>
      <x:c r="B38" s="3" t="str">
        <x:v>Snapshot source</x:v>
      </x:c>
      <x:c r="C38" s="3" t="str">
        <x:v>2ccf50dc90befa82c68425d3343ac3ba6945a7132730a8915901867b662f0333</x:v>
      </x:c>
      <x:c r="D38" s="3" t="str">
        <x:v>Authoritative content or rendering input; status authority remains status.yaml.</x:v>
      </x:c>
    </x:row>
    <x:row r="39" ht="27" customHeight="1">
      <x:c r="A39" s="14" t="str">
        <x:v>docs/blueprint/EXPERIENCE.md</x:v>
      </x:c>
      <x:c r="B39" s="14" t="str">
        <x:v>Snapshot source</x:v>
      </x:c>
      <x:c r="C39" s="14" t="str">
        <x:v>da9052a06a07374a51f4c85d4be6d27c9de09ed6f1f578af0ebe73b885ff14b1</x:v>
      </x:c>
      <x:c r="D39" s="14" t="str">
        <x:v>Authoritative content or rendering input; status authority remains status.yaml.</x:v>
      </x:c>
    </x:row>
    <x:row r="40" ht="27" customHeight="1">
      <x:c r="A40" s="3" t="str">
        <x:v>docs/blueprint/india_applicability_review.json</x:v>
      </x:c>
      <x:c r="B40" s="3" t="str">
        <x:v>Snapshot source</x:v>
      </x:c>
      <x:c r="C40" s="3" t="str">
        <x:v>2265cbde6651a0df660b445697f137508355df2533c8c88d31decfa8641403ba</x:v>
      </x:c>
      <x:c r="D40" s="3" t="str">
        <x:v>Authoritative content or rendering input; status authority remains status.yaml.</x:v>
      </x:c>
    </x:row>
    <x:row r="41" ht="27" customHeight="1">
      <x:c r="A41" s="14" t="str">
        <x:v>docs/blueprint/INDIA_APPLICABILITY_REVIEW.md</x:v>
      </x:c>
      <x:c r="B41" s="14" t="str">
        <x:v>Snapshot source</x:v>
      </x:c>
      <x:c r="C41" s="14" t="str">
        <x:v>aac70c1e8c43e05f235753b0691a99d6941dba2ddbe6e29517f765f15062ab15</x:v>
      </x:c>
      <x:c r="D41" s="14" t="str">
        <x:v>Authoritative content or rendering input; status authority remains status.yaml.</x:v>
      </x:c>
    </x:row>
    <x:row r="42" ht="27" customHeight="1">
      <x:c r="A42" s="3" t="str">
        <x:v>docs/blueprint/LEGAL_BRAIN.md</x:v>
      </x:c>
      <x:c r="B42" s="3" t="str">
        <x:v>Snapshot source</x:v>
      </x:c>
      <x:c r="C42" s="3" t="str">
        <x:v>c09ae6839bab9512af557aa7ba82a64544f8a527869cacd042529acb9d480597</x:v>
      </x:c>
      <x:c r="D42" s="3" t="str">
        <x:v>Authoritative content or rendering input; status authority remains status.yaml.</x:v>
      </x:c>
    </x:row>
    <x:row r="43" ht="27" customHeight="1">
      <x:c r="A43" s="14" t="str">
        <x:v>docs/blueprint/LEGAL_DATABASE.md</x:v>
      </x:c>
      <x:c r="B43" s="14" t="str">
        <x:v>Snapshot source</x:v>
      </x:c>
      <x:c r="C43" s="14" t="str">
        <x:v>89165824a5a4e9715d8b5e6c1d23f62b89b7d1bf51a09b12c7eabae7833405a4</x:v>
      </x:c>
      <x:c r="D43" s="14" t="str">
        <x:v>Authoritative content or rendering input; status authority remains status.yaml.</x:v>
      </x:c>
    </x:row>
    <x:row r="44" ht="27" customHeight="1">
      <x:c r="A44" s="3" t="str">
        <x:v>docs/blueprint/modules.json</x:v>
      </x:c>
      <x:c r="B44" s="3" t="str">
        <x:v>Snapshot source</x:v>
      </x:c>
      <x:c r="C44" s="3" t="str">
        <x:v>8c8a6adf24a08dc0699dd068e7028798d2ba13f03bc7c97f085bfd9cd2a28ce0</x:v>
      </x:c>
      <x:c r="D44" s="3" t="str">
        <x:v>Authoritative content or rendering input; status authority remains status.yaml.</x:v>
      </x:c>
    </x:row>
    <x:row r="45" ht="27" customHeight="1">
      <x:c r="A45" s="14" t="str">
        <x:v>docs/blueprint/packets.json</x:v>
      </x:c>
      <x:c r="B45" s="14" t="str">
        <x:v>Snapshot source</x:v>
      </x:c>
      <x:c r="C45" s="14" t="str">
        <x:v>702ef8ff08c5608279c8786de2094bb1d5b3798df672b2f46d3d6e66c899ee30</x:v>
      </x:c>
      <x:c r="D45" s="14" t="str">
        <x:v>Authoritative content or rendering input; status authority remains status.yaml.</x:v>
      </x:c>
    </x:row>
    <x:row r="46" ht="27" customHeight="1">
      <x:c r="A46" s="3" t="str">
        <x:v>docs/blueprint/QUALITY_PERFORMANCE.md</x:v>
      </x:c>
      <x:c r="B46" s="3" t="str">
        <x:v>Snapshot source</x:v>
      </x:c>
      <x:c r="C46" s="3" t="str">
        <x:v>cefc8a8de8d5bb883d799d073a15cfda54d7bb0a3e1b3aad27d23b89c9d71b0c</x:v>
      </x:c>
      <x:c r="D46" s="3" t="str">
        <x:v>Authoritative content or rendering input; status authority remains status.yaml.</x:v>
      </x:c>
    </x:row>
    <x:row r="47" ht="27" customHeight="1">
      <x:c r="A47" s="14" t="str">
        <x:v>docs/blueprint/README.md</x:v>
      </x:c>
      <x:c r="B47" s="14" t="str">
        <x:v>Snapshot source</x:v>
      </x:c>
      <x:c r="C47" s="14" t="str">
        <x:v>d13b35885d1ec40e4993112e394f73f0eff8edbd347721d4695f63963913e91e</x:v>
      </x:c>
      <x:c r="D47" s="14" t="str">
        <x:v>Authoritative content or rendering input; status authority remains status.yaml.</x:v>
      </x:c>
    </x:row>
    <x:row r="48" ht="27" customHeight="1">
      <x:c r="A48" s="3" t="str">
        <x:v>docs/blueprint/SECURITY_PRIVACY.md</x:v>
      </x:c>
      <x:c r="B48" s="3" t="str">
        <x:v>Snapshot source</x:v>
      </x:c>
      <x:c r="C48" s="3" t="str">
        <x:v>de79c24ecfb2a2de73906e43e0a3f12bdff7fc63669363881e91cf5c4ef74aa1</x:v>
      </x:c>
      <x:c r="D48" s="3" t="str">
        <x:v>Authoritative content or rendering input; status authority remains status.yaml.</x:v>
      </x:c>
    </x:row>
    <x:row r="49" ht="27" customHeight="1">
      <x:c r="A49" s="14" t="str">
        <x:v>Git identity</x:v>
      </x:c>
      <x:c r="B49" s="14" t="str">
        <x:v>Snapshot provenance</x:v>
      </x:c>
      <x:c r="C49" s="14" t="str">
        <x:v>edd8d028321df62b3f3d47b55ecf41b9c4f78973+dirty</x:v>
      </x:c>
      <x:c r="D49" s="14" t="str">
        <x:v>Source hashes, not the commit label alone, identify this view.</x:v>
      </x:c>
    </x:row>
    <x:row r="50" ht="40" customHeight="1">
      <x:c r="A50" s="3" t="str">
        <x:v>Execution fingerprint</x:v>
      </x:c>
      <x:c r="B50" s="3" t="str">
        <x:v>Effective evidence binding</x:v>
      </x:c>
      <x:c r="C50" s="3" t="str">
        <x:v>aefad035dc3e62299f5464eb9b0173037311fd497187158cb57c6b243d9a1cc6</x:v>
      </x:c>
      <x:c r="D50" s="3" t="str">
        <x:v>Matches the current check system; execution integrity limitations remain registered under BK-80.</x:v>
      </x:c>
    </x:row>
    <x:row r="51" ht="55" customHeight="1">
      <x:c r="A51" s="14" t="str">
        <x:v>Advocates Act, 1961</x:v>
      </x:c>
      <x:c r="B51" s="14" t="str">
        <x:v>India Code</x:v>
      </x:c>
      <x:c r="C51" s="14" t="str">
        <x:v>https://upload.indiacode.nic.in/showfile?actid=AC_CEN_3_46_00001_196125_1517807320172&amp;filename=a1961-25.pdf&amp;type=actfile</x:v>
      </x:c>
      <x:c r="D51" s="14" t="str">
        <x:v>Preserved historical reference: Senior Advocate classification and prescribed practice restrictions under section 16. Current governing authority must be rechecked for the release jurisdiction.</x:v>
      </x:c>
    </x:row>
    <x:row r="52" ht="55" customHeight="1">
      <x:c r="A52" s="3" t="str">
        <x:v>Bar of Indian Lawyers v. National Institute of Communicable Diseases, 2024 INSC 410</x:v>
      </x:c>
      <x:c r="B52" s="3" t="str">
        <x:v>Supreme Court of India</x:v>
      </x:c>
      <x:c r="C52" s="3" t="str">
        <x:v>https://api.sci.gov.in/supremecourt/2007/27751/27751_2007_14_1501_53242_Judgement_14-May-2024.pdf</x:v>
      </x:c>
      <x:c r="D52" s="3" t="str">
        <x:v>Preserved historical reference: Duty to court, peers and client; advocate exercises independent judgment and is not merely a mouthpiece. Current governing authority must be rechecked for the release jurisdiction.</x:v>
      </x:c>
    </x:row>
    <x:row r="53" ht="55" customHeight="1">
      <x:c r="A53" s="14" t="str">
        <x:v>Supreme Court judgment dated 13 May 2025</x:v>
      </x:c>
      <x:c r="B53" s="14" t="str">
        <x:v>Supreme Court of India</x:v>
      </x:c>
      <x:c r="C53" s="14" t="str">
        <x:v>https://api.sci.gov.in/supremecourt/2024/12735/12735_2024_4_1501_61744_Judgement_13-May-2025.pdf</x:v>
      </x:c>
      <x:c r="D53" s="14" t="str">
        <x:v>Preserved historical reference: Designated Senior Advocate restrictions, including instruction and appearance structure. Current governing authority must be rechecked for the release jurisdiction.</x:v>
      </x:c>
    </x:row>
    <x:row r="54" ht="55" customHeight="1">
      <x:c r="A54" s="3" t="str">
        <x:v>Supreme Court judgment dated 5 March 2025</x:v>
      </x:c>
      <x:c r="B54" s="3" t="str">
        <x:v>Supreme Court of India</x:v>
      </x:c>
      <x:c r="C54" s="3" t="str">
        <x:v>https://api.sci.gov.in/supremecourt/2021/14322/14322_2021_16_1501_60009_Judgement_05-Mar-2025.pdf</x:v>
      </x:c>
      <x:c r="D54" s="3" t="str">
        <x:v>Preserved historical reference: Client autonomy, express instructions and limits on advocate concessions and authority. Current governing authority must be rechecked for the release jurisdiction.</x:v>
      </x:c>
    </x:row>
    <x:row r="55" ht="40" customHeight="1">
      <x:c r="A55" s="14" t="str">
        <x:v>Supreme Court advocate classifications</x:v>
      </x:c>
      <x:c r="B55" s="14" t="str">
        <x:v>Supreme Court of India</x:v>
      </x:c>
      <x:c r="C55" s="14" t="str">
        <x:v>https://www.sci.gov.in/constitution/</x:v>
      </x:c>
      <x:c r="D55" s="14" t="str">
        <x:v>Preserved historical reference: Senior Advocate, Advocate-on-Record and other advocate roles. Current governing authority must be rechecked for the release jurisdiction.</x:v>
      </x:c>
    </x:row>
    <x:row r="56" ht="40" customHeight="1">
      <x:c r="A56" s="3" t="str">
        <x:v>Digital Personal Data Protection Act, 2023</x:v>
      </x:c>
      <x:c r="B56" s="3" t="str">
        <x:v>India Code</x:v>
      </x:c>
      <x:c r="C56" s="3" t="str">
        <x:v>https://www.indiacode.nic.in/indiacode/handle/123456789/22037?view_type=browse</x:v>
      </x:c>
      <x:c r="D56" s="3" t="str">
        <x:v>Preserved historical reference: Lawful digital-personal-data processing and data-principal rights. Current governing authority must be rechecked for the release jurisdiction.</x:v>
      </x:c>
    </x:row>
    <x:row r="57" ht="40" customHeight="1">
      <x:c r="A57" s="14" t="str">
        <x:v>Digital Personal Data Protection Rules, 2025</x:v>
      </x:c>
      <x:c r="B57" s="14" t="str">
        <x:v>Ministry of Electronics and Information Technology</x:v>
      </x:c>
      <x:c r="C57" s="14" t="str">
        <x:v>https://www.meity.gov.in/static/uploads/2025/11/53450e6e5dc0bfa85ebd78686cadad39.pdf</x:v>
      </x:c>
      <x:c r="D57" s="14" t="str">
        <x:v>Preserved historical reference: Clear notice, processing purposes and phased operational requirements. Current governing authority must be rechecked for the release jurisdiction.</x:v>
      </x:c>
    </x:row>
    <x:row r="58" ht="27" customHeight="1">
      <x:c r="A58" s="3" t="str">
        <x:v>Nyaymalaw_Project_Plan.xlsx</x:v>
      </x:c>
      <x:c r="B58" s="3" t="str">
        <x:v>Historical slice plan</x:v>
      </x:c>
      <x:c r="C58" s="3" t="str">
        <x:v>Preserved unchanged</x:v>
      </x:c>
      <x:c r="D58" s="3" t="str">
        <x:v>Not the current wave/status owner.</x:v>
      </x:c>
    </x:row>
    <x:row r="59" ht="40" customHeight="1">
      <x:c r="A59" s="14" t="str">
        <x:v>9 September 2026 end-to-end workbook</x:v>
      </x:c>
      <x:c r="B59" s="14" t="str">
        <x:v>Historical plan source</x:v>
      </x:c>
      <x:c r="C59" s="14" t="str">
        <x:v>Preserved unchanged</x:v>
      </x:c>
      <x:c r="D59" s="14" t="str">
        <x:v>Supplementary design context is now tracked in assurance/specification/plan/view_content.json;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2477c26bf18c40af"/>
  </x:tableParts>
</x:worksheet>
</file>

<file path=xl/worksheets/sheet3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27" customHeight="1">
      <x:c r="A20" s="3" t="str">
        <x:v>Readiness stages</x:v>
      </x:c>
      <x:c r="B20" s="24" t="n">
        <x:v>12</x:v>
      </x:c>
      <x:c r="C20" s="24" t="n">
        <x:f>COUNTA('Readiness Plan'!A4:A15)</x:f>
        <x:v>12</x:v>
      </x:c>
      <x:c r="D20" s="24" t="n">
        <x:f>C20-B20</x:f>
        <x:v>0</x:v>
      </x:c>
      <x:c r="E20" s="3" t="str">
        <x:v>'Readiness Plan'!A4:A15</x:v>
      </x:c>
      <x:c r="F20" s="3" t="str">
        <x:v>Exact IDs checked in generator; formula counts exported populated rows.</x:v>
      </x:c>
    </x:row>
    <x:row r="21" ht="27" customHeight="1">
      <x:c r="A21" s="14" t="str">
        <x:v>Readiness step coverage</x:v>
      </x:c>
      <x:c r="B21" s="25" t="n">
        <x:v>47</x:v>
      </x:c>
      <x:c r="C21" s="25" t="n">
        <x:f>COUNTA('Readiness Gaps'!C4:C50)</x:f>
        <x:v>47</x:v>
      </x:c>
      <x:c r="D21" s="25" t="n">
        <x:f>C21-B21</x:f>
        <x:v>0</x:v>
      </x:c>
      <x:c r="E21" s="14" t="str">
        <x:v>'Readiness Gaps'!C4:C50</x:v>
      </x:c>
      <x:c r="F21" s="14" t="str">
        <x:v>Exact IDs checked in generator; formula counts exported populated rows.</x:v>
      </x:c>
    </x:row>
    <x:row r="22" ht="40" customHeight="1">
      <x:c r="A22" s="3" t="str">
        <x:v>Release profiles</x:v>
      </x:c>
      <x:c r="B22" s="24" t="n">
        <x:v>3</x:v>
      </x:c>
      <x:c r="C22" s="24" t="n">
        <x:f>COUNTIF('Release Profiles'!B4:B33,"Scope")</x:f>
        <x:v>3</x:v>
      </x:c>
      <x:c r="D22" s="24" t="n">
        <x:f>C22-B22</x:f>
        <x:v>0</x:v>
      </x:c>
      <x:c r="E22" s="3" t="str">
        <x:v>'Release Profiles'!B4:B33</x:v>
      </x:c>
      <x:c r="F22" s="3" t="str">
        <x:v>One Scope aspect per profile; exact unique profile IDs and all aspect rows checked in generator.</x:v>
      </x:c>
    </x:row>
    <x:row r="23" ht="27" customHeight="1">
      <x:c r="A23" s="14" t="str">
        <x:v>Wave assignments</x:v>
      </x:c>
      <x:c r="B23" s="25" t="n">
        <x:v>105</x:v>
      </x:c>
      <x:c r="C23" s="25" t="n">
        <x:v>105</x:v>
      </x:c>
      <x:c r="D23" s="25" t="n">
        <x:v>0</x:v>
      </x:c>
      <x:c r="E23" s="14" t="str">
        <x:v>plan.json item_waves</x:v>
      </x:c>
      <x:c r="F23" s="14" t="str">
        <x:v>Exact item-ID sets checked, including explicitly unscheduled terminal work.</x:v>
      </x:c>
    </x:row>
    <x:row r="24" ht="27" customHeight="1">
      <x:c r="A24" s="3" t="str">
        <x:v>Full intended step contracts</x:v>
      </x:c>
      <x:c r="B24" s="24" t="n">
        <x:v>47</x:v>
      </x:c>
      <x:c r="C24" s="24" t="n">
        <x:v>47</x:v>
      </x:c>
      <x:c r="D24" s="24" t="n">
        <x:v>0</x:v>
      </x:c>
      <x:c r="E24" s="3" t="str">
        <x:v>steps.yaml</x:v>
      </x:c>
      <x:c r="F24" s="3" t="str">
        <x:v>Contract completeness only, never implementation or conformance.</x:v>
      </x:c>
    </x:row>
    <x:row r="25" ht="27" customHeight="1">
      <x:c r="A25" s="14" t="str">
        <x:v>Structural lint problems</x:v>
      </x:c>
      <x:c r="B25" s="25" t="n">
        <x:v>0</x:v>
      </x:c>
      <x:c r="C25" s="25" t="n">
        <x:v>0</x:v>
      </x:c>
      <x:c r="D25" s="25" t="n">
        <x:v>0</x:v>
      </x:c>
      <x:c r="E25" s="14" t="str">
        <x:v>assurance/control_plane/backlog.py lint</x:v>
      </x:c>
      <x:c r="F25" s="14" t="str">
        <x:v>Does not certify manual wave or release-profile gates.</x:v>
      </x:c>
    </x:row>
  </x:sheetData>
  <x:mergeCells>
    <x:mergeCell ref="A1:F1"/>
    <x:mergeCell ref="A2:F2"/>
  </x:mergeCells>
  <x:conditionalFormatting sqref="D4:D25">
    <x:cfRule type="cellIs" dxfId="0" priority="1" operator="notEqual">
      <x:formula>0</x:formula>
    </x:cfRule>
  </x:conditionalFormatting>
  <x:pageMargins left="0.7" right="0.7" top="0.75" bottom="0.75" header="0.3" footer="0.3"/>
  <x:tableParts count="1">
    <x:tablePart xmlns:r="http://schemas.openxmlformats.org/officeDocument/2006/relationships" r:id="R9c0638d80dca4288"/>
  </x:tableParts>
</x:worksheet>
</file>