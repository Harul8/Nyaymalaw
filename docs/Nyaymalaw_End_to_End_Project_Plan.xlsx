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a53454d2c7940a4" /></Relationships>
</file>

<file path=xl/workbook.xml><?xml version="1.0" encoding="utf-8"?>
<x:workbook xmlns:x="http://schemas.openxmlformats.org/spreadsheetml/2006/main">
  <x:sheets>
    <x:sheet xmlns:r="http://schemas.openxmlformats.org/officeDocument/2006/relationships" name="Read Me" sheetId="1" r:id="Rfc4f36a8670a4548"/>
    <x:sheet xmlns:r="http://schemas.openxmlformats.org/officeDocument/2006/relationships" name="Overview" sheetId="2" r:id="Rd578544254f24ce4"/>
    <x:sheet xmlns:r="http://schemas.openxmlformats.org/officeDocument/2006/relationships" name="Delivery Plan" sheetId="3" r:id="R23a20b27ea9e4ce9"/>
    <x:sheet xmlns:r="http://schemas.openxmlformats.org/officeDocument/2006/relationships" name="Journey Steps" sheetId="4" r:id="Rd31fa7e2fadb4d5e"/>
    <x:sheet xmlns:r="http://schemas.openxmlformats.org/officeDocument/2006/relationships" name="Step Contracts" sheetId="5" r:id="R8eeb82adba0f44ea"/>
    <x:sheet xmlns:r="http://schemas.openxmlformats.org/officeDocument/2006/relationships" name="Features" sheetId="6" r:id="R53eb2c00d6384a10"/>
    <x:sheet xmlns:r="http://schemas.openxmlformats.org/officeDocument/2006/relationships" name="Work Items" sheetId="7" r:id="Rebf1d817984641b4"/>
    <x:sheet xmlns:r="http://schemas.openxmlformats.org/officeDocument/2006/relationships" name="Traceability" sheetId="8" r:id="R413d694d3cad4bf3"/>
    <x:sheet xmlns:r="http://schemas.openxmlformats.org/officeDocument/2006/relationships" name="Build Assurance" sheetId="9" r:id="R3c85f2fd45984062"/>
    <x:sheet xmlns:r="http://schemas.openxmlformats.org/officeDocument/2006/relationships" name="Release Gates" sheetId="10" r:id="Rbc4e5af6cfd04d3e"/>
    <x:sheet xmlns:r="http://schemas.openxmlformats.org/officeDocument/2006/relationships" name="Release Profiles" sheetId="11" r:id="R812826a884bd4674"/>
    <x:sheet xmlns:r="http://schemas.openxmlformats.org/officeDocument/2006/relationships" name="Journey Scenarios" sheetId="12" r:id="R2cb08342f5424ded"/>
    <x:sheet xmlns:r="http://schemas.openxmlformats.org/officeDocument/2006/relationships" name="Risks" sheetId="13" r:id="R4cc8158274cd4bff"/>
    <x:sheet xmlns:r="http://schemas.openxmlformats.org/officeDocument/2006/relationships" name="Advocate Standard" sheetId="14" r:id="R83e48f33ea744e9d"/>
    <x:sheet xmlns:r="http://schemas.openxmlformats.org/officeDocument/2006/relationships" name="Expert Workflow" sheetId="15" r:id="Rb4cb3d7e52d343d6"/>
    <x:sheet xmlns:r="http://schemas.openxmlformats.org/officeDocument/2006/relationships" name="Advice Maturity" sheetId="16" r:id="R05a9a81f5fa44480"/>
    <x:sheet xmlns:r="http://schemas.openxmlformats.org/officeDocument/2006/relationships" name="Roles &amp; Authority" sheetId="17" r:id="R508ccbe7f67e4014"/>
    <x:sheet xmlns:r="http://schemas.openxmlformats.org/officeDocument/2006/relationships" name="Gap Closure" sheetId="18" r:id="R980c5d253f3a44d1"/>
    <x:sheet xmlns:r="http://schemas.openxmlformats.org/officeDocument/2006/relationships" name="Modules" sheetId="19" r:id="R6a35e74a4a074286"/>
    <x:sheet xmlns:r="http://schemas.openxmlformats.org/officeDocument/2006/relationships" name="Execution Packets" sheetId="20" r:id="R2cf276e6e4b64438"/>
    <x:sheet xmlns:r="http://schemas.openxmlformats.org/officeDocument/2006/relationships" name="Packet Guide" sheetId="21" r:id="R4712588a4d79486b"/>
    <x:sheet xmlns:r="http://schemas.openxmlformats.org/officeDocument/2006/relationships" name="Acceptance" sheetId="22" r:id="R51f9476e21a9498f"/>
    <x:sheet xmlns:r="http://schemas.openxmlformats.org/officeDocument/2006/relationships" name="Decisions" sheetId="23" r:id="R6cf42dc796244de4"/>
    <x:sheet xmlns:r="http://schemas.openxmlformats.org/officeDocument/2006/relationships" name="Command Contracts" sheetId="24" r:id="R419e693342fb44f6"/>
    <x:sheet xmlns:r="http://schemas.openxmlformats.org/officeDocument/2006/relationships" name="Evaluation Specs" sheetId="25" r:id="R82d59627c36141b2"/>
    <x:sheet xmlns:r="http://schemas.openxmlformats.org/officeDocument/2006/relationships" name="Evaluation Details" sheetId="26" r:id="R058ac527cf634d0a"/>
    <x:sheet xmlns:r="http://schemas.openxmlformats.org/officeDocument/2006/relationships" name="Sources" sheetId="27" r:id="Rb4f1e08b0ac74c86"/>
    <x:sheet xmlns:r="http://schemas.openxmlformats.org/officeDocument/2006/relationships" name="Reconciliation" sheetId="28" r:id="R9e6d0c5d34a44cb1"/>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f535e1c6be84125" /><Relationship Type="http://schemas.openxmlformats.org/officeDocument/2006/relationships/theme" Target="/xl/theme/theme1.xml" Id="R753cb2b627694e1f" /><Relationship Type="http://schemas.openxmlformats.org/officeDocument/2006/relationships/sharedStrings" Target="/xl/sharedStrings.xml" Id="Rbca1e8a6c3bf460b" /><Relationship Type="http://schemas.openxmlformats.org/officeDocument/2006/relationships/worksheet" Target="/xl/worksheets/sheet1.xml" Id="Rfc4f36a8670a4548" /><Relationship Type="http://schemas.openxmlformats.org/officeDocument/2006/relationships/worksheet" Target="/xl/worksheets/sheet2.xml" Id="Rd578544254f24ce4" /><Relationship Type="http://schemas.openxmlformats.org/officeDocument/2006/relationships/worksheet" Target="/xl/worksheets/sheet3.xml" Id="R23a20b27ea9e4ce9" /><Relationship Type="http://schemas.openxmlformats.org/officeDocument/2006/relationships/worksheet" Target="/xl/worksheets/sheet4.xml" Id="Rd31fa7e2fadb4d5e" /><Relationship Type="http://schemas.openxmlformats.org/officeDocument/2006/relationships/worksheet" Target="/xl/worksheets/sheet5.xml" Id="R8eeb82adba0f44ea" /><Relationship Type="http://schemas.openxmlformats.org/officeDocument/2006/relationships/worksheet" Target="/xl/worksheets/sheet6.xml" Id="R53eb2c00d6384a10" /><Relationship Type="http://schemas.openxmlformats.org/officeDocument/2006/relationships/worksheet" Target="/xl/worksheets/sheet7.xml" Id="Rebf1d817984641b4" /><Relationship Type="http://schemas.openxmlformats.org/officeDocument/2006/relationships/worksheet" Target="/xl/worksheets/sheet8.xml" Id="R413d694d3cad4bf3" /><Relationship Type="http://schemas.openxmlformats.org/officeDocument/2006/relationships/worksheet" Target="/xl/worksheets/sheet9.xml" Id="R3c85f2fd45984062" /><Relationship Type="http://schemas.openxmlformats.org/officeDocument/2006/relationships/worksheet" Target="/xl/worksheets/sheet10.xml" Id="Rbc4e5af6cfd04d3e" /><Relationship Type="http://schemas.openxmlformats.org/officeDocument/2006/relationships/worksheet" Target="/xl/worksheets/sheet11.xml" Id="R812826a884bd4674" /><Relationship Type="http://schemas.openxmlformats.org/officeDocument/2006/relationships/worksheet" Target="/xl/worksheets/sheet12.xml" Id="R2cb08342f5424ded" /><Relationship Type="http://schemas.openxmlformats.org/officeDocument/2006/relationships/worksheet" Target="/xl/worksheets/sheet13.xml" Id="R4cc8158274cd4bff" /><Relationship Type="http://schemas.openxmlformats.org/officeDocument/2006/relationships/worksheet" Target="/xl/worksheets/sheet14.xml" Id="R83e48f33ea744e9d" /><Relationship Type="http://schemas.openxmlformats.org/officeDocument/2006/relationships/worksheet" Target="/xl/worksheets/sheet15.xml" Id="Rb4cb3d7e52d343d6" /><Relationship Type="http://schemas.openxmlformats.org/officeDocument/2006/relationships/worksheet" Target="/xl/worksheets/sheet16.xml" Id="R05a9a81f5fa44480" /><Relationship Type="http://schemas.openxmlformats.org/officeDocument/2006/relationships/worksheet" Target="/xl/worksheets/sheet17.xml" Id="R508ccbe7f67e4014" /><Relationship Type="http://schemas.openxmlformats.org/officeDocument/2006/relationships/worksheet" Target="/xl/worksheets/sheet18.xml" Id="R980c5d253f3a44d1" /><Relationship Type="http://schemas.openxmlformats.org/officeDocument/2006/relationships/worksheet" Target="/xl/worksheets/sheet19.xml" Id="R6a35e74a4a074286" /><Relationship Type="http://schemas.openxmlformats.org/officeDocument/2006/relationships/worksheet" Target="/xl/worksheets/sheet20.xml" Id="R2cf276e6e4b64438" /><Relationship Type="http://schemas.openxmlformats.org/officeDocument/2006/relationships/worksheet" Target="/xl/worksheets/sheet21.xml" Id="R4712588a4d79486b" /><Relationship Type="http://schemas.openxmlformats.org/officeDocument/2006/relationships/worksheet" Target="/xl/worksheets/sheet22.xml" Id="R51f9476e21a9498f" /><Relationship Type="http://schemas.openxmlformats.org/officeDocument/2006/relationships/worksheet" Target="/xl/worksheets/sheet23.xml" Id="R6cf42dc796244de4" /><Relationship Type="http://schemas.openxmlformats.org/officeDocument/2006/relationships/worksheet" Target="/xl/worksheets/sheet24.xml" Id="R419e693342fb44f6" /><Relationship Type="http://schemas.openxmlformats.org/officeDocument/2006/relationships/worksheet" Target="/xl/worksheets/sheet25.xml" Id="R82d59627c36141b2" /><Relationship Type="http://schemas.openxmlformats.org/officeDocument/2006/relationships/worksheet" Target="/xl/worksheets/sheet26.xml" Id="R058ac527cf634d0a" /><Relationship Type="http://schemas.openxmlformats.org/officeDocument/2006/relationships/worksheet" Target="/xl/worksheets/sheet27.xml" Id="Rb4f1e08b0ac74c86" /><Relationship Type="http://schemas.openxmlformats.org/officeDocument/2006/relationships/worksheet" Target="/xl/worksheets/sheet28.xml" Id="R9e6d0c5d34a44cb1" /></Relationships>
</file>

<file path=xl/tables/table1.xml><?xml version="1.0" encoding="utf-8"?>
<x:table xmlns:x="http://schemas.openxmlformats.org/spreadsheetml/2006/main" id="1" name="Plan_ReadMe" displayName="Plan_ReadMe" ref="A3:B33" headerRowCount="1" totalsRowCount="0" totalsRowShown="0">
  <x:autoFilter ref="A3:B33"/>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4" headerRowCount="1" totalsRowCount="0" totalsRowShown="0">
  <x:autoFilter ref="A3:R104"/>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287" headerRowCount="1" totalsRowCount="0" totalsRowShown="0">
  <x:autoFilter ref="A3:L287"/>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0" headerRowCount="1" totalsRowCount="0" totalsRowShown="0">
  <x:autoFilter ref="A3:C30"/>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3.xml><?xml version="1.0" encoding="utf-8"?>
<x:table xmlns:x="http://schemas.openxmlformats.org/spreadsheetml/2006/main" id="13"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4.xml><?xml version="1.0" encoding="utf-8"?>
<x:table xmlns:x="http://schemas.openxmlformats.org/spreadsheetml/2006/main" id="14"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5.xml><?xml version="1.0" encoding="utf-8"?>
<x:table xmlns:x="http://schemas.openxmlformats.org/spreadsheetml/2006/main" id="15"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6.xml><?xml version="1.0" encoding="utf-8"?>
<x:table xmlns:x="http://schemas.openxmlformats.org/spreadsheetml/2006/main" id="16"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0.xml><?xml version="1.0" encoding="utf-8"?>
<x:table xmlns:x="http://schemas.openxmlformats.org/spreadsheetml/2006/main" id="20"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1.xml><?xml version="1.0" encoding="utf-8"?>
<x:table xmlns:x="http://schemas.openxmlformats.org/spreadsheetml/2006/main" id="21" name="Plan_PacketGuide" displayName="Plan_PacketGuide" ref="A3:E436" headerRowCount="1" totalsRowCount="0" totalsRowShown="0">
  <x:autoFilter ref="A3:E436"/>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2.xml><?xml version="1.0" encoding="utf-8"?>
<x:table xmlns:x="http://schemas.openxmlformats.org/spreadsheetml/2006/main" id="22" name="Plan_Acceptance" displayName="Plan_Acceptance" ref="A3:J204" headerRowCount="1" totalsRowCount="0" totalsRowShown="0">
  <x:autoFilter ref="A3:J204"/>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3.xml><?xml version="1.0" encoding="utf-8"?>
<x:table xmlns:x="http://schemas.openxmlformats.org/spreadsheetml/2006/main" id="23"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4.xml><?xml version="1.0" encoding="utf-8"?>
<x:table xmlns:x="http://schemas.openxmlformats.org/spreadsheetml/2006/main" id="24"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5.xml><?xml version="1.0" encoding="utf-8"?>
<x:table xmlns:x="http://schemas.openxmlformats.org/spreadsheetml/2006/main" id="25"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6.xml><?xml version="1.0" encoding="utf-8"?>
<x:table xmlns:x="http://schemas.openxmlformats.org/spreadsheetml/2006/main" id="26"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7.xml><?xml version="1.0" encoding="utf-8"?>
<x:table xmlns:x="http://schemas.openxmlformats.org/spreadsheetml/2006/main" id="27" name="Plan_Sources" displayName="Plan_Sources" ref="A3:D56" headerRowCount="1" totalsRowCount="0" totalsRowShown="0">
  <x:autoFilter ref="A3:D56"/>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28.xml><?xml version="1.0" encoding="utf-8"?>
<x:table xmlns:x="http://schemas.openxmlformats.org/spreadsheetml/2006/main" id="28" name="Plan_Reconciliation" displayName="Plan_Reconciliation" ref="A3:F23" headerRowCount="1" totalsRowCount="0" totalsRowShown="0">
  <x:autoFilter ref="A3:F23"/>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5653e29352f464d" /></Relationships>
</file>

<file path=xl/worksheets/_rels/sheet2.xml.rels>&#65279;<?xml version="1.0" encoding="utf-8"?><Relationships xmlns="http://schemas.openxmlformats.org/package/2006/relationships"><Relationship Type="http://schemas.openxmlformats.org/officeDocument/2006/relationships/table" Target="/xl/tables/table2.xml" Id="R1f6f1b4879494303" /></Relationships>
</file>

<file path=xl/worksheets/_rels/sheet3.xml.rels>&#65279;<?xml version="1.0" encoding="utf-8"?><Relationships xmlns="http://schemas.openxmlformats.org/package/2006/relationships"><Relationship Type="http://schemas.openxmlformats.org/officeDocument/2006/relationships/table" Target="/xl/tables/table3.xml" Id="Re86e168cfd54499f" /></Relationships>
</file>

<file path=xl/worksheets/_rels/sheet4.xml.rels>&#65279;<?xml version="1.0" encoding="utf-8"?><Relationships xmlns="http://schemas.openxmlformats.org/package/2006/relationships"><Relationship Type="http://schemas.openxmlformats.org/officeDocument/2006/relationships/table" Target="/xl/tables/table4.xml" Id="R9bb7dcf704154302" /></Relationships>
</file>

<file path=xl/worksheets/_rels/sheet5.xml.rels>&#65279;<?xml version="1.0" encoding="utf-8"?><Relationships xmlns="http://schemas.openxmlformats.org/package/2006/relationships"><Relationship Type="http://schemas.openxmlformats.org/officeDocument/2006/relationships/table" Target="/xl/tables/table5.xml" Id="R6a4779f8c7ce4d89" /></Relationships>
</file>

<file path=xl/worksheets/_rels/sheet6.xml.rels>&#65279;<?xml version="1.0" encoding="utf-8"?><Relationships xmlns="http://schemas.openxmlformats.org/package/2006/relationships"><Relationship Type="http://schemas.openxmlformats.org/officeDocument/2006/relationships/table" Target="/xl/tables/table6.xml" Id="R75f29f5c316a4ec9" /></Relationships>
</file>

<file path=xl/worksheets/_rels/sheet7.xml.rels>&#65279;<?xml version="1.0" encoding="utf-8"?><Relationships xmlns="http://schemas.openxmlformats.org/package/2006/relationships"><Relationship Type="http://schemas.openxmlformats.org/officeDocument/2006/relationships/table" Target="/xl/tables/table7.xml" Id="R8171ef41b2334b30" /></Relationships>
</file>

<file path=xl/worksheets/_rels/sheet8.xml.rels>&#65279;<?xml version="1.0" encoding="utf-8"?><Relationships xmlns="http://schemas.openxmlformats.org/package/2006/relationships"><Relationship Type="http://schemas.openxmlformats.org/officeDocument/2006/relationships/table" Target="/xl/tables/table8.xml" Id="R8d9af7bbd4144088" /></Relationships>
</file>

<file path=xl/worksheets/_rels/sheet9.xml.rels>&#65279;<?xml version="1.0" encoding="utf-8"?><Relationships xmlns="http://schemas.openxmlformats.org/package/2006/relationships"><Relationship Type="http://schemas.openxmlformats.org/officeDocument/2006/relationships/table" Target="/xl/tables/table9.xml" Id="R7df493981f59400e" /></Relationships>
</file>

<file path=xl/worksheets/_rels/sheet10.xml.rels>&#65279;<?xml version="1.0" encoding="utf-8"?><Relationships xmlns="http://schemas.openxmlformats.org/package/2006/relationships"><Relationship Type="http://schemas.openxmlformats.org/officeDocument/2006/relationships/table" Target="/xl/tables/table10.xml" Id="R9b946c3b56f347c4" /></Relationships>
</file>

<file path=xl/worksheets/_rels/sheet11.xml.rels>&#65279;<?xml version="1.0" encoding="utf-8"?><Relationships xmlns="http://schemas.openxmlformats.org/package/2006/relationships"><Relationship Type="http://schemas.openxmlformats.org/officeDocument/2006/relationships/table" Target="/xl/tables/table11.xml" Id="Rbc76e981539a4272" /></Relationships>
</file>

<file path=xl/worksheets/_rels/sheet12.xml.rels>&#65279;<?xml version="1.0" encoding="utf-8"?><Relationships xmlns="http://schemas.openxmlformats.org/package/2006/relationships"><Relationship Type="http://schemas.openxmlformats.org/officeDocument/2006/relationships/table" Target="/xl/tables/table12.xml" Id="R5324365b97544463" /></Relationships>
</file>

<file path=xl/worksheets/_rels/sheet13.xml.rels>&#65279;<?xml version="1.0" encoding="utf-8"?><Relationships xmlns="http://schemas.openxmlformats.org/package/2006/relationships"><Relationship Type="http://schemas.openxmlformats.org/officeDocument/2006/relationships/table" Target="/xl/tables/table13.xml" Id="Re0bd62bc5b5a4ce1" /></Relationships>
</file>

<file path=xl/worksheets/_rels/sheet14.xml.rels>&#65279;<?xml version="1.0" encoding="utf-8"?><Relationships xmlns="http://schemas.openxmlformats.org/package/2006/relationships"><Relationship Type="http://schemas.openxmlformats.org/officeDocument/2006/relationships/table" Target="/xl/tables/table14.xml" Id="R35dbdfb998c44e2e" /></Relationships>
</file>

<file path=xl/worksheets/_rels/sheet15.xml.rels>&#65279;<?xml version="1.0" encoding="utf-8"?><Relationships xmlns="http://schemas.openxmlformats.org/package/2006/relationships"><Relationship Type="http://schemas.openxmlformats.org/officeDocument/2006/relationships/table" Target="/xl/tables/table15.xml" Id="R0da42aa9c3a0414f" /></Relationships>
</file>

<file path=xl/worksheets/_rels/sheet16.xml.rels>&#65279;<?xml version="1.0" encoding="utf-8"?><Relationships xmlns="http://schemas.openxmlformats.org/package/2006/relationships"><Relationship Type="http://schemas.openxmlformats.org/officeDocument/2006/relationships/table" Target="/xl/tables/table16.xml" Id="R9b6ddfa2405b4b1a" /></Relationships>
</file>

<file path=xl/worksheets/_rels/sheet17.xml.rels>&#65279;<?xml version="1.0" encoding="utf-8"?><Relationships xmlns="http://schemas.openxmlformats.org/package/2006/relationships"><Relationship Type="http://schemas.openxmlformats.org/officeDocument/2006/relationships/table" Target="/xl/tables/table17.xml" Id="R3aee4621a80e4231" /></Relationships>
</file>

<file path=xl/worksheets/_rels/sheet18.xml.rels>&#65279;<?xml version="1.0" encoding="utf-8"?><Relationships xmlns="http://schemas.openxmlformats.org/package/2006/relationships"><Relationship Type="http://schemas.openxmlformats.org/officeDocument/2006/relationships/table" Target="/xl/tables/table18.xml" Id="R350f6fd66d294134" /></Relationships>
</file>

<file path=xl/worksheets/_rels/sheet19.xml.rels>&#65279;<?xml version="1.0" encoding="utf-8"?><Relationships xmlns="http://schemas.openxmlformats.org/package/2006/relationships"><Relationship Type="http://schemas.openxmlformats.org/officeDocument/2006/relationships/table" Target="/xl/tables/table19.xml" Id="Ra973a90366554dcb" /></Relationships>
</file>

<file path=xl/worksheets/_rels/sheet20.xml.rels>&#65279;<?xml version="1.0" encoding="utf-8"?><Relationships xmlns="http://schemas.openxmlformats.org/package/2006/relationships"><Relationship Type="http://schemas.openxmlformats.org/officeDocument/2006/relationships/table" Target="/xl/tables/table20.xml" Id="R1f3c0ece75b342c5" /></Relationships>
</file>

<file path=xl/worksheets/_rels/sheet21.xml.rels>&#65279;<?xml version="1.0" encoding="utf-8"?><Relationships xmlns="http://schemas.openxmlformats.org/package/2006/relationships"><Relationship Type="http://schemas.openxmlformats.org/officeDocument/2006/relationships/table" Target="/xl/tables/table21.xml" Id="R53bc902328eb4fd5" /></Relationships>
</file>

<file path=xl/worksheets/_rels/sheet22.xml.rels>&#65279;<?xml version="1.0" encoding="utf-8"?><Relationships xmlns="http://schemas.openxmlformats.org/package/2006/relationships"><Relationship Type="http://schemas.openxmlformats.org/officeDocument/2006/relationships/table" Target="/xl/tables/table22.xml" Id="Rbd161f652a6e4288" /></Relationships>
</file>

<file path=xl/worksheets/_rels/sheet23.xml.rels>&#65279;<?xml version="1.0" encoding="utf-8"?><Relationships xmlns="http://schemas.openxmlformats.org/package/2006/relationships"><Relationship Type="http://schemas.openxmlformats.org/officeDocument/2006/relationships/table" Target="/xl/tables/table23.xml" Id="Rc8a6dbcbd1ed479a" /></Relationships>
</file>

<file path=xl/worksheets/_rels/sheet24.xml.rels>&#65279;<?xml version="1.0" encoding="utf-8"?><Relationships xmlns="http://schemas.openxmlformats.org/package/2006/relationships"><Relationship Type="http://schemas.openxmlformats.org/officeDocument/2006/relationships/table" Target="/xl/tables/table24.xml" Id="R1fab092d6df940ee" /></Relationships>
</file>

<file path=xl/worksheets/_rels/sheet25.xml.rels>&#65279;<?xml version="1.0" encoding="utf-8"?><Relationships xmlns="http://schemas.openxmlformats.org/package/2006/relationships"><Relationship Type="http://schemas.openxmlformats.org/officeDocument/2006/relationships/table" Target="/xl/tables/table25.xml" Id="R9c8711af48cf4388" /></Relationships>
</file>

<file path=xl/worksheets/_rels/sheet26.xml.rels>&#65279;<?xml version="1.0" encoding="utf-8"?><Relationships xmlns="http://schemas.openxmlformats.org/package/2006/relationships"><Relationship Type="http://schemas.openxmlformats.org/officeDocument/2006/relationships/table" Target="/xl/tables/table26.xml" Id="R64f13eca9a5f462a" /></Relationships>
</file>

<file path=xl/worksheets/_rels/sheet27.xml.rels>&#65279;<?xml version="1.0" encoding="utf-8"?><Relationships xmlns="http://schemas.openxmlformats.org/package/2006/relationships"><Relationship Type="http://schemas.openxmlformats.org/officeDocument/2006/relationships/table" Target="/xl/tables/table27.xml" Id="Raf7ff57f124d4c2e" /></Relationships>
</file>

<file path=xl/worksheets/_rels/sheet28.xml.rels>&#65279;<?xml version="1.0" encoding="utf-8"?><Relationships xmlns="http://schemas.openxmlformats.org/package/2006/relationships"><Relationship Type="http://schemas.openxmlformats.org/officeDocument/2006/relationships/table" Target="/xl/tables/table28.xml" Id="R9b176075c7424598"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40" customHeight="1">
      <x:c r="A11" s="14" t="str">
        <x:v>Execution evidence at snapshot</x:v>
      </x:c>
      <x:c r="B11" s="14" t="str">
        <x:v>Class-A evidence is STALE for the current source fingerprint</x:v>
      </x:c>
    </x:row>
    <x:row r="12" ht="40" customHeight="1">
      <x:c r="A12" s="3" t="str">
        <x:v>Released</x:v>
      </x:c>
      <x:c r="B12" s="3" t="str">
        <x:v>This workbook records no deployment authorisation. Item readiness is not a release decision. Use a separately recorded release-profile decision with its exact population, environment, owners and current evidence.</x:v>
      </x:c>
    </x:row>
    <x:row r="13" ht="40" customHeight="1">
      <x:c r="A13" s="14" t="str">
        <x:v>Wave and release controls</x:v>
      </x:c>
      <x:c r="B13" s="14" t="str">
        <x:v>Wave contracts and release profiles are intended manual decisions until BK-80 implements their mechanical gate. A populated profile or green registry lint cannot approve a release.</x:v>
      </x:c>
    </x:row>
    <x:row r="14" ht="55" customHeight="1">
      <x:c r="A14" s="3" t="str">
        <x:v>Core workflow</x:v>
      </x:c>
      <x:c r="B14" s="3"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15" ht="40" customHeight="1">
      <x:c r="A15" s="14" t="str">
        <x:v>Senior-advocate quality</x:v>
      </x:c>
      <x:c r="B15" s="14" t="str">
        <x:v>Test independent judgment, adverse-case candour, proportionality, source discipline, scope and role authority. Accurate calculation does not establish the legal premise. Professional review is independent of code-test success.</x:v>
      </x:c>
    </x:row>
    <x:row r="16" ht="40" customHeight="1">
      <x:c r="A16" s="3" t="str">
        <x:v>Media scope</x:v>
      </x:c>
      <x:c r="B16" s="3" t="str">
        <x:v>The intended intake includes voice, audio/video, images and documents. Publish supported formats, limits, language and processing capability; quarantine or refuse unsupported, unsafe or unconsented material without pretending it was read.</x:v>
      </x:c>
    </x:row>
    <x:row r="17" ht="27" customHeight="1">
      <x:c r="A17" s="14" t="str">
        <x:v>Before a change</x:v>
      </x:c>
      <x:c r="B17" s="14" t="str">
        <x:v>docs/playbooks/START_A_CHANGE.md — register the claim, affected journey, acceptance, evidence scope, risk and authority.</x:v>
      </x:c>
    </x:row>
    <x:row r="18" ht="40" customHeight="1">
      <x:c r="A18" s="3" t="str">
        <x:v>While building</x:v>
      </x:c>
      <x:c r="B18" s="3" t="str">
        <x:v>docs/playbooks/BUILD_A_CHANGE.md — build the registered outcome, preserve boundaries and maintain recovery and correction behaviour.</x:v>
      </x:c>
    </x:row>
    <x:row r="19" ht="40" customHeight="1">
      <x:c r="A19" s="14" t="str">
        <x:v>While testing</x:v>
      </x:c>
      <x:c r="B19" s="14" t="str">
        <x:v>docs/playbooks/TEST_A_CHANGE.md — verify the promised outcome, negative controls and applicable integration, browser and legal evidence.</x:v>
      </x:c>
    </x:row>
    <x:row r="20" ht="40" customHeight="1">
      <x:c r="A20" s="3" t="str">
        <x:v>At sign-off</x:v>
      </x:c>
      <x:c r="B20" s="3" t="str">
        <x:v>docs/playbooks/SIGN_OFF_A_CHANGE.md — reconcile claims, evidence, residual risks and release authority. Do not turn a test-run approval into risk acceptance.</x:v>
      </x:c>
    </x:row>
    <x:row r="21" ht="40" customHeight="1">
      <x:c r="A21" s="14" t="str">
        <x:v>Maintenance</x:v>
      </x:c>
      <x:c r="B21" s="14" t="str">
        <x:v>Change the authoritative source, then regenerate. Do not edit workbook status cells. Source hashes in Sources identify this snapshot and prevent concurrent-source changes during export.</x:v>
      </x:c>
    </x:row>
    <x:row r="22" ht="27" customHeight="1">
      <x:c r="A22" s="3" t="str">
        <x:v>Source hash convention</x:v>
      </x:c>
      <x:c r="B22" s="3" t="str">
        <x:v>UTF-8 text .md/.json/.yaml/.js/.mjs/.py normalises CRLF to LF; other files hash exact bytes.</x:v>
      </x:c>
    </x:row>
    <x:row r="23" ht="40" customHeight="1">
      <x:c r="A23" s="14" t="str">
        <x:v>Prior plans</x:v>
      </x:c>
      <x:c r="B23" s="14" t="str">
        <x:v>The original vertical-slice workbook and the 9 September end-to-end workbook remain historical references. This is the current generated view; it does not replace their evidence record.</x:v>
      </x:c>
    </x:row>
    <x:row r="24" ht="40" customHeight="1">
      <x:c r="A24" s="3" t="str">
        <x:v>Scenario and risk catalogues</x:v>
      </x:c>
      <x:c r="B24" s="3" t="str">
        <x:v>JS-, R- and G-labels organise preserved design examples in spec/plan/view_content.json. They are not extra work items or executed proofs. Each points to registered delivery work; execution coverage must be recorded there.</x:v>
      </x:c>
    </x:row>
    <x:row r="25" ht="40" customHeight="1">
      <x:c r="A25" s="14" t="str">
        <x:v>Journey principle</x:v>
      </x:c>
      <x:c r="B25" s="14" t="str">
        <x:v>The 47 steps are observable obligations, not 47 mandatory screens. Take the Brief, Work the File and Advise share one current file and can loop.</x:v>
      </x:c>
    </x:row>
    <x:row r="26" ht="130" customHeight="1">
      <x:c r="A26" s="3" t="str">
        <x:v>Normal working loop</x:v>
      </x:c>
      <x:c r="B26" s="3"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27" ht="85" customHeight="1">
      <x:c r="A27" s="14" t="str">
        <x:v>Return triggers</x:v>
      </x:c>
      <x:c r="B27" s="14" t="str">
        <x:v>new material fact or conflicting source
changed objective, authority or role
new party, event, deadline or legal premise
unavailable evidence or failed processing
advocate correction, disagreement or new task</x:v>
      </x:c>
    </x:row>
    <x:row r="28" ht="40" customHeight="1">
      <x:c r="A28" s="3" t="str">
        <x:v>Return behaviour</x:v>
      </x:c>
      <x:c r="B28" s="3" t="str">
        <x:v>Invalidate affected conclusions, clearance and readiness; preserve unchanged work and history; explain the change and return to the earliest necessary assessment, not the start of a fixed questionnaire.</x:v>
      </x:c>
    </x:row>
    <x:row r="29" ht="55" customHeight="1">
      <x:c r="A29" s="14" t="str">
        <x:v>Stop and resume</x:v>
      </x:c>
      <x:c r="B29" s="14"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30" ht="40" customHeight="1">
      <x:c r="A30" s="3" t="str">
        <x:v>Maturity rule</x:v>
      </x:c>
      <x:c r="B30" s="3" t="str">
        <x:v>AM-01 to AM-05 are permissions for a particular output, not a confidence score or a one-way progress bar. New facts may downgrade readiness; action authority remains separate from advice quality.</x:v>
      </x:c>
    </x:row>
    <x:row r="31" ht="27" customHeight="1">
      <x:c r="A31" s="14" t="str">
        <x:v>Snapshot</x:v>
      </x:c>
      <x:c r="B31" s="15" t="n">
        <x:v>46275.63602521991</x:v>
      </x:c>
    </x:row>
    <x:row r="32" ht="27" customHeight="1">
      <x:c r="A32" s="3" t="str">
        <x:v>Git identity</x:v>
      </x:c>
      <x:c r="B32" s="3" t="str">
        <x:v>f1e9a825bda90c2744995cc5f1d6afb3353a4907+dirty</x:v>
      </x:c>
    </x:row>
    <x:row r="33" ht="27" customHeight="1">
      <x:c r="A33" s="14" t="str">
        <x:v>Execution fingerprint</x:v>
      </x:c>
      <x:c r="B33" s="14" t="str">
        <x:v>c5c8d280e15cc26b4a23</x:v>
      </x:c>
    </x:row>
  </x:sheetData>
  <x:mergeCells>
    <x:mergeCell ref="A1:B1"/>
    <x:mergeCell ref="A2:B2"/>
  </x:mergeCells>
  <x:pageMargins left="0.7" right="0.7" top="0.75" bottom="0.75" header="0.3" footer="0.3"/>
  <x:tableParts count="1">
    <x:tablePart xmlns:r="http://schemas.openxmlformats.org/officeDocument/2006/relationships" r:id="R25653e29352f464d"/>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17</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4</x:v>
      </x:c>
      <x:c r="F5" s="25" t="n">
        <x:f>COUNTIFS('Features'!$B$4:$B$47,A5,'Features'!$E$4:$E$47,"none")</x:f>
        <x:v>2</x:v>
      </x:c>
      <x:c r="G5" s="25" t="n">
        <x:f>COUNTIF('Journey Steps'!$B$4:$B$50,A5)</x:f>
        <x:v>4</x:v>
      </x:c>
      <x:c r="H5" s="25" t="n">
        <x:f>COUNTIFS('Journey Steps'!$B$4:$B$50,A5,'Journey Steps'!$H$4:$H$50,"Full written contract")</x:f>
        <x:v>4</x:v>
      </x:c>
      <x:c r="I5" s="25" t="n">
        <x:v>14</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5</x:v>
      </x:c>
      <x:c r="E6" s="24" t="n">
        <x:f>COUNTIFS('Features'!$B$4:$B$47,A6,'Features'!$E$4:$E$47,"partial")</x:f>
        <x:v>0</x:v>
      </x:c>
      <x:c r="F6" s="24" t="n">
        <x:f>COUNTIFS('Features'!$B$4:$B$47,A6,'Features'!$E$4:$E$47,"none")</x:f>
        <x:v>2</x:v>
      </x:c>
      <x:c r="G6" s="24" t="n">
        <x:f>COUNTIF('Journey Steps'!$B$4:$B$50,A6)</x:f>
        <x:v>7</x:v>
      </x:c>
      <x:c r="H6" s="24" t="n">
        <x:f>COUNTIFS('Journey Steps'!$B$4:$B$50,A6,'Journey Steps'!$H$4:$H$50,"Full written contract")</x:f>
        <x:v>7</x:v>
      </x:c>
      <x:c r="I6" s="24" t="n">
        <x:v>21</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19</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20</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15</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15</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10</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16</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1f6f1b4879494303"/>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70" customHeight="1">
      <x:c r="A5" s="14" t="str">
        <x:v>W1</x:v>
      </x:c>
      <x:c r="B5" s="14" t="str">
        <x:v>Admission and commission
Establish who instructs, what is being asked and whether the work may proceed.</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e86e168cfd54499f"/>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8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x:v>
      </x:c>
      <x:c r="J4" s="3" t="str">
        <x:v>wrong or used recovery code and absent invitation disclose neither account existence nor matter count; sign-in messaging follows the controlled private-roster decision D-007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9bb7dcf704154302"/>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40" customHeight="1">
      <x:c r="A5" s="14" t="str">
        <x:v>STEP-A-01</x:v>
      </x:c>
      <x:c r="B5" s="14" t="str">
        <x:v>A</x:v>
      </x:c>
      <x:c r="C5" s="14" t="str">
        <x:v>Sign in and be recognised</x:v>
      </x:c>
      <x:c r="D5" s="14" t="str">
        <x:v>Entry conditions</x:v>
      </x:c>
      <x:c r="E5" s="14" t="str">
        <x:v>the advocate has an enrolled identity or a valid invitation to one controlled workspace
the sign-in or recovery surface is available without exposing matter content</x:v>
      </x:c>
      <x:c r="F5" s="14" t="str">
        <x:v>BK-31, BK-22, BK-20</x:v>
      </x:c>
    </x:row>
    <x:row r="6" ht="27" customHeight="1">
      <x:c r="A6" s="3" t="str">
        <x:v>STEP-A-01</x:v>
      </x:c>
      <x:c r="B6" s="3" t="str">
        <x:v>A</x:v>
      </x:c>
      <x:c r="C6" s="3" t="str">
        <x:v>Sign in and be recognised</x:v>
      </x:c>
      <x:c r="D6" s="3" t="str">
        <x:v>User action</x:v>
      </x:c>
      <x:c r="E6" s="3" t="str">
        <x:v>signs in with the invited identity, or uses one advocate-held recovery code</x:v>
      </x:c>
      <x:c r="F6" s="3" t="str">
        <x:v>BK-31, BK-22, BK-20</x:v>
      </x:c>
    </x:row>
    <x:row r="7" ht="4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55" customHeight="1">
      <x:c r="A9" s="14" t="str">
        <x:v>STEP-A-01</x:v>
      </x:c>
      <x:c r="B9" s="14" t="str">
        <x:v>A</x:v>
      </x:c>
      <x:c r="C9" s="14" t="str">
        <x:v>Sign in and be recognised</x:v>
      </x:c>
      <x:c r="D9" s="14" t="str">
        <x:v>Failure / refusal</x:v>
      </x:c>
      <x:c r="E9" s="14" t="str">
        <x:v>wrong or used recovery code and absent invitation disclose neither account existence nor matter count; sign-in messaging follows the controlled private-roster decision D-007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40" customHeight="1">
      <x:c r="A12" s="3" t="str">
        <x:v>STEP-A-01</x:v>
      </x:c>
      <x:c r="B12" s="3" t="str">
        <x:v>A</x:v>
      </x:c>
      <x:c r="C12" s="3" t="str">
        <x:v>Sign in and be recognised</x:v>
      </x:c>
      <x:c r="D12" s="3" t="str">
        <x:v>Context</x:v>
      </x:c>
      <x:c r="E12" s="3" t="str">
        <x:v>Phase A is a controlled private-roster deployment.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BK-62, BK-63, BK-64</x:v>
      </x:c>
    </x:row>
    <x:row r="98" ht="27" customHeight="1">
      <x:c r="A98" s="3" t="str">
        <x:v>STEP-C-04</x:v>
      </x:c>
      <x:c r="B98" s="3" t="str">
        <x:v>C</x:v>
      </x:c>
      <x:c r="C98" s="3" t="str">
        <x:v>Give each dispute a thread</x:v>
      </x:c>
      <x:c r="D98" s="3" t="str">
        <x:v>Actor</x:v>
      </x:c>
      <x:c r="E98" s="3" t="str">
        <x:v>advocate</x:v>
      </x:c>
      <x:c r="F98" s="3" t="str">
        <x:v>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BK-27, J-4, BK-64</x:v>
      </x:c>
    </x:row>
    <x:row r="106" ht="27" customHeight="1">
      <x:c r="A106" s="3" t="str">
        <x:v>STEP-C-05</x:v>
      </x:c>
      <x:c r="B106" s="3" t="str">
        <x:v>C</x:v>
      </x:c>
      <x:c r="C106" s="3" t="str">
        <x:v>Build the chronology</x:v>
      </x:c>
      <x:c r="D106" s="3" t="str">
        <x:v>Actor</x:v>
      </x:c>
      <x:c r="E106" s="3" t="str">
        <x:v>advocate</x:v>
      </x:c>
      <x:c r="F106" s="3" t="str">
        <x:v>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BK-6, BK-64, BK-79</x:v>
      </x:c>
    </x:row>
    <x:row r="130" ht="27" customHeight="1">
      <x:c r="A130" s="3" t="str">
        <x:v>STEP-D-01</x:v>
      </x:c>
      <x:c r="B130" s="3" t="str">
        <x:v>D</x:v>
      </x:c>
      <x:c r="C130" s="3" t="str">
        <x:v>Confirm the parties and the side</x:v>
      </x:c>
      <x:c r="D130" s="3" t="str">
        <x:v>Actor</x:v>
      </x:c>
      <x:c r="E130" s="3" t="str">
        <x:v>advocate</x:v>
      </x:c>
      <x:c r="F130" s="3" t="str">
        <x:v>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BK-63, BK-65</x:v>
      </x:c>
    </x:row>
    <x:row r="138" ht="27" customHeight="1">
      <x:c r="A138" s="3" t="str">
        <x:v>STEP-D-02</x:v>
      </x:c>
      <x:c r="B138" s="3" t="str">
        <x:v>D</x:v>
      </x:c>
      <x:c r="C138" s="3" t="str">
        <x:v>Settle the cause of action</x:v>
      </x:c>
      <x:c r="D138" s="3" t="str">
        <x:v>Actor</x:v>
      </x:c>
      <x:c r="E138" s="3" t="str">
        <x:v>advocate</x:v>
      </x:c>
      <x:c r="F138" s="3" t="str">
        <x:v>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BK-65, BK-70</x:v>
      </x:c>
    </x:row>
    <x:row r="163" ht="40" customHeight="1">
      <x:c r="A163" s="14" t="str">
        <x:v>STEP-D-05</x:v>
      </x:c>
      <x:c r="B163" s="14" t="str">
        <x:v>D</x:v>
      </x:c>
      <x:c r="C163" s="14" t="str">
        <x:v>Territorial and pecuniary jurisdiction</x:v>
      </x:c>
      <x:c r="D163" s="14" t="str">
        <x:v>Actor</x:v>
      </x:c>
      <x:c r="E163" s="14" t="str">
        <x:v>advocate</x:v>
      </x:c>
      <x:c r="F163" s="14" t="str">
        <x:v>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BK-15, BK-65, BK-70</x:v>
      </x:c>
    </x:row>
    <x:row r="171" ht="27" customHeight="1">
      <x:c r="A171" s="14" t="str">
        <x:v>STEP-D-06</x:v>
      </x:c>
      <x:c r="B171" s="14" t="str">
        <x:v>D</x:v>
      </x:c>
      <x:c r="C171" s="14" t="str">
        <x:v>Pre-filing requirements</x:v>
      </x:c>
      <x:c r="D171" s="14" t="str">
        <x:v>Actor</x:v>
      </x:c>
      <x:c r="E171" s="14" t="str">
        <x:v>advocate</x:v>
      </x:c>
      <x:c r="F171" s="14" t="str">
        <x:v>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BK-65, BK-70</x:v>
      </x:c>
    </x:row>
    <x:row r="179" ht="27" customHeight="1">
      <x:c r="A179" s="14" t="str">
        <x:v>STEP-D-07</x:v>
      </x:c>
      <x:c r="B179" s="14" t="str">
        <x:v>D</x:v>
      </x:c>
      <x:c r="C179" s="14" t="str">
        <x:v>Valuation and court fees</x:v>
      </x:c>
      <x:c r="D179" s="14" t="str">
        <x:v>Actor</x:v>
      </x:c>
      <x:c r="E179" s="14" t="str">
        <x:v>advocate</x:v>
      </x:c>
      <x:c r="F179" s="14" t="str">
        <x:v>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BK-65, BK-70</x:v>
      </x:c>
    </x:row>
    <x:row r="187" ht="27" customHeight="1">
      <x:c r="A187" s="14" t="str">
        <x:v>STEP-D-08</x:v>
      </x:c>
      <x:c r="B187" s="14" t="str">
        <x:v>D</x:v>
      </x:c>
      <x:c r="C187" s="14" t="str">
        <x:v>Register the deadlines</x:v>
      </x:c>
      <x:c r="D187" s="14" t="str">
        <x:v>Actor</x:v>
      </x:c>
      <x:c r="E187" s="14" t="str">
        <x:v>advocate</x:v>
      </x:c>
      <x:c r="F187" s="14" t="str">
        <x:v>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BK-33, BK-65</x:v>
      </x:c>
    </x:row>
    <x:row r="195" ht="27" customHeight="1">
      <x:c r="A195" s="14" t="str">
        <x:v>STEP-D-09</x:v>
      </x:c>
      <x:c r="B195" s="14" t="str">
        <x:v>D</x:v>
      </x:c>
      <x:c r="C195" s="14" t="str">
        <x:v>Research the authorities</x:v>
      </x:c>
      <x:c r="D195" s="14" t="str">
        <x:v>Actor</x:v>
      </x:c>
      <x:c r="E195" s="14" t="str">
        <x:v>advocate</x:v>
      </x:c>
      <x:c r="F195" s="14" t="str">
        <x:v>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BK-25, BK-24, BK-38, BK-67</x:v>
      </x:c>
    </x:row>
    <x:row r="203" ht="27" customHeight="1">
      <x:c r="A203" s="14" t="str">
        <x:v>STEP-D-10</x:v>
      </x:c>
      <x:c r="B203" s="14" t="str">
        <x:v>D</x:v>
      </x:c>
      <x:c r="C203" s="14" t="str">
        <x:v>Elements, burden and proof</x:v>
      </x:c>
      <x:c r="D203" s="14" t="str">
        <x:v>Actor</x:v>
      </x:c>
      <x:c r="E203" s="14" t="str">
        <x:v>advocate</x:v>
      </x:c>
      <x:c r="F203" s="14" t="str">
        <x:v>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BK-64, BK-65, BK-67</x:v>
      </x:c>
    </x:row>
    <x:row r="211" ht="27" customHeight="1">
      <x:c r="A211" s="14" t="str">
        <x:v>STEP-D-11</x:v>
      </x:c>
      <x:c r="B211" s="14" t="str">
        <x:v>D</x:v>
      </x:c>
      <x:c r="C211" s="14" t="str">
        <x:v>Build the case theory</x:v>
      </x:c>
      <x:c r="D211" s="14" t="str">
        <x:v>Actor</x:v>
      </x:c>
      <x:c r="E211" s="14" t="str">
        <x:v>advocate</x:v>
      </x:c>
      <x:c r="F211" s="14" t="str">
        <x:v>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BK-65, BK-67</x:v>
      </x:c>
    </x:row>
    <x:row r="219" ht="27" customHeight="1">
      <x:c r="A219" s="14" t="str">
        <x:v>STEP-D-12</x:v>
      </x:c>
      <x:c r="B219" s="14" t="str">
        <x:v>D</x:v>
      </x:c>
      <x:c r="C219" s="14" t="str">
        <x:v>The adversarial pass</x:v>
      </x:c>
      <x:c r="D219" s="14" t="str">
        <x:v>Actor</x:v>
      </x:c>
      <x:c r="E219" s="14" t="str">
        <x:v>advocate</x:v>
      </x:c>
      <x:c r="F219" s="14" t="str">
        <x:v>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J-3, BK-67</x:v>
      </x:c>
    </x:row>
    <x:row r="227" ht="27" customHeight="1">
      <x:c r="A227" s="14" t="str">
        <x:v>STEP-D-13</x:v>
      </x:c>
      <x:c r="B227" s="14" t="str">
        <x:v>D</x:v>
      </x:c>
      <x:c r="C227" s="14" t="str">
        <x:v>Salvage the weak case</x:v>
      </x:c>
      <x:c r="D227" s="14" t="str">
        <x:v>Actor</x:v>
      </x:c>
      <x:c r="E227" s="14" t="str">
        <x:v>advocate</x:v>
      </x:c>
      <x:c r="F227" s="14" t="str">
        <x:v>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BK-65, BK-67, BK-70</x:v>
      </x:c>
    </x:row>
    <x:row r="235" ht="27" customHeight="1">
      <x:c r="A235" s="14" t="str">
        <x:v>STEP-D-14</x:v>
      </x:c>
      <x:c r="B235" s="14" t="str">
        <x:v>D</x:v>
      </x:c>
      <x:c r="C235" s="14" t="str">
        <x:v>Issue facets and disposition</x:v>
      </x:c>
      <x:c r="D235" s="14" t="str">
        <x:v>Actor</x:v>
      </x:c>
      <x:c r="E235" s="14" t="str">
        <x:v>advocate</x:v>
      </x:c>
      <x:c r="F235" s="14" t="str">
        <x:v>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6a4779f8c7ce4d89"/>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BK-48</x:v>
      </x:c>
      <x:c r="H8" s="3" t="str">
        <x:v>STEP-B-01</x:v>
      </x:c>
      <x:c r="I8" s="3" t="str">
        <x:v>W1</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none</x:v>
      </x:c>
      <x:c r="F9" s="14" t="str">
        <x:v>planned</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BK-48</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BK-48</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BK-48</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none</x:v>
      </x:c>
      <x:c r="F13" s="14" t="str">
        <x:v>planned</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complete</x:v>
      </x:c>
      <x:c r="F14" s="3" t="str">
        <x:v>delivered</x:v>
      </x:c>
      <x:c r="G14" s="3" t="str">
        <x:v>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none</x:v>
      </x:c>
      <x:c r="F19" s="14" t="str">
        <x:v>planned</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75f29f5c316a4ec9"/>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40" customHeight="1">
      <x:c r="A27" s="14" t="str">
        <x:v>BK-24</x:v>
      </x:c>
      <x:c r="B27" s="14" t="str">
        <x:v>the citation filter excludes exactly the years the corpus needs</x:v>
      </x:c>
      <x:c r="C27" s="14" t="str">
        <x:v>D</x:v>
      </x:c>
      <x:c r="D27" s="14" t="str">
        <x:v>substrate</x:v>
      </x:c>
      <x:c r="E27" s="14" t="str">
        <x:v>P1</x:v>
      </x:c>
      <x:c r="F27" s="14" t="str">
        <x:v>planned</x:v>
      </x:c>
      <x:c r="G27" s="14" t="str">
        <x:v>none</x:v>
      </x:c>
      <x:c r="H27" s="14" t="str">
        <x:v>none</x:v>
      </x:c>
      <x:c r="I27" s="14" t="str">
        <x:v>W3</x:v>
      </x:c>
      <x:c r="J27" s="14" t="str"/>
      <x:c r="K27" s="14" t="str"/>
      <x:c r="L27" s="14" t="str"/>
      <x:c r="M27" s="14" t="str"/>
      <x:c r="N27" s="14" t="n">
        <x:v>1</x:v>
      </x:c>
      <x:c r="O27" s="14" t="str">
        <x:v>NOT_PROVEN</x:v>
      </x:c>
      <x:c r="P27" s="14" t="str">
        <x:v>Not done</x:v>
      </x:c>
      <x:c r="Q27" s="14" t="str">
        <x:v>not_ready</x:v>
      </x:c>
      <x:c r="R27" s="14" t="str">
        <x:v>docs/BACKLOG.md#bk-24-the-citation-filter-excludes-exactly-the-years-the-corpus-needs</x:v>
      </x:c>
    </x:row>
    <x:row r="28" ht="40" customHeight="1">
      <x:c r="A28" s="3" t="str">
        <x:v>BK-25</x:v>
      </x:c>
      <x:c r="B28" s="3" t="str">
        <x:v>the authority need finds a case by scanning a million paragraphs</x:v>
      </x:c>
      <x:c r="C28" s="3" t="str">
        <x:v>D</x:v>
      </x:c>
      <x:c r="D28" s="3" t="str">
        <x:v>substrate</x:v>
      </x:c>
      <x:c r="E28" s="3" t="str">
        <x:v>P1</x:v>
      </x:c>
      <x:c r="F28" s="3" t="str">
        <x:v>planned</x:v>
      </x:c>
      <x:c r="G28" s="3" t="str">
        <x:v>none</x:v>
      </x:c>
      <x:c r="H28" s="3" t="str">
        <x:v>none</x:v>
      </x:c>
      <x:c r="I28" s="3" t="str">
        <x:v>W3</x:v>
      </x:c>
      <x:c r="J28" s="3" t="str"/>
      <x:c r="K28" s="3" t="str"/>
      <x:c r="L28" s="3" t="str"/>
      <x:c r="M28" s="3" t="str"/>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NOT_PROVEN</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70"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implement D-013's authenticated recovery-code rotation and add registration, recovery and workspace proof to the approval-only browser journey; confidential-pilot authentication is BK-86 and deployed assurance remains BK-42</x:v>
      </x:c>
      <x:c r="N34" s="3" t="n">
        <x:v>20</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NOT_PROVEN</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4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failing</x:v>
      </x:c>
      <x:c r="I38" s="3" t="str">
        <x:v>W3</x:v>
      </x:c>
      <x:c r="J38" s="3" t="str"/>
      <x:c r="K38" s="3" t="str"/>
      <x:c r="L38" s="3" t="str"/>
      <x:c r="M38" s="3" t="str">
        <x:v>refuse to run the period from a single dated fact that does not satisfy the curated trigger; emit the statutory limb</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4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failing</x:v>
      </x:c>
      <x:c r="I41" s="14" t="str">
        <x:v>W2</x:v>
      </x:c>
      <x:c r="J41" s="14" t="str"/>
      <x:c r="K41" s="14" t="str">
        <x:v>BK-25</x:v>
      </x:c>
      <x:c r="L41" s="14" t="str"/>
      <x:c r="M41" s="14" t="str">
        <x:v>carry canonical citation and bench; attach a hit to a matter</x:v>
      </x:c>
      <x:c r="N41" s="14" t="n">
        <x:v>2</x:v>
      </x:c>
      <x:c r="O41" s="14" t="str">
        <x:v>NOT_PROVEN</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NOT_PROVEN</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27"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not yet executed in a browser</x:v>
      </x:c>
      <x:c r="N48" s="3" t="n">
        <x:v>1</x:v>
      </x:c>
      <x:c r="O48" s="3" t="str">
        <x:v>NOT_PROVEN</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NOT_PROVEN</x:v>
      </x:c>
      <x:c r="P50" s="3" t="str">
        <x:v>Not done</x:v>
      </x:c>
      <x:c r="Q50" s="3" t="str">
        <x:v>conditional</x:v>
      </x:c>
      <x:c r="R50" s="3" t="str">
        <x:v>docs/BACKLOG.md#bk-47-the-width-phase-asserts-nothing-at-desktop</x:v>
      </x:c>
    </x:row>
    <x:row r="51" ht="40" customHeight="1">
      <x:c r="A51" s="14" t="str">
        <x:v>BK-48</x:v>
      </x:c>
      <x:c r="B51" s="14" t="str">
        <x:v>Phase B is built and the register says it is not</x:v>
      </x:c>
      <x:c r="C51" s="14" t="str">
        <x:v>B</x:v>
      </x:c>
      <x:c r="D51" s="14" t="str">
        <x:v>control</x:v>
      </x:c>
      <x:c r="E51" s="14" t="str">
        <x:v>P1</x:v>
      </x:c>
      <x:c r="F51" s="14" t="str">
        <x:v>ready</x:v>
      </x:c>
      <x:c r="G51" s="14" t="str">
        <x:v>none</x:v>
      </x:c>
      <x:c r="H51" s="14" t="str">
        <x:v>none</x:v>
      </x:c>
      <x:c r="I51" s="14" t="str">
        <x:v>W1</x:v>
      </x:c>
      <x:c r="J51" s="14" t="str"/>
      <x:c r="K51" s="14" t="str"/>
      <x:c r="L51" s="14" t="str"/>
      <x:c r="M51" s="14" t="str">
        <x:v>add `delivers:` to the rows that built the 25 features T3b reports</x:v>
      </x:c>
      <x:c r="N51" s="14" t="n">
        <x:v>3</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NOT_PROVEN</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4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manifest bite proven on a truncated run</x:v>
      </x:c>
      <x:c r="N54" s="3" t="n">
        <x:v>1</x:v>
      </x:c>
      <x:c r="O54" s="3" t="str">
        <x:v>NOT_PROVEN</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NOT_PROVEN</x:v>
      </x:c>
      <x:c r="P55" s="14" t="str">
        <x:v>Not done</x:v>
      </x:c>
      <x:c r="Q55" s="14" t="str">
        <x:v>not_ready</x:v>
      </x:c>
      <x:c r="R55" s="14" t="str">
        <x:v>docs/BACKLOG.md#bk-52-twenty-two-sweeps-have-never-been-shown-to-be-able-to-fail</x:v>
      </x:c>
    </x:row>
    <x:row r="56" ht="40" customHeight="1">
      <x:c r="A56" s="3" t="str">
        <x:v>BK-53</x:v>
      </x:c>
      <x:c r="B56" s="3" t="str">
        <x:v>Phase B: emergency triage and capacity to instruct</x:v>
      </x:c>
      <x:c r="C56" s="3" t="str">
        <x:v>B</x:v>
      </x:c>
      <x:c r="D56" s="3" t="str">
        <x:v>journey</x:v>
      </x:c>
      <x:c r="E56" s="3" t="str">
        <x:v>P1</x:v>
      </x:c>
      <x:c r="F56" s="3" t="str">
        <x:v>planned</x:v>
      </x:c>
      <x:c r="G56" s="3" t="str">
        <x:v>none</x:v>
      </x:c>
      <x:c r="H56" s="3" t="str">
        <x:v>none</x:v>
      </x:c>
      <x:c r="I56" s="3" t="str">
        <x:v>W1</x:v>
      </x:c>
      <x:c r="J56" s="3" t="str">
        <x:v>BK-34</x:v>
      </x:c>
      <x:c r="K56" s="3" t="str"/>
      <x:c r="L56" s="3" t="str"/>
      <x:c r="M56" s="3" t="str">
        <x:v>specify DOES / NEVER / PRODUCES / EVAL for B2, B6</x:v>
      </x:c>
      <x:c r="N56" s="3" t="n">
        <x:v>2</x:v>
      </x:c>
      <x:c r="O56" s="3" t="str">
        <x:v>NOT_PROVEN</x:v>
      </x:c>
      <x:c r="P56" s="3" t="str">
        <x:v>Not done</x:v>
      </x:c>
      <x:c r="Q56" s="3" t="str">
        <x:v>not_ready</x:v>
      </x:c>
      <x:c r="R56" s="3" t="str">
        <x:v>docs/BACKLOG.md#bk-53-phase-b-emergency-triage-and-capacity-to-instruct</x:v>
      </x:c>
    </x:row>
    <x:row r="57" ht="40" customHeight="1">
      <x:c r="A57" s="14" t="str">
        <x:v>BK-54</x:v>
      </x:c>
      <x:c r="B57" s="14" t="str">
        <x:v>Phase C: objectives, constraints and document intake</x:v>
      </x:c>
      <x:c r="C57" s="14" t="str">
        <x:v>C</x:v>
      </x:c>
      <x:c r="D57" s="14" t="str">
        <x:v>journey</x:v>
      </x:c>
      <x:c r="E57" s="14" t="str">
        <x:v>P1</x:v>
      </x:c>
      <x:c r="F57" s="14" t="str">
        <x:v>planned</x:v>
      </x:c>
      <x:c r="G57" s="14" t="str">
        <x:v>none</x:v>
      </x:c>
      <x:c r="H57" s="14" t="str">
        <x:v>none</x:v>
      </x:c>
      <x:c r="I57" s="14" t="str">
        <x:v>W2</x:v>
      </x:c>
      <x:c r="J57" s="14" t="str">
        <x:v>BK-64, BK-69</x:v>
      </x:c>
      <x:c r="K57" s="14" t="str"/>
      <x:c r="L57" s="14" t="str"/>
      <x:c r="M57" s="14" t="str">
        <x:v>specify DOES / NEVER / PRODUCES / EVAL for C2, C6</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specify DOES / NEVER / PRODUCES / EVAL for F1, F5, F6, F7</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NOT_PROVEN</x:v>
      </x:c>
      <x:c r="P63" s="14" t="str">
        <x:v>Not done</x:v>
      </x:c>
      <x:c r="Q63" s="14" t="str">
        <x:v>conditional</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40" customHeight="1">
      <x:c r="A65" s="14" t="str">
        <x:v>BK-62</x:v>
      </x:c>
      <x:c r="B65" s="14" t="str">
        <x:v>commission and task authority record</x:v>
      </x:c>
      <x:c r="C65" s="14" t="str">
        <x:v>B, C, E, F, G</x:v>
      </x:c>
      <x:c r="D65" s="14" t="str">
        <x:v>substrate</x:v>
      </x:c>
      <x:c r="E65" s="14" t="str">
        <x:v>P0</x:v>
      </x:c>
      <x:c r="F65" s="14" t="str">
        <x:v>planned</x:v>
      </x:c>
      <x:c r="G65" s="14" t="str">
        <x:v>none</x:v>
      </x:c>
      <x:c r="H65" s="14" t="str">
        <x:v>none</x:v>
      </x:c>
      <x:c r="I65" s="14" t="str">
        <x:v>W1</x:v>
      </x:c>
      <x:c r="J65" s="14" t="str"/>
      <x:c r="K65" s="14" t="str"/>
      <x:c r="L65" s="14" t="str"/>
      <x:c r="M65" s="14" t="str">
        <x:v>specify and build the versioned commission, scope, objective, deadline, output and decision-authority record</x:v>
      </x:c>
      <x:c r="N65" s="14" t="n">
        <x:v>1</x:v>
      </x:c>
      <x:c r="O65" s="14" t="str">
        <x:v>NOT_PROVEN</x:v>
      </x:c>
      <x:c r="P65" s="14" t="str">
        <x:v>Not done</x:v>
      </x:c>
      <x:c r="Q65" s="14" t="str">
        <x:v>not_ready</x:v>
      </x:c>
      <x:c r="R65" s="14" t="str">
        <x:v>docs/BACKLOG.md#bk-62-commission-and-task-authority-record</x:v>
      </x:c>
    </x:row>
    <x:row r="66" ht="55" customHeight="1">
      <x:c r="A66" s="3" t="str">
        <x:v>BK-63</x:v>
      </x:c>
      <x:c r="B66" s="3" t="str">
        <x:v>professional role and authority control</x:v>
      </x:c>
      <x:c r="C66" s="3" t="str">
        <x:v>A, B, C, D, E, F, G, I</x:v>
      </x:c>
      <x:c r="D66" s="3" t="str">
        <x:v>control</x:v>
      </x:c>
      <x:c r="E66" s="3" t="str">
        <x:v>P0</x:v>
      </x:c>
      <x:c r="F66" s="3" t="str">
        <x:v>planned</x:v>
      </x:c>
      <x:c r="G66" s="3" t="str">
        <x:v>none</x:v>
      </x:c>
      <x:c r="H66" s="3" t="str">
        <x:v>none</x:v>
      </x:c>
      <x:c r="I66" s="3" t="str">
        <x:v>W1</x:v>
      </x:c>
      <x:c r="J66" s="3" t="str"/>
      <x:c r="K66" s="3" t="str"/>
      <x:c r="L66" s="3" t="str"/>
      <x:c r="M66" s="3" t="str">
        <x:v>bind instruction, decision, drafting, filing, negotiation, administration and support operations to explicit professional roles and recorded authority</x:v>
      </x:c>
      <x:c r="N66" s="3" t="n">
        <x:v>1</x:v>
      </x:c>
      <x:c r="O66" s="3" t="str">
        <x:v>NOT_PROVEN</x:v>
      </x:c>
      <x:c r="P66" s="3" t="str">
        <x:v>Not done</x:v>
      </x:c>
      <x:c r="Q66" s="3" t="str">
        <x:v>not_ready</x:v>
      </x:c>
      <x:c r="R66" s="3" t="str">
        <x:v>docs/BACKLOG.md#bk-63-professional-role-and-authority-control</x:v>
      </x:c>
    </x:row>
    <x:row r="67" ht="55" customHeight="1">
      <x:c r="A67" s="14" t="str">
        <x:v>BK-64</x:v>
      </x:c>
      <x:c r="B67" s="14" t="str">
        <x:v>typed proposition and evidence model</x:v>
      </x:c>
      <x:c r="C67" s="14" t="str">
        <x:v>C, D, E</x:v>
      </x:c>
      <x:c r="D67" s="14" t="str">
        <x:v>substrate</x:v>
      </x:c>
      <x:c r="E67" s="14" t="str">
        <x:v>P0</x:v>
      </x:c>
      <x:c r="F67" s="14" t="str">
        <x:v>planned</x:v>
      </x:c>
      <x:c r="G67" s="14" t="str">
        <x:v>none</x:v>
      </x:c>
      <x:c r="H67" s="14" t="str">
        <x:v>none</x:v>
      </x:c>
      <x:c r="I67" s="14" t="str">
        <x:v>W2</x:v>
      </x:c>
      <x:c r="J67" s="14" t="str"/>
      <x:c r="K67" s="14" t="str"/>
      <x:c r="L67" s="14" t="str"/>
      <x:c r="M67" s="14" t="str">
        <x:v>define immutable sources, locators and proposition types for instructions, allegations, admissions, documents, testimony, inference and assumptions</x:v>
      </x:c>
      <x:c r="N67" s="14" t="n">
        <x:v>1</x:v>
      </x:c>
      <x:c r="O67" s="14" t="str">
        <x:v>NOT_PROVEN</x:v>
      </x:c>
      <x:c r="P67" s="14" t="str">
        <x:v>Not done</x:v>
      </x:c>
      <x:c r="Q67" s="14" t="str">
        <x:v>not_ready</x:v>
      </x:c>
      <x:c r="R67" s="14" t="str">
        <x:v>docs/BACKLOG.md#bk-64-typed-proposition-and-evidence-model</x:v>
      </x:c>
    </x:row>
    <x:row r="68" ht="40" customHeight="1">
      <x:c r="A68" s="3" t="str">
        <x:v>BK-65</x:v>
      </x:c>
      <x:c r="B68" s="3" t="str">
        <x:v>legal dependency graph and selective invalidation</x:v>
      </x:c>
      <x:c r="C68" s="3" t="str">
        <x:v>D, E</x:v>
      </x:c>
      <x:c r="D68" s="3" t="str">
        <x:v>substrate</x:v>
      </x:c>
      <x:c r="E68" s="3" t="str">
        <x:v>P0</x:v>
      </x:c>
      <x:c r="F68" s="3" t="str">
        <x:v>planned</x:v>
      </x:c>
      <x:c r="G68" s="3" t="str">
        <x:v>none</x:v>
      </x:c>
      <x:c r="H68" s="3" t="str">
        <x:v>none</x:v>
      </x:c>
      <x:c r="I68" s="3" t="str">
        <x:v>W3</x:v>
      </x:c>
      <x:c r="J68" s="3" t="str">
        <x:v>BK-64</x:v>
      </x:c>
      <x:c r="K68" s="3" t="str"/>
      <x:c r="L68" s="3" t="str"/>
      <x:c r="M68" s="3" t="str">
        <x:v>model predicates, issues, rules, evidence, remedies and conclusions as a versioned dependency graph</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55"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design the workspace around current understanding, purpose, change, readiness, decision and next action with deeper proof inspectable on demand</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55" customHeight="1">
      <x:c r="A73" s="14" t="str">
        <x:v>BK-70</x:v>
      </x:c>
      <x:c r="B73" s="14" t="str">
        <x:v>remedy and enforceability model</x:v>
      </x:c>
      <x:c r="C73" s="14" t="str">
        <x:v>D, E, F</x:v>
      </x:c>
      <x:c r="D73" s="14" t="str">
        <x:v>substrate</x:v>
      </x:c>
      <x:c r="E73" s="14" t="str">
        <x:v>P0</x:v>
      </x:c>
      <x:c r="F73" s="14" t="str">
        <x:v>planned</x:v>
      </x:c>
      <x:c r="G73" s="14" t="str">
        <x:v>none</x:v>
      </x:c>
      <x:c r="H73" s="14" t="str">
        <x:v>none</x:v>
      </x:c>
      <x:c r="I73" s="14" t="str">
        <x:v>W3</x:v>
      </x:c>
      <x:c r="J73" s="14" t="str">
        <x:v>BK-64, BK-65</x:v>
      </x:c>
      <x:c r="K73" s="14" t="str"/>
      <x:c r="L73" s="14" t="str"/>
      <x:c r="M73" s="14" t="str">
        <x:v>model available relief, prerequisites, forum, timing, assets, execution route, practical recovery and proportionality as first-class legal-file objects</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NOT_PROVEN</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NOT_PROVEN</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NOT_PROVEN</x:v>
      </x:c>
      <x:c r="P76" s="3" t="str">
        <x:v>Not done</x:v>
      </x:c>
      <x:c r="Q76" s="3" t="str">
        <x:v>not_ready</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NOT_PROVEN</x:v>
      </x:c>
      <x:c r="P77" s="14" t="str">
        <x:v>Not done</x:v>
      </x:c>
      <x:c r="Q77" s="14" t="str">
        <x:v>conditional</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NOT_PROVEN</x:v>
      </x:c>
      <x:c r="P78" s="3" t="str">
        <x:v>Not done</x:v>
      </x:c>
      <x:c r="Q78" s="3" t="str">
        <x:v>not_ready</x:v>
      </x:c>
      <x:c r="R78" s="3" t="str">
        <x:v>docs/BACKLOG.md#bk-75-class-a-evidence-can-refresh-without-depending-on-its-own-stale-board</x:v>
      </x:c>
    </x:row>
    <x:row r="79" ht="5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closed on the executable-path and hook-contract controls and signed off 10 September 2026; retain the measured lag report as advisory operational evidence</x:v>
      </x:c>
      <x:c r="N79" s="14" t="n">
        <x:v>2</x:v>
      </x:c>
      <x:c r="O79" s="14" t="str">
        <x:v>NOT_PROVEN</x:v>
      </x:c>
      <x:c r="P79" s="14" t="str">
        <x:v>Not done</x:v>
      </x:c>
      <x:c r="Q79" s="14" t="str">
        <x:v>conditional</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NOT_PROVEN</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web/app.js:446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40" customHeight="1">
      <x:c r="A90" s="3" t="str">
        <x:v>BK-78</x:v>
      </x:c>
      <x:c r="B90" s="3" t="str">
        <x:v>emergency admission integration</x:v>
      </x:c>
      <x:c r="C90" s="3" t="str">
        <x:v>B, C</x:v>
      </x:c>
      <x:c r="D90" s="3" t="str">
        <x:v>control</x:v>
      </x:c>
      <x:c r="E90" s="3" t="str">
        <x:v>P0</x:v>
      </x:c>
      <x:c r="F90" s="3" t="str">
        <x:v>planned</x:v>
      </x:c>
      <x:c r="G90" s="3" t="str">
        <x:v>none</x:v>
      </x:c>
      <x:c r="H90" s="3" t="str">
        <x:v>none</x:v>
      </x:c>
      <x:c r="I90" s="3" t="str">
        <x:v>W1</x:v>
      </x:c>
      <x:c r="J90" s="3" t="str">
        <x:v>BK-34, BK-53</x:v>
      </x:c>
      <x:c r="K90" s="3" t="str"/>
      <x:c r="L90" s="3" t="str"/>
      <x:c r="M90" s="3" t="str">
        <x:v>design and prove the scoped integration without relaxing the foundation or claiming unrun evidence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40" customHeight="1">
      <x:c r="A92" s="3" t="str">
        <x:v>BK-80</x:v>
      </x:c>
      <x:c r="B92" s="3" t="str">
        <x:v>evidence integrity and release claim enforcement</x:v>
      </x:c>
      <x:c r="C92" s="3" t="str">
        <x:v>A, B, C, D, E, F, G, H, I</x:v>
      </x:c>
      <x:c r="D92" s="3" t="str">
        <x:v>control</x:v>
      </x:c>
      <x:c r="E92" s="3" t="str">
        <x:v>P0</x:v>
      </x:c>
      <x:c r="F92" s="3" t="str">
        <x:v>planned</x:v>
      </x:c>
      <x:c r="G92" s="3" t="str">
        <x:v>none</x:v>
      </x:c>
      <x:c r="H92" s="3" t="str">
        <x:v>none</x:v>
      </x:c>
      <x:c r="I92" s="3" t="str">
        <x:v>W0</x:v>
      </x:c>
      <x:c r="J92" s="3" t="str"/>
      <x:c r="K92" s="3" t="str"/>
      <x:c r="L92" s="3" t="str"/>
      <x:c r="M92" s="3" t="str">
        <x:v>design and prove the scoped integration without relaxing the foundation or claiming unrun evidence</x:v>
      </x:c>
      <x:c r="N92" s="3" t="n">
        <x:v>7</x:v>
      </x:c>
      <x:c r="O92" s="3" t="str">
        <x:v>NOT_PROVEN</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40" customHeight="1">
      <x:c r="A95" s="14" t="str">
        <x:v>BK-83</x:v>
      </x:c>
      <x:c r="B95" s="14" t="str">
        <x:v>transactional matter store and reversible migration</x:v>
      </x:c>
      <x:c r="C95" s="14" t="str">
        <x:v>A, B, C, D, E, F, G, H, I</x:v>
      </x:c>
      <x:c r="D95" s="14" t="str">
        <x:v>substrate</x:v>
      </x:c>
      <x:c r="E95" s="14" t="str">
        <x:v>P0</x:v>
      </x:c>
      <x:c r="F95" s="14" t="str">
        <x:v>planned</x:v>
      </x:c>
      <x:c r="G95" s="14" t="str">
        <x:v>none</x:v>
      </x:c>
      <x:c r="H95" s="14" t="str">
        <x:v>none</x:v>
      </x:c>
      <x:c r="I95" s="14" t="str">
        <x:v>W0</x:v>
      </x:c>
      <x:c r="J95" s="14" t="str"/>
      <x:c r="K95" s="14" t="str"/>
      <x:c r="L95" s="14" t="str"/>
      <x:c r="M95" s="14" t="str">
        <x:v>complete the Start record and implement the bounded foundation with current negative and served-path proof</x:v>
      </x:c>
      <x:c r="N95" s="14" t="n">
        <x:v>3</x:v>
      </x:c>
      <x:c r="O95" s="14" t="str">
        <x:v>NOT_PROVEN</x:v>
      </x:c>
      <x:c r="P95" s="14" t="str">
        <x:v>Not done</x:v>
      </x:c>
      <x:c r="Q95" s="14" t="str">
        <x:v>not_ready</x:v>
      </x:c>
      <x:c r="R95" s="14" t="str">
        <x:v>docs/BACKLOG.md#bk-83-transactional-matter-store-and-reversible-migration</x:v>
      </x:c>
    </x:row>
    <x:row r="96" ht="40" customHeight="1">
      <x:c r="A96" s="3" t="str">
        <x:v>BK-84</x:v>
      </x:c>
      <x:c r="B96" s="3" t="str">
        <x:v>versioned Indian legal corpus publication and coverage governance</x:v>
      </x:c>
      <x:c r="C96" s="3" t="str">
        <x:v>A, C, D, E, F, G</x:v>
      </x:c>
      <x:c r="D96" s="3" t="str">
        <x:v>substrate</x:v>
      </x:c>
      <x:c r="E96" s="3" t="str">
        <x:v>P0</x:v>
      </x:c>
      <x:c r="F96" s="3" t="str">
        <x:v>planned</x:v>
      </x:c>
      <x:c r="G96" s="3" t="str">
        <x:v>none</x:v>
      </x:c>
      <x:c r="H96" s="3" t="str">
        <x:v>none</x:v>
      </x:c>
      <x:c r="I96" s="3" t="str">
        <x:v>W0</x:v>
      </x:c>
      <x:c r="J96" s="3" t="str"/>
      <x:c r="K96" s="3" t="str"/>
      <x:c r="L96" s="3" t="str"/>
      <x:c r="M96" s="3" t="str">
        <x:v>complete the Start record and implement the bounded foundation with current negative and served-path proof</x:v>
      </x:c>
      <x:c r="N96" s="3" t="n">
        <x:v>3</x:v>
      </x:c>
      <x:c r="O96" s="3" t="str">
        <x:v>NOT_PROVEN</x:v>
      </x:c>
      <x:c r="P96" s="3" t="str">
        <x:v>Not done</x:v>
      </x:c>
      <x:c r="Q96" s="3" t="str">
        <x:v>not_ready</x:v>
      </x:c>
      <x:c r="R96" s="3" t="str">
        <x:v>docs/BACKLOG.md#bk-84-versioned-indian-legal-corpus-publication-and-coverage-governance</x:v>
      </x:c>
    </x:row>
    <x:row r="97" ht="40" customHeight="1">
      <x:c r="A97" s="14" t="str">
        <x:v>BK-85</x:v>
      </x:c>
      <x:c r="B97" s="14" t="str">
        <x:v>India-scoped key processor and security operations foundation</x:v>
      </x:c>
      <x:c r="C97" s="14" t="str">
        <x:v>A, B, C, D, E, F, G, H, I</x:v>
      </x:c>
      <x:c r="D97" s="14" t="str">
        <x:v>substrate</x:v>
      </x:c>
      <x:c r="E97" s="14" t="str">
        <x:v>P0</x:v>
      </x:c>
      <x:c r="F97" s="14" t="str">
        <x:v>planned</x:v>
      </x:c>
      <x:c r="G97" s="14" t="str">
        <x:v>none</x:v>
      </x:c>
      <x:c r="H97" s="14" t="str">
        <x:v>none</x:v>
      </x:c>
      <x:c r="I97" s="14" t="str">
        <x:v>W0</x:v>
      </x:c>
      <x:c r="J97" s="14" t="str"/>
      <x:c r="K97" s="14" t="str"/>
      <x:c r="L97" s="14" t="str"/>
      <x:c r="M97" s="14" t="str">
        <x:v>complete the Start record and implement the bounded foundation with current negative and served-path proof</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NOT_PROVEN</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55" customHeight="1">
      <x:c r="A103" s="14" t="str">
        <x:v>BK-91</x:v>
      </x:c>
      <x:c r="B103" s="14" t="str">
        <x:v>adaptive grounded lead reasoning</x:v>
      </x:c>
      <x:c r="C103" s="14" t="str">
        <x:v>B, C, D, E, F, G, H</x:v>
      </x:c>
      <x:c r="D103" s="14" t="str">
        <x:v>substrate</x:v>
      </x:c>
      <x:c r="E103" s="14" t="str">
        <x:v>P1</x:v>
      </x:c>
      <x:c r="F103" s="14" t="str">
        <x:v>planned</x:v>
      </x:c>
      <x:c r="G103" s="14" t="str">
        <x:v>none</x:v>
      </x:c>
      <x:c r="H103" s="14" t="str">
        <x:v>none</x:v>
      </x:c>
      <x:c r="I103" s="14" t="str">
        <x:v>W3</x:v>
      </x:c>
      <x:c r="J103" s="14" t="str"/>
      <x:c r="K103" s="14" t="str"/>
      <x:c r="L103" s="14" t="str"/>
      <x:c r="M103" s="14" t="str">
        <x:v>implement P46 after its scoped foundations, then integrate purposeful briefing and obtain independent professional evaluation; the plan is not runtime proof</x:v>
      </x:c>
      <x:c r="N103" s="14" t="n">
        <x:v>4</x:v>
      </x:c>
      <x:c r="O103" s="14" t="str">
        <x:v>NOT_PROVEN</x:v>
      </x:c>
      <x:c r="P103" s="14" t="str">
        <x:v>Not done</x:v>
      </x:c>
      <x:c r="Q103" s="14" t="str">
        <x:v>not_ready</x:v>
      </x:c>
      <x:c r="R103" s="14" t="str">
        <x:v>docs/BACKLOG.md#bk-91-adaptive-grounded-lead-reasoning</x:v>
      </x:c>
    </x:row>
    <x:row r="104" ht="55" customHeight="1">
      <x:c r="A104" s="3" t="str">
        <x:v>BK-92</x:v>
      </x:c>
      <x:c r="B104" s="3" t="str">
        <x:v>bounded specialist delegation and grounded artifacts</x:v>
      </x:c>
      <x:c r="C104" s="3" t="str">
        <x:v>B, C, D, E, F, G, H, I</x:v>
      </x:c>
      <x:c r="D104" s="3" t="str">
        <x:v>substrate</x:v>
      </x:c>
      <x:c r="E104" s="3" t="str">
        <x:v>P1</x:v>
      </x:c>
      <x:c r="F104" s="3" t="str">
        <x:v>planned</x:v>
      </x:c>
      <x:c r="G104" s="3" t="str">
        <x:v>none</x:v>
      </x:c>
      <x:c r="H104" s="3" t="str">
        <x:v>none</x:v>
      </x:c>
      <x:c r="I104" s="3" t="str">
        <x:v>W3</x:v>
      </x:c>
      <x:c r="J104" s="3" t="str"/>
      <x:c r="K104" s="3" t="str"/>
      <x:c r="L104" s="3" t="str"/>
      <x:c r="M104" s="3" t="str">
        <x:v>implement P47 task and result boundaries, integrate through P46 and P29, then measure quality and whole-task cost; all runtime evidence remains unexecuted</x:v>
      </x:c>
      <x:c r="N104" s="3" t="n">
        <x:v>4</x:v>
      </x:c>
      <x:c r="O104" s="3" t="str">
        <x:v>NOT_PROVEN</x:v>
      </x:c>
      <x:c r="P104" s="3" t="str">
        <x:v>Not done</x:v>
      </x:c>
      <x:c r="Q104" s="3" t="str">
        <x:v>not_ready</x:v>
      </x:c>
      <x:c r="R104" s="3" t="str">
        <x:v>docs/BACKLOG.md#bk-92-bounded-specialist-delegation-and-grounded-artifacts</x:v>
      </x:c>
    </x:row>
  </x:sheetData>
  <x:mergeCells>
    <x:mergeCell ref="A1:R1"/>
    <x:mergeCell ref="A2:R2"/>
  </x:mergeCells>
  <x:pageMargins left="0.7" right="0.7" top="0.75" bottom="0.75" header="0.3" footer="0.3"/>
  <x:tableParts count="1">
    <x:tablePart xmlns:r="http://schemas.openxmlformats.org/officeDocument/2006/relationships" r:id="R8171ef41b2334b30"/>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40" customHeight="1">
      <x:c r="A4" s="3" t="str">
        <x:v>A</x:v>
      </x:c>
      <x:c r="B4" s="3" t="str">
        <x:v>STEP-A-01</x:v>
      </x:c>
      <x:c r="C4" s="3" t="str">
        <x:v>Sign in and be recognised</x:v>
      </x:c>
      <x:c r="D4" s="3" t="str">
        <x:v>A1</x:v>
      </x:c>
      <x:c r="E4" s="3" t="str">
        <x:v>BK-31</x:v>
      </x:c>
      <x:c r="F4" s="3" t="str">
        <x:v>partial</x:v>
      </x:c>
      <x:c r="G4" s="3" t="str">
        <x:v>BK-31-AC1</x:v>
      </x:c>
      <x:c r="H4" s="3" t="str">
        <x:v>enrolment is refused without an operator-issued invitation, with no deployment setting whose absence can open the door</x:v>
      </x:c>
      <x:c r="I4" s="3" t="str">
        <x:v>integration_test</x:v>
      </x:c>
      <x:c r="J4" s="3" t="str">
        <x:v>STALE</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STALE</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STALE</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STALE</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enrolment attempts are rate-limited and audited without recording the invitation value</x:v>
      </x:c>
      <x:c r="I8" s="3" t="str">
        <x:v>integration_test</x:v>
      </x:c>
      <x:c r="J8" s="3" t="str">
        <x:v>STALE</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STALE</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STALE</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the invitation exclusively owns the canonical email, named advocate, professional profile and server-owned workspace; registration accepts only the invitation and the advocate's chosen password</x:v>
      </x:c>
      <x:c r="I11" s="14" t="str">
        <x:v>integration_test</x:v>
      </x:c>
      <x:c r="J11" s="14" t="str">
        <x:v>STALE</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STALE</x:v>
      </x:c>
      <x:c r="K12" s="3" t="str">
        <x:v>W1</x:v>
      </x:c>
      <x:c r="L12" s="3" t="str">
        <x:v>docs/BACKLOG.md#bk-31-account-access-recovery-and-workspace-identity</x:v>
      </x:c>
    </x:row>
    <x:row r="13" ht="40" customHeight="1">
      <x:c r="A13" s="14" t="str">
        <x:v>A</x:v>
      </x:c>
      <x:c r="B13" s="14" t="str">
        <x:v>STEP-A-01</x:v>
      </x:c>
      <x:c r="C13" s="14" t="str">
        <x:v>Sign in and be recognised</x:v>
      </x:c>
      <x:c r="D13" s="14" t="str">
        <x:v>A1</x:v>
      </x:c>
      <x:c r="E13" s="14" t="str">
        <x:v>BK-31</x:v>
      </x:c>
      <x:c r="F13" s="14" t="str">
        <x:v>partial</x:v>
      </x:c>
      <x:c r="G13" s="14" t="str">
        <x:v>BK-31-AC10</x:v>
      </x:c>
      <x:c r="H13" s="14" t="str">
        <x:v>the browser sends the route's invitation header, conceals its value and clears it from the DOM before waiting on the network</x:v>
      </x:c>
      <x:c r="I13" s="14" t="str">
        <x:v>integration_test, browser_journey</x:v>
      </x:c>
      <x:c r="J13" s="14" t="str">
        <x:v>STALE</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STALE</x:v>
      </x:c>
      <x:c r="K14" s="3" t="str">
        <x:v>W1</x:v>
      </x:c>
      <x:c r="L14" s="3" t="str">
        <x:v>docs/BACKLOG.md#bk-31-account-access-recovery-and-workspace-identity</x:v>
      </x:c>
    </x:row>
    <x:row r="15" ht="40" customHeight="1">
      <x:c r="A15" s="14" t="str">
        <x:v>A</x:v>
      </x:c>
      <x:c r="B15" s="14" t="str">
        <x:v>STEP-A-01</x:v>
      </x:c>
      <x:c r="C15" s="14" t="str">
        <x:v>Sign in and be recognised</x:v>
      </x:c>
      <x:c r="D15" s="14" t="str">
        <x:v>A1</x:v>
      </x:c>
      <x:c r="E15" s="14" t="str">
        <x:v>BK-31</x:v>
      </x:c>
      <x:c r="F15" s="14" t="str">
        <x:v>partial</x:v>
      </x:c>
      <x:c r="G15" s="14" t="str">
        <x:v>BK-31-AC12</x:v>
      </x:c>
      <x:c r="H15" s="14" t="str">
        <x:v>the browser registration form does not ask the advocate to retype identity or workspace facts already fixed by the invitation</x:v>
      </x:c>
      <x:c r="I15" s="14" t="str">
        <x:v>integration_test</x:v>
      </x:c>
      <x:c r="J15" s="14" t="str">
        <x:v>STALE</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STALE</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STALE</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STALE</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STALE</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STALE</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STALE</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STALE</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NOT_RUN</x:v>
      </x:c>
      <x:c r="K23" s="14" t="str">
        <x:v>W1</x:v>
      </x:c>
      <x:c r="L23" s="14" t="str">
        <x:v>docs/BACKLOG.md#bk-31-account-access-recovery-and-workspace-identity</x:v>
      </x:c>
    </x:row>
    <x:row r="24" ht="40" customHeight="1">
      <x:c r="A24" s="3" t="str">
        <x:v>A</x:v>
      </x:c>
      <x:c r="B24" s="3" t="str">
        <x:v>STEP-A-01</x:v>
      </x:c>
      <x:c r="C24" s="3" t="str">
        <x:v>Sign in and be recognised</x:v>
      </x:c>
      <x:c r="D24" s="3" t="str">
        <x:v>A1</x:v>
      </x:c>
      <x:c r="E24" s="3" t="str">
        <x:v>BK-22</x:v>
      </x:c>
      <x:c r="F24" s="3" t="str">
        <x:v>complete</x:v>
      </x:c>
      <x:c r="G24" s="3" t="str">
        <x:v>No atomic criterion</x:v>
      </x:c>
      <x:c r="H24" s="3" t="str">
        <x:v>No atomic requirement registered</x:v>
      </x:c>
      <x:c r="I24" s="3" t="str"/>
      <x:c r="J24" s="3" t="str">
        <x:v>NOT_PROVEN</x:v>
      </x:c>
      <x:c r="K24" s="3" t="str">
        <x:v>W7</x:v>
      </x:c>
      <x:c r="L24" s="3" t="str">
        <x:v>docs/BACKLOG.md#bk-22-signing-in-depended-on-a-key-that-is-meant-to-rotate</x:v>
      </x:c>
    </x:row>
    <x:row r="25" ht="40" customHeight="1">
      <x:c r="A25" s="14" t="str">
        <x:v>A</x:v>
      </x:c>
      <x:c r="B25" s="14" t="str">
        <x:v>STEP-A-01</x:v>
      </x:c>
      <x:c r="C25" s="14" t="str">
        <x:v>Sign in and be recognised</x:v>
      </x:c>
      <x:c r="D25" s="14" t="str">
        <x:v>A1</x:v>
      </x:c>
      <x:c r="E25" s="14" t="str">
        <x:v>BK-20</x:v>
      </x:c>
      <x:c r="F25" s="14" t="str">
        <x:v>complete</x:v>
      </x:c>
      <x:c r="G25" s="14" t="str">
        <x:v>No atomic criterion</x:v>
      </x:c>
      <x:c r="H25" s="14" t="str">
        <x:v>No atomic requirement registered</x:v>
      </x:c>
      <x:c r="I25" s="14" t="str"/>
      <x:c r="J25" s="14" t="str">
        <x:v>NOT_PROVEN</x:v>
      </x:c>
      <x:c r="K25" s="14" t="str">
        <x:v>W1</x:v>
      </x:c>
      <x:c r="L25" s="14" t="str">
        <x:v>docs/BACKLOG.md#bk-20-sign-in-names-which-of-three-things-failed</x:v>
      </x:c>
    </x:row>
    <x:row r="26" ht="55" customHeight="1">
      <x:c r="A26" s="3" t="str">
        <x:v>A</x:v>
      </x:c>
      <x:c r="B26" s="3" t="str">
        <x:v>STEP-A-02</x:v>
      </x:c>
      <x:c r="C26" s="3" t="str">
        <x:v>Land on the file list and tell the matters apart</x:v>
      </x:c>
      <x:c r="D26" s="3" t="str">
        <x:v>A2</x:v>
      </x:c>
      <x:c r="E26" s="3" t="str">
        <x:v>BK-33</x:v>
      </x:c>
      <x:c r="F26" s="3" t="str">
        <x:v>partial</x:v>
      </x:c>
      <x:c r="G26" s="3" t="str">
        <x:v>BK-33-AC1</x:v>
      </x:c>
      <x:c r="H26" s="3" t="str">
        <x:v>The matter cover shows persisted client, title, posture, stage, touched time and deadline-assessment state without substituting implementation IDs or unassessed values with invented facts</x:v>
      </x:c>
      <x:c r="I26" s="3" t="str">
        <x:v>integration_test, browser_journey</x:v>
      </x:c>
      <x:c r="J26" s="3" t="str">
        <x:v>NOT_RUN</x:v>
      </x:c>
      <x:c r="K26" s="3" t="str">
        <x:v>W2</x:v>
      </x:c>
      <x:c r="L26" s="3" t="str">
        <x:v>docs/BACKLOG.md#bk-33-recognisable-matter-cover-truthful-board-and-real-reopen</x:v>
      </x:c>
    </x:row>
    <x:row r="27" ht="40" customHeight="1">
      <x:c r="A27" s="14" t="str">
        <x:v>A</x:v>
      </x:c>
      <x:c r="B27" s="14" t="str">
        <x:v>STEP-A-02</x:v>
      </x:c>
      <x:c r="C27" s="14" t="str">
        <x:v>Land on the file list and tell the matters apart</x:v>
      </x:c>
      <x:c r="D27" s="14" t="str">
        <x:v>A2</x:v>
      </x:c>
      <x:c r="E27" s="14" t="str">
        <x:v>BK-33</x:v>
      </x:c>
      <x:c r="F27" s="14" t="str">
        <x:v>partial</x:v>
      </x:c>
      <x:c r="G27" s="14" t="str">
        <x:v>BK-33-AC2</x:v>
      </x:c>
      <x:c r="H27" s="14" t="str">
        <x:v>Re-entry restores the selected matter summary, served conversation and next action from the authoritative file without cross-matter state leakage</x:v>
      </x:c>
      <x:c r="I27" s="14" t="str">
        <x:v>integration_test, browser_journey</x:v>
      </x:c>
      <x:c r="J27" s="14" t="str">
        <x:v>NOT_RUN</x:v>
      </x:c>
      <x:c r="K27" s="14" t="str">
        <x:v>W2</x:v>
      </x:c>
      <x:c r="L27" s="14" t="str">
        <x:v>docs/BACKLOG.md#bk-33-recognisable-matter-cover-truthful-board-and-real-reopen</x:v>
      </x:c>
    </x:row>
    <x:row r="28" ht="40" customHeight="1">
      <x:c r="A28" s="3" t="str">
        <x:v>A</x:v>
      </x:c>
      <x:c r="B28" s="3" t="str">
        <x:v>STEP-A-02</x:v>
      </x:c>
      <x:c r="C28" s="3" t="str">
        <x:v>Land on the file list and tell the matters apart</x:v>
      </x:c>
      <x:c r="D28" s="3" t="str">
        <x:v>A2</x:v>
      </x:c>
      <x:c r="E28" s="3" t="str">
        <x:v>BK-32</x:v>
      </x:c>
      <x:c r="F28" s="3" t="str">
        <x:v>partial</x:v>
      </x:c>
      <x:c r="G28" s="3" t="str">
        <x:v>BK-32-AC1</x:v>
      </x:c>
      <x:c r="H28" s="3" t="str">
        <x:v>At 390, 768 and 1280 pixels the advocate can start, find and switch matters and reach research, History, identity and sign-out with keyboard-accessible controls</x:v>
      </x:c>
      <x:c r="I28" s="3" t="str">
        <x:v>browser_journey</x:v>
      </x:c>
      <x:c r="J28" s="3" t="str">
        <x:v>NOT_RUN</x:v>
      </x:c>
      <x:c r="K28" s="3" t="str">
        <x:v>W2</x:v>
      </x:c>
      <x:c r="L28" s="3" t="str">
        <x:v>docs/BACKLOG.md#bk-32-responsive-advocate-home-and-matter-navigation</x:v>
      </x:c>
    </x:row>
    <x:row r="29" ht="40" customHeight="1">
      <x:c r="A29" s="14" t="str">
        <x:v>A</x:v>
      </x:c>
      <x:c r="B29" s="14" t="str">
        <x:v>STEP-A-02</x:v>
      </x:c>
      <x:c r="C29" s="14" t="str">
        <x:v>Land on the file list and tell the matters apart</x:v>
      </x:c>
      <x:c r="D29" s="14" t="str">
        <x:v>A2</x:v>
      </x:c>
      <x:c r="E29" s="14" t="str">
        <x:v>J-1</x:v>
      </x:c>
      <x:c r="F29" s="14" t="str">
        <x:v>complete</x:v>
      </x:c>
      <x:c r="G29" s="14" t="str">
        <x:v>No atomic criterion</x:v>
      </x:c>
      <x:c r="H29" s="14" t="str">
        <x:v>No atomic requirement registered</x:v>
      </x:c>
      <x:c r="I29" s="14" t="str"/>
      <x:c r="J29" s="14" t="str">
        <x:v>NOT_PROVEN</x:v>
      </x:c>
      <x:c r="K29" s="14" t="str">
        <x:v>W2</x:v>
      </x:c>
      <x:c r="L29" s="14" t="str">
        <x:v>docs/BACKLOG.md#j-1-the-file-list-cannot-tell-one-matter-from-another</x:v>
      </x:c>
    </x:row>
    <x:row r="30" ht="55" customHeight="1">
      <x:c r="A30" s="3" t="str">
        <x:v>A</x:v>
      </x:c>
      <x:c r="B30" s="3" t="str">
        <x:v>STEP-A-03</x:v>
      </x:c>
      <x:c r="C30" s="3" t="str">
        <x:v>Re-enter a matter and see where it was left</x:v>
      </x:c>
      <x:c r="D30" s="3" t="str">
        <x:v>A3</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STEP-A-03</x:v>
      </x:c>
      <x:c r="C31" s="14" t="str">
        <x:v>Re-enter a matter and see where it was left</x:v>
      </x:c>
      <x:c r="D31" s="14" t="str">
        <x:v>A3</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NOT_RUN</x:v>
      </x:c>
      <x:c r="K31" s="14" t="str">
        <x:v>W2</x:v>
      </x:c>
      <x:c r="L31" s="14" t="str">
        <x:v>docs/BACKLOG.md#bk-33-recognisable-matter-cover-truthful-board-and-real-reopen</x:v>
      </x:c>
    </x:row>
    <x:row r="32" ht="40" customHeight="1">
      <x:c r="A32" s="3" t="str">
        <x:v>A</x:v>
      </x:c>
      <x:c r="B32" s="3" t="str">
        <x:v>STEP-A-04</x:v>
      </x:c>
      <x:c r="C32" s="3" t="str">
        <x:v>Search the corpus and file what is found</x:v>
      </x:c>
      <x:c r="D32" s="3" t="str">
        <x:v>A4</x:v>
      </x:c>
      <x:c r="E32" s="3" t="str">
        <x:v>BK-38</x:v>
      </x:c>
      <x:c r="F32" s="3" t="str">
        <x:v>partial</x:v>
      </x:c>
      <x:c r="G32" s="3" t="str">
        <x:v>BK-38-AC1</x:v>
      </x:c>
      <x:c r="H32" s="3" t="str">
        <x:v>Research supports controlled court and date filters, grouped source inspection, exact citation and deliberate attachment of a verified source and locator to a matter issue</x:v>
      </x:c>
      <x:c r="I32" s="3" t="str">
        <x:v>integration_test, browser_journey</x:v>
      </x:c>
      <x:c r="J32" s="3" t="str">
        <x:v>NOT_RUN</x:v>
      </x:c>
      <x:c r="K32" s="3" t="str">
        <x:v>W2</x:v>
      </x:c>
      <x:c r="L32" s="3" t="str">
        <x:v>docs/BACKLOG.md#bk-38-search-to-authority-to-matter-research-workflow</x:v>
      </x:c>
    </x:row>
    <x:row r="33" ht="40" customHeight="1">
      <x:c r="A33" s="14" t="str">
        <x:v>A</x:v>
      </x:c>
      <x:c r="B33" s="14" t="str">
        <x:v>STEP-A-04</x:v>
      </x:c>
      <x:c r="C33" s="14" t="str">
        <x:v>Search the corpus and file what is found</x:v>
      </x:c>
      <x:c r="D33" s="14" t="str">
        <x:v>A4</x:v>
      </x:c>
      <x:c r="E33" s="14" t="str">
        <x:v>BK-38</x:v>
      </x:c>
      <x:c r="F33" s="14" t="str">
        <x:v>partial</x:v>
      </x:c>
      <x:c r="G33" s="14" t="str">
        <x:v>BK-38-AC2</x:v>
      </x:c>
      <x:c r="H33" s="14" t="str">
        <x:v>Search distinguishes results, searched-with-no-results, unsupported coverage and unavailable index and reports meaningful limits without confidence percentages derived from rank</x:v>
      </x:c>
      <x:c r="I33" s="14" t="str">
        <x:v>integration_test, browser_journey</x:v>
      </x:c>
      <x:c r="J33" s="14" t="str">
        <x:v>NOT_RUN</x:v>
      </x:c>
      <x:c r="K33" s="14" t="str">
        <x:v>W2</x:v>
      </x:c>
      <x:c r="L33" s="14" t="str">
        <x:v>docs/BACKLOG.md#bk-38-search-to-authority-to-matter-research-workflow</x:v>
      </x:c>
    </x:row>
    <x:row r="34" ht="40" customHeight="1">
      <x:c r="A34" s="3" t="str">
        <x:v>A</x:v>
      </x:c>
      <x:c r="B34" s="3" t="str">
        <x:v>STEP-A-04</x:v>
      </x:c>
      <x:c r="C34" s="3" t="str">
        <x:v>Search the corpus and file what is found</x:v>
      </x:c>
      <x:c r="D34" s="3" t="str">
        <x:v>A4</x:v>
      </x:c>
      <x:c r="E34" s="3" t="str">
        <x:v>J-7</x:v>
      </x:c>
      <x:c r="F34" s="3" t="str">
        <x:v>partial</x:v>
      </x:c>
      <x:c r="G34" s="3" t="str">
        <x:v>J-7-AC1</x:v>
      </x:c>
      <x:c r="H34" s="3" t="str">
        <x:v>Header and research copy disclose usable capability and coverage without provider paths, cipher names or uncalibrated rank presented as confidence</x:v>
      </x:c>
      <x:c r="I34" s="3" t="str">
        <x:v>browser_journey, counsel_review</x:v>
      </x:c>
      <x:c r="J34" s="3" t="str">
        <x:v>NOT_RUN</x:v>
      </x:c>
      <x:c r="K34" s="3" t="str">
        <x:v>W2</x:v>
      </x:c>
      <x:c r="L34" s="3" t="str">
        <x:v>docs/BACKLOG.md#j-7-the-header-and-the-search-surface-speak-engineering-to-the-advocate</x:v>
      </x:c>
    </x:row>
    <x:row r="35" ht="27" customHeight="1">
      <x:c r="A35" s="14" t="str">
        <x:v>B</x:v>
      </x:c>
      <x:c r="B35" s="14" t="str">
        <x:v>STEP-B-01</x:v>
      </x:c>
      <x:c r="C35" s="14" t="str">
        <x:v>Route the opening message</x:v>
      </x:c>
      <x:c r="D35" s="14" t="str">
        <x:v>B1</x:v>
      </x:c>
      <x:c r="E35" s="14" t="str">
        <x:v>BK-8</x:v>
      </x:c>
      <x:c r="F35" s="14" t="str">
        <x:v>complete</x:v>
      </x:c>
      <x:c r="G35" s="14" t="str">
        <x:v>No atomic criterion</x:v>
      </x:c>
      <x:c r="H35" s="14" t="str">
        <x:v>No atomic requirement registered</x:v>
      </x:c>
      <x:c r="I35" s="14" t="str"/>
      <x:c r="J35" s="14" t="str">
        <x:v>NOT_PROVEN</x:v>
      </x:c>
      <x:c r="K35" s="14" t="str">
        <x:v>W1</x:v>
      </x:c>
      <x:c r="L35" s="14" t="str">
        <x:v>docs/BACKLOG.md#bk-8-the-phrase-lists</x:v>
      </x:c>
    </x:row>
    <x:row r="36" ht="40" customHeight="1">
      <x:c r="A36" s="3" t="str">
        <x:v>B</x:v>
      </x:c>
      <x:c r="B36" s="3" t="str">
        <x:v>STEP-B-01</x:v>
      </x:c>
      <x:c r="C36" s="3" t="str">
        <x:v>Route the opening message</x:v>
      </x:c>
      <x:c r="D36" s="3" t="str">
        <x:v>B1</x:v>
      </x:c>
      <x:c r="E36" s="3" t="str">
        <x:v>BK-48</x:v>
      </x:c>
      <x:c r="F36" s="3" t="str">
        <x:v>none</x:v>
      </x:c>
      <x:c r="G36" s="3" t="str">
        <x:v>BK-48-AC1</x:v>
      </x:c>
      <x:c r="H36" s="3" t="str">
        <x:v>The current feature registry and implementation trace reconcile in both directions without promoting tested status merely from a decorator or importing stale historical status</x:v>
      </x:c>
      <x:c r="I36" s="3" t="str">
        <x:v>domain_test</x:v>
      </x:c>
      <x:c r="J36" s="3" t="str">
        <x:v>NOT_RUN</x:v>
      </x:c>
      <x:c r="K36" s="3" t="str">
        <x:v>W1</x:v>
      </x:c>
      <x:c r="L36" s="3" t="str">
        <x:v>docs/BACKLOG.md#bk-48-phase-b-is-built-and-the-register-says-it-is-not</x:v>
      </x:c>
    </x:row>
    <x:row r="37" ht="70" customHeight="1">
      <x:c r="A37" s="14" t="str">
        <x:v>B</x:v>
      </x:c>
      <x:c r="B37" s="14" t="str">
        <x:v>STEP-B-01</x:v>
      </x:c>
      <x:c r="C37" s="14" t="str">
        <x:v>Route the opening message</x:v>
      </x:c>
      <x:c r="D37" s="14" t="str">
        <x:v>B1</x:v>
      </x:c>
      <x:c r="E37" s="14" t="str">
        <x:v>BK-48</x:v>
      </x:c>
      <x:c r="F37" s="14" t="str">
        <x:v>none</x:v>
      </x:c>
      <x:c r="G37" s="14" t="str">
        <x:v>BK-48-AC2</x:v>
      </x:c>
      <x:c r="H37"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I37" s="14" t="str">
        <x:v>domain_test, adversarial_test</x:v>
      </x:c>
      <x:c r="J37" s="14" t="str">
        <x:v>NOT_RUN</x:v>
      </x:c>
      <x:c r="K37" s="14" t="str">
        <x:v>W1</x:v>
      </x:c>
      <x:c r="L37" s="14" t="str">
        <x:v>docs/BACKLOG.md#bk-48-phase-b-is-built-and-the-register-says-it-is-not</x:v>
      </x:c>
    </x:row>
    <x:row r="38" ht="55" customHeight="1">
      <x:c r="A38" s="3" t="str">
        <x:v>B</x:v>
      </x:c>
      <x:c r="B38" s="3" t="str">
        <x:v>STEP-B-01</x:v>
      </x:c>
      <x:c r="C38" s="3" t="str">
        <x:v>Route the opening message</x:v>
      </x:c>
      <x:c r="D38" s="3" t="str">
        <x:v>B1</x:v>
      </x:c>
      <x:c r="E38" s="3" t="str">
        <x:v>BK-48</x:v>
      </x:c>
      <x:c r="F38" s="3" t="str">
        <x:v>none</x:v>
      </x:c>
      <x:c r="G38" s="3" t="str">
        <x:v>BK-48-AC3</x:v>
      </x:c>
      <x:c r="H38" s="3"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I38" s="3" t="str">
        <x:v>domain_test</x:v>
      </x:c>
      <x:c r="J38" s="3" t="str">
        <x:v>NOT_RUN</x:v>
      </x:c>
      <x:c r="K38" s="3" t="str">
        <x:v>W1</x:v>
      </x:c>
      <x:c r="L38" s="3" t="str">
        <x:v>docs/BACKLOG.md#bk-48-phase-b-is-built-and-the-register-says-it-is-not</x:v>
      </x:c>
    </x:row>
    <x:row r="39" ht="40" customHeight="1">
      <x:c r="A39" s="14" t="str">
        <x:v>B</x:v>
      </x:c>
      <x:c r="B39" s="14" t="str">
        <x:v>STEP-B-02</x:v>
      </x:c>
      <x:c r="C39" s="14" t="str">
        <x:v>Emergency triage, before any screen can delay it</x:v>
      </x:c>
      <x:c r="D39" s="14" t="str">
        <x:v>B2</x:v>
      </x:c>
      <x:c r="E39" s="14" t="str">
        <x:v>BK-34</x:v>
      </x:c>
      <x:c r="F39" s="14" t="str">
        <x:v>partial</x:v>
      </x:c>
      <x:c r="G39" s="14" t="str">
        <x:v>BK-34-AC1</x:v>
      </x:c>
      <x:c r="H39" s="14" t="str">
        <x:v>adding a party makes an earlier conflict clearance stale, and the advocate is told which parties it never covered</x:v>
      </x:c>
      <x:c r="I39" s="14" t="str">
        <x:v>domain_test</x:v>
      </x:c>
      <x:c r="J39" s="14" t="str">
        <x:v>STALE</x:v>
      </x:c>
      <x:c r="K39" s="14" t="str">
        <x:v>W1</x:v>
      </x:c>
      <x:c r="L39" s="14" t="str">
        <x:v>docs/BACKLOG.md#bk-34-front-door-legal-and-professional-screens-before-substance</x:v>
      </x:c>
    </x:row>
    <x:row r="40" ht="40" customHeight="1">
      <x:c r="A40" s="3" t="str">
        <x:v>B</x:v>
      </x:c>
      <x:c r="B40" s="3" t="str">
        <x:v>STEP-B-02</x:v>
      </x:c>
      <x:c r="C40" s="3" t="str">
        <x:v>Emergency triage, before any screen can delay it</x:v>
      </x:c>
      <x:c r="D40" s="3" t="str">
        <x:v>B2</x:v>
      </x:c>
      <x:c r="E40" s="3" t="str">
        <x:v>BK-34</x:v>
      </x:c>
      <x:c r="F40" s="3" t="str">
        <x:v>partial</x:v>
      </x:c>
      <x:c r="G40" s="3" t="str">
        <x:v>BK-34-AC2</x:v>
      </x:c>
      <x:c r="H40" s="3" t="str">
        <x:v>the engine asks the screen rather than recomputing the rule</x:v>
      </x:c>
      <x:c r="I40" s="3" t="str">
        <x:v>domain_test</x:v>
      </x:c>
      <x:c r="J40" s="3" t="str">
        <x:v>STALE</x:v>
      </x:c>
      <x:c r="K40" s="3" t="str">
        <x:v>W1</x:v>
      </x:c>
      <x:c r="L40" s="3" t="str">
        <x:v>docs/BACKLOG.md#bk-34-front-door-legal-and-professional-screens-before-substance</x:v>
      </x:c>
    </x:row>
    <x:row r="41" ht="40" customHeight="1">
      <x:c r="A41" s="14" t="str">
        <x:v>B</x:v>
      </x:c>
      <x:c r="B41" s="14" t="str">
        <x:v>STEP-B-02</x:v>
      </x:c>
      <x:c r="C41" s="14" t="str">
        <x:v>Emergency triage, before any screen can delay it</x:v>
      </x:c>
      <x:c r="D41" s="14" t="str">
        <x:v>B2</x:v>
      </x:c>
      <x:c r="E41" s="14" t="str">
        <x:v>BK-34</x:v>
      </x:c>
      <x:c r="F41" s="14" t="str">
        <x:v>partial</x:v>
      </x:c>
      <x:c r="G41" s="14" t="str">
        <x:v>BK-34-AC3</x:v>
      </x:c>
      <x:c r="H41" s="14" t="str">
        <x:v>the ordinary admission foundation distinguishes narrow protective guidance from substance and never admits substantive work merely because an emergency is declared</x:v>
      </x:c>
      <x:c r="I41" s="14" t="str">
        <x:v>domain_test, integration_test</x:v>
      </x:c>
      <x:c r="J41" s="14" t="str">
        <x:v>NOT_RUN</x:v>
      </x:c>
      <x:c r="K41" s="14" t="str">
        <x:v>W1</x:v>
      </x:c>
      <x:c r="L41" s="14" t="str">
        <x:v>docs/BACKLOG.md#bk-34-front-door-legal-and-professional-screens-before-substance</x:v>
      </x:c>
    </x:row>
    <x:row r="42" ht="40" customHeight="1">
      <x:c r="A42" s="3" t="str">
        <x:v>B</x:v>
      </x:c>
      <x:c r="B42" s="3" t="str">
        <x:v>STEP-B-02</x:v>
      </x:c>
      <x:c r="C42" s="3" t="str">
        <x:v>Emergency triage, before any screen can delay it</x:v>
      </x:c>
      <x:c r="D42" s="3" t="str">
        <x:v>B2</x:v>
      </x:c>
      <x:c r="E42" s="3" t="str">
        <x:v>BK-34</x:v>
      </x:c>
      <x:c r="F42" s="3" t="str">
        <x:v>partial</x:v>
      </x:c>
      <x:c r="G42" s="3" t="str">
        <x:v>BK-34-AC4</x:v>
      </x:c>
      <x:c r="H42" s="3" t="str">
        <x:v>an incomplete registry never reads clear</x:v>
      </x:c>
      <x:c r="I42" s="3" t="str">
        <x:v>domain_test</x:v>
      </x:c>
      <x:c r="J42" s="3" t="str">
        <x:v>STALE</x:v>
      </x:c>
      <x:c r="K42" s="3" t="str">
        <x:v>W1</x:v>
      </x:c>
      <x:c r="L42" s="3" t="str">
        <x:v>docs/BACKLOG.md#bk-34-front-door-legal-and-professional-screens-before-substance</x:v>
      </x:c>
    </x:row>
    <x:row r="43" ht="55" customHeight="1">
      <x:c r="A43" s="14" t="str">
        <x:v>B</x:v>
      </x:c>
      <x:c r="B43" s="14" t="str">
        <x:v>STEP-B-02</x:v>
      </x:c>
      <x:c r="C43" s="14" t="str">
        <x:v>Emergency triage, before any screen can delay it</x:v>
      </x:c>
      <x:c r="D43" s="14" t="str">
        <x:v>B2</x:v>
      </x:c>
      <x:c r="E43" s="14" t="str">
        <x:v>BK-53</x:v>
      </x:c>
      <x:c r="F43" s="14" t="str">
        <x:v>none</x:v>
      </x:c>
      <x:c r="G43" s="14" t="str">
        <x:v>BK-53-AC1</x:v>
      </x:c>
      <x:c r="H43" s="14" t="str">
        <x:v>Urgent triage records the threat, time sensitivity and bounded protective or referral next step without declaring ordinary screens passed or permitting substantive work outside the supported task</x:v>
      </x:c>
      <x:c r="I43" s="14" t="str">
        <x:v>integration_test, browser_journey, counsel_review</x:v>
      </x:c>
      <x:c r="J43" s="14" t="str">
        <x:v>NOT_RUN</x:v>
      </x:c>
      <x:c r="K43" s="14" t="str">
        <x:v>W1</x:v>
      </x:c>
      <x:c r="L43" s="14" t="str">
        <x:v>docs/BACKLOG.md#bk-53-phase-b-emergency-triage-and-capacity-to-instruct</x:v>
      </x:c>
    </x:row>
    <x:row r="44" ht="40" customHeight="1">
      <x:c r="A44" s="3" t="str">
        <x:v>B</x:v>
      </x:c>
      <x:c r="B44" s="3" t="str">
        <x:v>STEP-B-02</x:v>
      </x:c>
      <x:c r="C44" s="3" t="str">
        <x:v>Emergency triage, before any screen can delay it</x:v>
      </x:c>
      <x:c r="D44" s="3" t="str">
        <x:v>B2</x:v>
      </x:c>
      <x:c r="E44" s="3" t="str">
        <x:v>BK-53</x:v>
      </x:c>
      <x:c r="F44" s="3" t="str">
        <x:v>none</x:v>
      </x:c>
      <x:c r="G44" s="3" t="str">
        <x:v>BK-53-AC2</x:v>
      </x:c>
      <x:c r="H44" s="3" t="str">
        <x:v>Capacity and authority to instruct are recorded as assessed, unresolved or insufficient with the responsible source and needed next step rather than inferred from account access</x:v>
      </x:c>
      <x:c r="I44" s="3" t="str">
        <x:v>integration_test, counsel_review</x:v>
      </x:c>
      <x:c r="J44" s="3" t="str">
        <x:v>NOT_RUN</x:v>
      </x:c>
      <x:c r="K44" s="3" t="str">
        <x:v>W1</x:v>
      </x:c>
      <x:c r="L44" s="3" t="str">
        <x:v>docs/BACKLOG.md#bk-53-phase-b-emergency-triage-and-capacity-to-instruct</x:v>
      </x:c>
    </x:row>
    <x:row r="45" ht="55" customHeight="1">
      <x:c r="A45" s="14" t="str">
        <x:v>B</x:v>
      </x:c>
      <x:c r="B45" s="14" t="str">
        <x:v>STEP-B-02</x:v>
      </x:c>
      <x:c r="C45" s="14" t="str">
        <x:v>Emergency triage, before any screen can delay it</x:v>
      </x:c>
      <x:c r="D45" s="14" t="str">
        <x:v>B2</x:v>
      </x:c>
      <x:c r="E45" s="14" t="str">
        <x:v>BK-78</x:v>
      </x:c>
      <x:c r="F45" s="14" t="str">
        <x:v>none</x:v>
      </x:c>
      <x:c r="G45" s="14" t="str">
        <x:v>BK-78-AC1</x:v>
      </x:c>
      <x:c r="H45" s="14" t="str">
        <x:v>emergency triage is recorded with actor, basis, scope and outstanding screens, permits only immediate protective or referral guidance, and cannot admit substantive analysis behind a closed screen</x:v>
      </x:c>
      <x:c r="I45" s="14" t="str">
        <x:v>integration_test, browser_journey, counsel_review</x:v>
      </x:c>
      <x:c r="J45" s="14" t="str">
        <x:v>NOT_RUN</x:v>
      </x:c>
      <x:c r="K45" s="14" t="str">
        <x:v>W1</x:v>
      </x:c>
      <x:c r="L45" s="14" t="str">
        <x:v>docs/BACKLOG.md#bk-78-emergency-admission-integration</x:v>
      </x:c>
    </x:row>
    <x:row r="46" ht="40" customHeight="1">
      <x:c r="A46" s="3" t="str">
        <x:v>B</x:v>
      </x:c>
      <x:c r="B46" s="3" t="str">
        <x:v>STEP-B-02</x:v>
      </x:c>
      <x:c r="C46" s="3" t="str">
        <x:v>Emergency triage, before any screen can delay it</x:v>
      </x:c>
      <x:c r="D46" s="3" t="str">
        <x:v>B2</x:v>
      </x:c>
      <x:c r="E46" s="3" t="str">
        <x:v>BK-78</x:v>
      </x:c>
      <x:c r="F46" s="3" t="str">
        <x:v>none</x:v>
      </x:c>
      <x:c r="G46" s="3" t="str">
        <x:v>BK-78-AC2</x:v>
      </x:c>
      <x:c r="H46" s="3" t="str">
        <x:v>the emergency declaration and any expiry or revocation survive retry and re-entry, with ordinary screens required before substantive work resumes</x:v>
      </x:c>
      <x:c r="I46" s="3" t="str">
        <x:v>integration_test, adversarial_test</x:v>
      </x:c>
      <x:c r="J46" s="3" t="str">
        <x:v>NOT_RUN</x:v>
      </x:c>
      <x:c r="K46" s="3" t="str">
        <x:v>W1</x:v>
      </x:c>
      <x:c r="L46" s="3" t="str">
        <x:v>docs/BACKLOG.md#bk-78-emergency-admission-integration</x:v>
      </x:c>
    </x:row>
    <x:row r="47" ht="40" customHeight="1">
      <x:c r="A47" s="14" t="str">
        <x:v>B</x:v>
      </x:c>
      <x:c r="B47" s="14" t="str">
        <x:v>STEP-B-03</x:v>
      </x:c>
      <x:c r="C47" s="14" t="str">
        <x:v>The conflict screen</x:v>
      </x:c>
      <x:c r="D47" s="14" t="str">
        <x:v>B3</x:v>
      </x:c>
      <x:c r="E47" s="14" t="str">
        <x:v>BK-34</x:v>
      </x:c>
      <x:c r="F47" s="14" t="str">
        <x:v>partial</x:v>
      </x:c>
      <x:c r="G47" s="14" t="str">
        <x:v>BK-34-AC1</x:v>
      </x:c>
      <x:c r="H47" s="14" t="str">
        <x:v>adding a party makes an earlier conflict clearance stale, and the advocate is told which parties it never covered</x:v>
      </x:c>
      <x:c r="I47" s="14" t="str">
        <x:v>domain_test</x:v>
      </x:c>
      <x:c r="J47" s="14" t="str">
        <x:v>STALE</x:v>
      </x:c>
      <x:c r="K47" s="14" t="str">
        <x:v>W1</x:v>
      </x:c>
      <x:c r="L47" s="14" t="str">
        <x:v>docs/BACKLOG.md#bk-34-front-door-legal-and-professional-screens-before-substance</x:v>
      </x:c>
    </x:row>
    <x:row r="48" ht="40" customHeight="1">
      <x:c r="A48" s="3" t="str">
        <x:v>B</x:v>
      </x:c>
      <x:c r="B48" s="3" t="str">
        <x:v>STEP-B-03</x:v>
      </x:c>
      <x:c r="C48" s="3" t="str">
        <x:v>The conflict screen</x:v>
      </x:c>
      <x:c r="D48" s="3" t="str">
        <x:v>B3</x:v>
      </x:c>
      <x:c r="E48" s="3" t="str">
        <x:v>BK-34</x:v>
      </x:c>
      <x:c r="F48" s="3" t="str">
        <x:v>partial</x:v>
      </x:c>
      <x:c r="G48" s="3" t="str">
        <x:v>BK-34-AC2</x:v>
      </x:c>
      <x:c r="H48" s="3" t="str">
        <x:v>the engine asks the screen rather than recomputing the rule</x:v>
      </x:c>
      <x:c r="I48" s="3" t="str">
        <x:v>domain_test</x:v>
      </x:c>
      <x:c r="J48" s="3" t="str">
        <x:v>STALE</x:v>
      </x:c>
      <x:c r="K48" s="3" t="str">
        <x:v>W1</x:v>
      </x:c>
      <x:c r="L48" s="3" t="str">
        <x:v>docs/BACKLOG.md#bk-34-front-door-legal-and-professional-screens-before-substance</x:v>
      </x:c>
    </x:row>
    <x:row r="49" ht="40" customHeight="1">
      <x:c r="A49" s="14" t="str">
        <x:v>B</x:v>
      </x:c>
      <x:c r="B49" s="14" t="str">
        <x:v>STEP-B-03</x:v>
      </x:c>
      <x:c r="C49" s="14" t="str">
        <x:v>The conflict screen</x:v>
      </x:c>
      <x:c r="D49" s="14" t="str">
        <x:v>B3</x:v>
      </x:c>
      <x:c r="E49" s="14" t="str">
        <x:v>BK-34</x:v>
      </x:c>
      <x:c r="F49" s="14" t="str">
        <x:v>partial</x:v>
      </x:c>
      <x:c r="G49" s="14" t="str">
        <x:v>BK-34-AC3</x:v>
      </x:c>
      <x:c r="H49" s="14" t="str">
        <x:v>the ordinary admission foundation distinguishes narrow protective guidance from substance and never admits substantive work merely because an emergency is declared</x:v>
      </x:c>
      <x:c r="I49" s="14" t="str">
        <x:v>domain_test, integration_test</x:v>
      </x:c>
      <x:c r="J49" s="14" t="str">
        <x:v>NOT_RUN</x:v>
      </x:c>
      <x:c r="K49" s="14" t="str">
        <x:v>W1</x:v>
      </x:c>
      <x:c r="L49" s="14" t="str">
        <x:v>docs/BACKLOG.md#bk-34-front-door-legal-and-professional-screens-before-substance</x:v>
      </x:c>
    </x:row>
    <x:row r="50" ht="40" customHeight="1">
      <x:c r="A50" s="3" t="str">
        <x:v>B</x:v>
      </x:c>
      <x:c r="B50" s="3" t="str">
        <x:v>STEP-B-03</x:v>
      </x:c>
      <x:c r="C50" s="3" t="str">
        <x:v>The conflict screen</x:v>
      </x:c>
      <x:c r="D50" s="3" t="str">
        <x:v>B3</x:v>
      </x:c>
      <x:c r="E50" s="3" t="str">
        <x:v>BK-34</x:v>
      </x:c>
      <x:c r="F50" s="3" t="str">
        <x:v>partial</x:v>
      </x:c>
      <x:c r="G50" s="3" t="str">
        <x:v>BK-34-AC4</x:v>
      </x:c>
      <x:c r="H50" s="3" t="str">
        <x:v>an incomplete registry never reads clear</x:v>
      </x:c>
      <x:c r="I50" s="3" t="str">
        <x:v>domain_test</x:v>
      </x:c>
      <x:c r="J50" s="3" t="str">
        <x:v>STALE</x:v>
      </x:c>
      <x:c r="K50" s="3" t="str">
        <x:v>W1</x:v>
      </x:c>
      <x:c r="L50" s="3" t="str">
        <x:v>docs/BACKLOG.md#bk-34-front-door-legal-and-professional-screens-before-substance</x:v>
      </x:c>
    </x:row>
    <x:row r="51" ht="40" customHeight="1">
      <x:c r="A51" s="14" t="str">
        <x:v>B</x:v>
      </x:c>
      <x:c r="B51" s="14" t="str">
        <x:v>STEP-B-04</x:v>
      </x:c>
      <x:c r="C51" s="14" t="str">
        <x:v>Admit substance: competence, engagement and capacity</x:v>
      </x:c>
      <x:c r="D51" s="14" t="str">
        <x:v>B4, B5, B6</x:v>
      </x:c>
      <x:c r="E51" s="14" t="str">
        <x:v>BK-34</x:v>
      </x:c>
      <x:c r="F51" s="14" t="str">
        <x:v>partial</x:v>
      </x:c>
      <x:c r="G51" s="14" t="str">
        <x:v>BK-34-AC1</x:v>
      </x:c>
      <x:c r="H51" s="14" t="str">
        <x:v>adding a party makes an earlier conflict clearance stale, and the advocate is told which parties it never covered</x:v>
      </x:c>
      <x:c r="I51" s="14" t="str">
        <x:v>domain_test</x:v>
      </x:c>
      <x:c r="J51" s="14" t="str">
        <x:v>STALE</x:v>
      </x:c>
      <x:c r="K51" s="14" t="str">
        <x:v>W1</x:v>
      </x:c>
      <x:c r="L51" s="14" t="str">
        <x:v>docs/BACKLOG.md#bk-34-front-door-legal-and-professional-screens-before-substance</x:v>
      </x:c>
    </x:row>
    <x:row r="52" ht="40" customHeight="1">
      <x:c r="A52" s="3" t="str">
        <x:v>B</x:v>
      </x:c>
      <x:c r="B52" s="3" t="str">
        <x:v>STEP-B-04</x:v>
      </x:c>
      <x:c r="C52" s="3" t="str">
        <x:v>Admit substance: competence, engagement and capacity</x:v>
      </x:c>
      <x:c r="D52" s="3" t="str">
        <x:v>B4, B5, B6</x:v>
      </x:c>
      <x:c r="E52" s="3" t="str">
        <x:v>BK-34</x:v>
      </x:c>
      <x:c r="F52" s="3" t="str">
        <x:v>partial</x:v>
      </x:c>
      <x:c r="G52" s="3" t="str">
        <x:v>BK-34-AC2</x:v>
      </x:c>
      <x:c r="H52" s="3" t="str">
        <x:v>the engine asks the screen rather than recomputing the rule</x:v>
      </x:c>
      <x:c r="I52" s="3" t="str">
        <x:v>domain_test</x:v>
      </x:c>
      <x:c r="J52" s="3" t="str">
        <x:v>STALE</x:v>
      </x:c>
      <x:c r="K52" s="3" t="str">
        <x:v>W1</x:v>
      </x:c>
      <x:c r="L52" s="3" t="str">
        <x:v>docs/BACKLOG.md#bk-34-front-door-legal-and-professional-screens-before-substance</x:v>
      </x:c>
    </x:row>
    <x:row r="53" ht="40" customHeight="1">
      <x:c r="A53" s="14" t="str">
        <x:v>B</x:v>
      </x:c>
      <x:c r="B53" s="14" t="str">
        <x:v>STEP-B-04</x:v>
      </x:c>
      <x:c r="C53" s="14" t="str">
        <x:v>Admit substance: competence, engagement and capacity</x:v>
      </x:c>
      <x:c r="D53" s="14" t="str">
        <x:v>B4, B5, B6</x:v>
      </x:c>
      <x:c r="E53" s="14" t="str">
        <x:v>BK-34</x:v>
      </x:c>
      <x:c r="F53" s="14" t="str">
        <x:v>partial</x:v>
      </x:c>
      <x:c r="G53" s="14" t="str">
        <x:v>BK-34-AC3</x:v>
      </x:c>
      <x:c r="H53" s="14" t="str">
        <x:v>the ordinary admission foundation distinguishes narrow protective guidance from substance and never admits substantive work merely because an emergency is declared</x:v>
      </x:c>
      <x:c r="I53" s="14" t="str">
        <x:v>domain_test, integration_test</x:v>
      </x:c>
      <x:c r="J53" s="14" t="str">
        <x:v>NOT_RUN</x:v>
      </x:c>
      <x:c r="K53" s="14" t="str">
        <x:v>W1</x:v>
      </x:c>
      <x:c r="L53" s="14" t="str">
        <x:v>docs/BACKLOG.md#bk-34-front-door-legal-and-professional-screens-before-substance</x:v>
      </x:c>
    </x:row>
    <x:row r="54" ht="40" customHeight="1">
      <x:c r="A54" s="3" t="str">
        <x:v>B</x:v>
      </x:c>
      <x:c r="B54" s="3" t="str">
        <x:v>STEP-B-04</x:v>
      </x:c>
      <x:c r="C54" s="3" t="str">
        <x:v>Admit substance: competence, engagement and capacity</x:v>
      </x:c>
      <x:c r="D54" s="3" t="str">
        <x:v>B4, B5, B6</x:v>
      </x:c>
      <x:c r="E54" s="3" t="str">
        <x:v>BK-34</x:v>
      </x:c>
      <x:c r="F54" s="3" t="str">
        <x:v>partial</x:v>
      </x:c>
      <x:c r="G54" s="3" t="str">
        <x:v>BK-34-AC4</x:v>
      </x:c>
      <x:c r="H54" s="3" t="str">
        <x:v>an incomplete registry never reads clear</x:v>
      </x:c>
      <x:c r="I54" s="3" t="str">
        <x:v>domain_test</x:v>
      </x:c>
      <x:c r="J54" s="3" t="str">
        <x:v>STALE</x:v>
      </x:c>
      <x:c r="K54" s="3" t="str">
        <x:v>W1</x:v>
      </x:c>
      <x:c r="L54" s="3" t="str">
        <x:v>docs/BACKLOG.md#bk-34-front-door-legal-and-professional-screens-before-substance</x:v>
      </x:c>
    </x:row>
    <x:row r="55" ht="55" customHeight="1">
      <x:c r="A55" s="14" t="str">
        <x:v>B</x:v>
      </x:c>
      <x:c r="B55" s="14" t="str">
        <x:v>STEP-B-04</x:v>
      </x:c>
      <x:c r="C55" s="14" t="str">
        <x:v>Admit substance: competence, engagement and capacity</x:v>
      </x:c>
      <x:c r="D55" s="14" t="str">
        <x:v>B4, B5, B6</x:v>
      </x:c>
      <x:c r="E55" s="14" t="str">
        <x:v>BK-53</x:v>
      </x:c>
      <x:c r="F55" s="14" t="str">
        <x:v>none</x:v>
      </x:c>
      <x:c r="G55" s="14" t="str">
        <x:v>BK-53-AC1</x:v>
      </x:c>
      <x:c r="H55" s="14" t="str">
        <x:v>Urgent triage records the threat, time sensitivity and bounded protective or referral next step without declaring ordinary screens passed or permitting substantive work outside the supported task</x:v>
      </x:c>
      <x:c r="I55" s="14" t="str">
        <x:v>integration_test, browser_journey, counsel_review</x:v>
      </x:c>
      <x:c r="J55" s="14" t="str">
        <x:v>NOT_RUN</x:v>
      </x:c>
      <x:c r="K55" s="14" t="str">
        <x:v>W1</x:v>
      </x:c>
      <x:c r="L55" s="14" t="str">
        <x:v>docs/BACKLOG.md#bk-53-phase-b-emergency-triage-and-capacity-to-instruct</x:v>
      </x:c>
    </x:row>
    <x:row r="56" ht="40" customHeight="1">
      <x:c r="A56" s="3" t="str">
        <x:v>B</x:v>
      </x:c>
      <x:c r="B56" s="3" t="str">
        <x:v>STEP-B-04</x:v>
      </x:c>
      <x:c r="C56" s="3" t="str">
        <x:v>Admit substance: competence, engagement and capacity</x:v>
      </x:c>
      <x:c r="D56" s="3" t="str">
        <x:v>B4, B5, B6</x:v>
      </x:c>
      <x:c r="E56" s="3" t="str">
        <x:v>BK-53</x:v>
      </x:c>
      <x:c r="F56" s="3" t="str">
        <x:v>none</x:v>
      </x:c>
      <x:c r="G56" s="3" t="str">
        <x:v>BK-53-AC2</x:v>
      </x:c>
      <x:c r="H56" s="3" t="str">
        <x:v>Capacity and authority to instruct are recorded as assessed, unresolved or insufficient with the responsible source and needed next step rather than inferred from account access</x:v>
      </x:c>
      <x:c r="I56" s="3" t="str">
        <x:v>integration_test, counsel_review</x:v>
      </x:c>
      <x:c r="J56" s="3" t="str">
        <x:v>NOT_RUN</x:v>
      </x:c>
      <x:c r="K56" s="3" t="str">
        <x:v>W1</x:v>
      </x:c>
      <x:c r="L56" s="3" t="str">
        <x:v>docs/BACKLOG.md#bk-53-phase-b-emergency-triage-and-capacity-to-instruct</x:v>
      </x:c>
    </x:row>
    <x:row r="57" ht="55" customHeight="1">
      <x:c r="A57" s="14" t="str">
        <x:v>B</x:v>
      </x:c>
      <x:c r="B57" s="14" t="str">
        <x:v>STEP-B-04</x:v>
      </x:c>
      <x:c r="C57" s="14" t="str">
        <x:v>Admit substance: competence, engagement and capacity</x:v>
      </x:c>
      <x:c r="D57" s="14" t="str">
        <x:v>B4, B5, B6</x:v>
      </x:c>
      <x:c r="E57" s="14" t="str">
        <x:v>BK-62</x:v>
      </x:c>
      <x:c r="F57" s="14" t="str">
        <x:v>none</x:v>
      </x:c>
      <x:c r="G57" s="14" t="str">
        <x:v>BK-62-AC1</x:v>
      </x:c>
      <x:c r="H57" s="14" t="str">
        <x:v>every substantive task has a versioned commission naming who instructs, who decides, the objective, scope, forum, deadline and required work product and reopens when a material instruction changes</x:v>
      </x:c>
      <x:c r="I57" s="14" t="str">
        <x:v>domain_test, integration_test, counsel_review</x:v>
      </x:c>
      <x:c r="J57" s="14" t="str">
        <x:v>NOT_RUN</x:v>
      </x:c>
      <x:c r="K57" s="14" t="str">
        <x:v>W1</x:v>
      </x:c>
      <x:c r="L57" s="14" t="str">
        <x:v>docs/BACKLOG.md#bk-62-commission-and-task-authority-record</x:v>
      </x:c>
    </x:row>
    <x:row r="58" ht="40" customHeight="1">
      <x:c r="A58" s="3" t="str">
        <x:v>B</x:v>
      </x:c>
      <x:c r="B58" s="3" t="str">
        <x:v>STEP-B-04</x:v>
      </x:c>
      <x:c r="C58" s="3" t="str">
        <x:v>Admit substance: competence, engagement and capacity</x:v>
      </x:c>
      <x:c r="D58" s="3" t="str">
        <x:v>B4, B5, B6</x:v>
      </x:c>
      <x:c r="E58" s="3" t="str">
        <x:v>BK-63</x:v>
      </x:c>
      <x:c r="F58" s="3" t="str">
        <x:v>none</x:v>
      </x:c>
      <x:c r="G58" s="3" t="str">
        <x:v>BK-63-AC1</x:v>
      </x:c>
      <x:c r="H58" s="3" t="str">
        <x:v>every material instruction, decision and external action is attributable to an allowed role and authority scope, and unauthorised operations are refused and recorded</x:v>
      </x:c>
      <x:c r="I58" s="3" t="str">
        <x:v>domain_test, integration_test, adversarial_test, counsel_review</x:v>
      </x:c>
      <x:c r="J58" s="3" t="str">
        <x:v>NOT_RUN</x:v>
      </x:c>
      <x:c r="K58" s="3" t="str">
        <x:v>W1</x:v>
      </x:c>
      <x:c r="L58" s="3" t="str">
        <x:v>docs/BACKLOG.md#bk-63-professional-role-and-authority-control</x:v>
      </x:c>
    </x:row>
    <x:row r="59" ht="55" customHeight="1">
      <x:c r="A59" s="14" t="str">
        <x:v>B</x:v>
      </x:c>
      <x:c r="B59" s="14" t="str">
        <x:v>STEP-B-04</x:v>
      </x:c>
      <x:c r="C59" s="14" t="str">
        <x:v>Admit substance: competence, engagement and capacity</x:v>
      </x:c>
      <x:c r="D59" s="14" t="str">
        <x:v>B4, B5, B6</x:v>
      </x:c>
      <x:c r="E59" s="14" t="str">
        <x:v>BK-78</x:v>
      </x:c>
      <x:c r="F59" s="14" t="str">
        <x:v>none</x:v>
      </x:c>
      <x:c r="G59" s="14" t="str">
        <x:v>BK-78-AC1</x:v>
      </x:c>
      <x:c r="H59" s="14" t="str">
        <x:v>emergency triage is recorded with actor, basis, scope and outstanding screens, permits only immediate protective or referral guidance, and cannot admit substantive analysis behind a closed screen</x:v>
      </x:c>
      <x:c r="I59" s="14" t="str">
        <x:v>integration_test, browser_journey, counsel_review</x:v>
      </x:c>
      <x:c r="J59" s="14" t="str">
        <x:v>NOT_RUN</x:v>
      </x:c>
      <x:c r="K59" s="14" t="str">
        <x:v>W1</x:v>
      </x:c>
      <x:c r="L59" s="14" t="str">
        <x:v>docs/BACKLOG.md#bk-78-emergency-admission-integration</x:v>
      </x:c>
    </x:row>
    <x:row r="60" ht="40" customHeight="1">
      <x:c r="A60" s="3" t="str">
        <x:v>B</x:v>
      </x:c>
      <x:c r="B60" s="3" t="str">
        <x:v>STEP-B-04</x:v>
      </x:c>
      <x:c r="C60" s="3" t="str">
        <x:v>Admit substance: competence, engagement and capacity</x:v>
      </x:c>
      <x:c r="D60" s="3" t="str">
        <x:v>B4, B5, B6</x:v>
      </x:c>
      <x:c r="E60" s="3" t="str">
        <x:v>BK-78</x:v>
      </x:c>
      <x:c r="F60" s="3" t="str">
        <x:v>none</x:v>
      </x:c>
      <x:c r="G60" s="3" t="str">
        <x:v>BK-78-AC2</x:v>
      </x:c>
      <x:c r="H60" s="3" t="str">
        <x:v>the emergency declaration and any expiry or revocation survive retry and re-entry, with ordinary screens required before substantive work resumes</x:v>
      </x:c>
      <x:c r="I60" s="3" t="str">
        <x:v>integration_test, adversarial_test</x:v>
      </x:c>
      <x:c r="J60" s="3" t="str">
        <x:v>NOT_RUN</x:v>
      </x:c>
      <x:c r="K60" s="3" t="str">
        <x:v>W1</x:v>
      </x:c>
      <x:c r="L60" s="3" t="str">
        <x:v>docs/BACKLOG.md#bk-78-emergency-admission-integration</x:v>
      </x:c>
    </x:row>
    <x:row r="61" ht="40" customHeight="1">
      <x:c r="A61" s="14" t="str">
        <x:v>C</x:v>
      </x:c>
      <x:c r="B61" s="14" t="str">
        <x:v>STEP-C-01</x:v>
      </x:c>
      <x:c r="C61" s="14" t="str">
        <x:v>Open the account and hold it</x:v>
      </x:c>
      <x:c r="D61" s="14" t="str">
        <x:v>C1</x:v>
      </x:c>
      <x:c r="E61" s="14" t="str">
        <x:v>BK-36</x:v>
      </x:c>
      <x:c r="F61" s="14" t="str">
        <x:v>partial</x:v>
      </x:c>
      <x:c r="G61" s="14" t="str">
        <x:v>BK-36-AC1</x:v>
      </x:c>
      <x:c r="H61" s="14" t="str">
        <x:v>An accepted command is durably committed before success is emitted and retrying its idempotency key cannot create a second matter, turn or accepted effect</x:v>
      </x:c>
      <x:c r="I61" s="14" t="str">
        <x:v>integration_test, adversarial_test</x:v>
      </x:c>
      <x:c r="J61" s="14" t="str">
        <x:v>NOT_RUN</x:v>
      </x:c>
      <x:c r="K61" s="14" t="str">
        <x:v>W2</x:v>
      </x:c>
      <x:c r="L61" s="14" t="str">
        <x:v>docs/BACKLOG.md#bk-36-durable-idempotent-and-recoverable-turns</x:v>
      </x:c>
    </x:row>
    <x:row r="62" ht="40" customHeight="1">
      <x:c r="A62" s="3" t="str">
        <x:v>C</x:v>
      </x:c>
      <x:c r="B62" s="3" t="str">
        <x:v>STEP-C-01</x:v>
      </x:c>
      <x:c r="C62" s="3" t="str">
        <x:v>Open the account and hold it</x:v>
      </x:c>
      <x:c r="D62" s="3" t="str">
        <x:v>C1</x:v>
      </x:c>
      <x:c r="E62" s="3" t="str">
        <x:v>BK-36</x:v>
      </x:c>
      <x:c r="F62" s="3" t="str">
        <x:v>partial</x:v>
      </x:c>
      <x:c r="G62" s="3" t="str">
        <x:v>BK-36-AC2</x:v>
      </x:c>
      <x:c r="H62" s="3" t="str">
        <x:v>Concurrent updates use expected versions and preserve accepted work across crash, retry and restart without silently overwriting another writer</x:v>
      </x:c>
      <x:c r="I62" s="3" t="str">
        <x:v>integration_test, adversarial_test</x:v>
      </x:c>
      <x:c r="J62" s="3" t="str">
        <x:v>NOT_RUN</x:v>
      </x:c>
      <x:c r="K62" s="3" t="str">
        <x:v>W2</x:v>
      </x:c>
      <x:c r="L62" s="3" t="str">
        <x:v>docs/BACKLOG.md#bk-36-durable-idempotent-and-recoverable-turns</x:v>
      </x:c>
    </x:row>
    <x:row r="63" ht="40" customHeight="1">
      <x:c r="A63" s="14" t="str">
        <x:v>C</x:v>
      </x:c>
      <x:c r="B63" s="14" t="str">
        <x:v>STEP-C-01</x:v>
      </x:c>
      <x:c r="C63" s="14" t="str">
        <x:v>Open the account and hold it</x:v>
      </x:c>
      <x:c r="D63" s="14" t="str">
        <x:v>C1</x:v>
      </x:c>
      <x:c r="E63" s="14" t="str">
        <x:v>BK-54</x:v>
      </x:c>
      <x:c r="F63" s="14" t="str">
        <x:v>none</x:v>
      </x:c>
      <x:c r="G63" s="14" t="str">
        <x:v>BK-54-AC1</x:v>
      </x:c>
      <x:c r="H63" s="14" t="str">
        <x:v>intake accepts typed, spoken, uploaded and mixed-media material while preserving the original and source-attributing every extracted proposition</x:v>
      </x:c>
      <x:c r="I63" s="14" t="str">
        <x:v>integration_test, browser_journey, adversarial_test</x:v>
      </x:c>
      <x:c r="J63" s="14" t="str">
        <x:v>NOT_RUN</x:v>
      </x:c>
      <x:c r="K63" s="14" t="str">
        <x:v>W2</x:v>
      </x:c>
      <x:c r="L63" s="14" t="str">
        <x:v>docs/BACKLOG.md#bk-54-phase-c-objectives-constraints-and-document-intake</x:v>
      </x:c>
    </x:row>
    <x:row r="64" ht="40" customHeight="1">
      <x:c r="A64" s="3" t="str">
        <x:v>C</x:v>
      </x:c>
      <x:c r="B64" s="3" t="str">
        <x:v>STEP-C-01</x:v>
      </x:c>
      <x:c r="C64" s="3" t="str">
        <x:v>Open the account and hold it</x:v>
      </x:c>
      <x:c r="D64" s="3" t="str">
        <x:v>C1</x:v>
      </x:c>
      <x:c r="E64" s="3" t="str">
        <x:v>BK-54</x:v>
      </x:c>
      <x:c r="F64" s="3" t="str">
        <x:v>none</x:v>
      </x:c>
      <x:c r="G64" s="3" t="str">
        <x:v>BK-54-AC2</x:v>
      </x:c>
      <x:c r="H64" s="3" t="str">
        <x:v>briefing is an interactive loop that retrieves available material, reflects understanding, identifies gaps and asks the smallest question likely to change the task position</x:v>
      </x:c>
      <x:c r="I64" s="3" t="str">
        <x:v>model_eval, counsel_review</x:v>
      </x:c>
      <x:c r="J64" s="3" t="str">
        <x:v>NOT_RUN</x:v>
      </x:c>
      <x:c r="K64" s="3" t="str">
        <x:v>W2</x:v>
      </x:c>
      <x:c r="L64" s="3" t="str">
        <x:v>docs/BACKLOG.md#bk-54-phase-c-objectives-constraints-and-document-intake</x:v>
      </x:c>
    </x:row>
    <x:row r="65" ht="55" customHeight="1">
      <x:c r="A65" s="14" t="str">
        <x:v>C</x:v>
      </x:c>
      <x:c r="B65" s="14" t="str">
        <x:v>STEP-C-01</x:v>
      </x:c>
      <x:c r="C65" s="14" t="str">
        <x:v>Open the account and hold it</x:v>
      </x:c>
      <x:c r="D65" s="14" t="str">
        <x:v>C1</x:v>
      </x:c>
      <x:c r="E65" s="14" t="str">
        <x:v>BK-54</x:v>
      </x:c>
      <x:c r="F65" s="14" t="str">
        <x:v>none</x:v>
      </x:c>
      <x:c r="G65" s="14" t="str">
        <x:v>BK-54-AC3</x:v>
      </x:c>
      <x:c r="H65" s="14" t="str">
        <x:v>briefing cannot claim completion while a material controlling gap remains, repeat a question already answered in accessible authorised material, or continue asking for unavailable material without a stop and resume decision</x:v>
      </x:c>
      <x:c r="I65" s="14" t="str">
        <x:v>integration_test, model_eval, counsel_review</x:v>
      </x:c>
      <x:c r="J65" s="14" t="str">
        <x:v>NOT_RUN</x:v>
      </x:c>
      <x:c r="K65" s="14" t="str">
        <x:v>W2</x:v>
      </x:c>
      <x:c r="L65" s="14" t="str">
        <x:v>docs/BACKLOG.md#bk-54-phase-c-objectives-constraints-and-document-intake</x:v>
      </x:c>
    </x:row>
    <x:row r="66" ht="40" customHeight="1">
      <x:c r="A66" s="3" t="str">
        <x:v>C</x:v>
      </x:c>
      <x:c r="B66" s="3" t="str">
        <x:v>STEP-C-01</x:v>
      </x:c>
      <x:c r="C66" s="3" t="str">
        <x:v>Open the account and hold it</x:v>
      </x:c>
      <x:c r="D66" s="3" t="str">
        <x:v>C1</x:v>
      </x:c>
      <x:c r="E66" s="3" t="str">
        <x:v>BK-66</x:v>
      </x:c>
      <x:c r="F66" s="3" t="str">
        <x:v>none</x:v>
      </x:c>
      <x:c r="G66" s="3" t="str">
        <x:v>BK-66-AC1</x:v>
      </x:c>
      <x:c r="H66" s="3" t="str">
        <x:v>representative users can identify what NM understood, used, assumed, changed, still needs and will do next without reading engineering state</x:v>
      </x:c>
      <x:c r="I66" s="3" t="str">
        <x:v>browser_journey, model_eval, counsel_review</x:v>
      </x:c>
      <x:c r="J66" s="3" t="str">
        <x:v>NOT_RUN</x:v>
      </x:c>
      <x:c r="K66" s="3" t="str">
        <x:v>W2</x:v>
      </x:c>
      <x:c r="L66" s="3" t="str">
        <x:v>docs/BACKLOG.md#bk-66-advocate-trust-evaluation</x:v>
      </x:c>
    </x:row>
    <x:row r="67" ht="55" customHeight="1">
      <x:c r="A67" s="14" t="str">
        <x:v>C</x:v>
      </x:c>
      <x:c r="B67" s="14" t="str">
        <x:v>STEP-C-01</x:v>
      </x:c>
      <x:c r="C67" s="14" t="str">
        <x:v>Open the account and hold it</x:v>
      </x:c>
      <x:c r="D67" s="14" t="str">
        <x:v>C1</x:v>
      </x:c>
      <x:c r="E67" s="14" t="str">
        <x:v>BK-66</x:v>
      </x:c>
      <x:c r="F67" s="14" t="str">
        <x:v>none</x:v>
      </x:c>
      <x:c r="G67" s="14" t="str">
        <x:v>BK-66-AC2</x:v>
      </x:c>
      <x:c r="H67" s="14" t="str">
        <x:v>representative briefing tasks measure faithful reflection, reuse of known material, purpose of each question, correction, pause and successful return after new evidence without compulsory repetitive typing</x:v>
      </x:c>
      <x:c r="I67" s="14" t="str">
        <x:v>model_eval, counsel_review</x:v>
      </x:c>
      <x:c r="J67" s="14" t="str">
        <x:v>NOT_RUN</x:v>
      </x:c>
      <x:c r="K67" s="14" t="str">
        <x:v>W2</x:v>
      </x:c>
      <x:c r="L67" s="14" t="str">
        <x:v>docs/BACKLOG.md#bk-66-advocate-trust-evaluation</x:v>
      </x:c>
    </x:row>
    <x:row r="68" ht="55" customHeight="1">
      <x:c r="A68" s="3" t="str">
        <x:v>C</x:v>
      </x:c>
      <x:c r="B68" s="3" t="str">
        <x:v>STEP-C-01</x:v>
      </x:c>
      <x:c r="C68" s="3" t="str">
        <x:v>Open the account and hold it</x:v>
      </x:c>
      <x:c r="D68" s="3" t="str">
        <x:v>C1</x:v>
      </x:c>
      <x:c r="E68" s="3" t="str">
        <x:v>BK-66</x:v>
      </x:c>
      <x:c r="F68" s="3" t="str">
        <x:v>none</x:v>
      </x:c>
      <x:c r="G68" s="3" t="str">
        <x:v>BK-66-AC3</x:v>
      </x:c>
      <x:c r="H68" s="3" t="str">
        <x:v>the trust review fixes tasks, population, rubric, accessibility conditions and pass thresholds before scoring and records participant role, completion evidence and material disagreement</x:v>
      </x:c>
      <x:c r="I68" s="3" t="str">
        <x:v>browser_journey, counsel_review</x:v>
      </x:c>
      <x:c r="J68" s="3" t="str">
        <x:v>NOT_RUN</x:v>
      </x:c>
      <x:c r="K68" s="3" t="str">
        <x:v>W2</x:v>
      </x:c>
      <x:c r="L68" s="3" t="str">
        <x:v>docs/BACKLOG.md#bk-66-advocate-trust-evaluation</x:v>
      </x:c>
    </x:row>
    <x:row r="69" ht="40" customHeight="1">
      <x:c r="A69" s="14" t="str">
        <x:v>C</x:v>
      </x:c>
      <x:c r="B69" s="14" t="str">
        <x:v>STEP-C-02</x:v>
      </x:c>
      <x:c r="C69" s="14" t="str">
        <x:v>State the objectives and the constraints</x:v>
      </x:c>
      <x:c r="D69" s="14" t="str">
        <x:v>C2</x:v>
      </x:c>
      <x:c r="E69" s="14" t="str">
        <x:v>BK-54</x:v>
      </x:c>
      <x:c r="F69" s="14" t="str">
        <x:v>none</x:v>
      </x:c>
      <x:c r="G69" s="14" t="str">
        <x:v>BK-54-AC1</x:v>
      </x:c>
      <x:c r="H69" s="14" t="str">
        <x:v>intake accepts typed, spoken, uploaded and mixed-media material while preserving the original and source-attributing every extracted proposition</x:v>
      </x:c>
      <x:c r="I69" s="14" t="str">
        <x:v>integration_test, browser_journey, adversarial_test</x:v>
      </x:c>
      <x:c r="J69" s="14" t="str">
        <x:v>NOT_RUN</x:v>
      </x:c>
      <x:c r="K69" s="14" t="str">
        <x:v>W2</x:v>
      </x:c>
      <x:c r="L69" s="14" t="str">
        <x:v>docs/BACKLOG.md#bk-54-phase-c-objectives-constraints-and-document-intake</x:v>
      </x:c>
    </x:row>
    <x:row r="70" ht="40" customHeight="1">
      <x:c r="A70" s="3" t="str">
        <x:v>C</x:v>
      </x:c>
      <x:c r="B70" s="3" t="str">
        <x:v>STEP-C-02</x:v>
      </x:c>
      <x:c r="C70" s="3" t="str">
        <x:v>State the objectives and the constraints</x:v>
      </x:c>
      <x:c r="D70" s="3" t="str">
        <x:v>C2</x:v>
      </x:c>
      <x:c r="E70" s="3" t="str">
        <x:v>BK-54</x:v>
      </x:c>
      <x:c r="F70" s="3" t="str">
        <x:v>none</x:v>
      </x:c>
      <x:c r="G70" s="3" t="str">
        <x:v>BK-54-AC2</x:v>
      </x:c>
      <x:c r="H70" s="3" t="str">
        <x:v>briefing is an interactive loop that retrieves available material, reflects understanding, identifies gaps and asks the smallest question likely to change the task position</x:v>
      </x:c>
      <x:c r="I70" s="3" t="str">
        <x:v>model_eval, counsel_review</x:v>
      </x:c>
      <x:c r="J70" s="3" t="str">
        <x:v>NOT_RUN</x:v>
      </x:c>
      <x:c r="K70" s="3" t="str">
        <x:v>W2</x:v>
      </x:c>
      <x:c r="L70" s="3" t="str">
        <x:v>docs/BACKLOG.md#bk-54-phase-c-objectives-constraints-and-document-intake</x:v>
      </x:c>
    </x:row>
    <x:row r="71" ht="55" customHeight="1">
      <x:c r="A71" s="14" t="str">
        <x:v>C</x:v>
      </x:c>
      <x:c r="B71" s="14" t="str">
        <x:v>STEP-C-02</x:v>
      </x:c>
      <x:c r="C71" s="14" t="str">
        <x:v>State the objectives and the constraints</x:v>
      </x:c>
      <x:c r="D71" s="14" t="str">
        <x:v>C2</x:v>
      </x:c>
      <x:c r="E71" s="14" t="str">
        <x:v>BK-54</x:v>
      </x:c>
      <x:c r="F71" s="14" t="str">
        <x:v>none</x:v>
      </x:c>
      <x:c r="G71" s="14" t="str">
        <x:v>BK-54-AC3</x:v>
      </x:c>
      <x:c r="H71" s="14" t="str">
        <x:v>briefing cannot claim completion while a material controlling gap remains, repeat a question already answered in accessible authorised material, or continue asking for unavailable material without a stop and resume decision</x:v>
      </x:c>
      <x:c r="I71" s="14" t="str">
        <x:v>integration_test, model_eval, counsel_review</x:v>
      </x:c>
      <x:c r="J71" s="14" t="str">
        <x:v>NOT_RUN</x:v>
      </x:c>
      <x:c r="K71" s="14" t="str">
        <x:v>W2</x:v>
      </x:c>
      <x:c r="L71" s="14" t="str">
        <x:v>docs/BACKLOG.md#bk-54-phase-c-objectives-constraints-and-document-intake</x:v>
      </x:c>
    </x:row>
    <x:row r="72" ht="55" customHeight="1">
      <x:c r="A72" s="3" t="str">
        <x:v>C</x:v>
      </x:c>
      <x:c r="B72" s="3" t="str">
        <x:v>STEP-C-02</x:v>
      </x:c>
      <x:c r="C72" s="3" t="str">
        <x:v>State the objectives and the constraints</x:v>
      </x:c>
      <x:c r="D72" s="3" t="str">
        <x:v>C2</x:v>
      </x:c>
      <x:c r="E72" s="3" t="str">
        <x:v>BK-62</x:v>
      </x:c>
      <x:c r="F72" s="3" t="str">
        <x:v>none</x:v>
      </x:c>
      <x:c r="G72" s="3" t="str">
        <x:v>BK-62-AC1</x:v>
      </x:c>
      <x:c r="H72" s="3" t="str">
        <x:v>every substantive task has a versioned commission naming who instructs, who decides, the objective, scope, forum, deadline and required work product and reopens when a material instruction changes</x:v>
      </x:c>
      <x:c r="I72" s="3" t="str">
        <x:v>domain_test, integration_test, counsel_review</x:v>
      </x:c>
      <x:c r="J72" s="3" t="str">
        <x:v>NOT_RUN</x:v>
      </x:c>
      <x:c r="K72" s="3" t="str">
        <x:v>W1</x:v>
      </x:c>
      <x:c r="L72" s="3" t="str">
        <x:v>docs/BACKLOG.md#bk-62-commission-and-task-authority-record</x:v>
      </x:c>
    </x:row>
    <x:row r="73" ht="55" customHeight="1">
      <x:c r="A73" s="14" t="str">
        <x:v>C</x:v>
      </x:c>
      <x:c r="B73" s="14" t="str">
        <x:v>STEP-C-03</x:v>
      </x:c>
      <x:c r="C73" s="14" t="str">
        <x:v>Settle the parties and the posture</x:v>
      </x:c>
      <x:c r="D73" s="14" t="str">
        <x:v>C3</x:v>
      </x:c>
      <x:c r="E73" s="14" t="str">
        <x:v>BK-62</x:v>
      </x:c>
      <x:c r="F73" s="14" t="str">
        <x:v>none</x:v>
      </x:c>
      <x:c r="G73" s="14" t="str">
        <x:v>BK-62-AC1</x:v>
      </x:c>
      <x:c r="H73" s="14" t="str">
        <x:v>every substantive task has a versioned commission naming who instructs, who decides, the objective, scope, forum, deadline and required work product and reopens when a material instruction changes</x:v>
      </x:c>
      <x:c r="I73" s="14" t="str">
        <x:v>domain_test, integration_test, counsel_review</x:v>
      </x:c>
      <x:c r="J73" s="14" t="str">
        <x:v>NOT_RUN</x:v>
      </x:c>
      <x:c r="K73" s="14" t="str">
        <x:v>W1</x:v>
      </x:c>
      <x:c r="L73" s="14" t="str">
        <x:v>docs/BACKLOG.md#bk-62-commission-and-task-authority-record</x:v>
      </x:c>
    </x:row>
    <x:row r="74" ht="40" customHeight="1">
      <x:c r="A74" s="3" t="str">
        <x:v>C</x:v>
      </x:c>
      <x:c r="B74" s="3" t="str">
        <x:v>STEP-C-03</x:v>
      </x:c>
      <x:c r="C74" s="3" t="str">
        <x:v>Settle the parties and the posture</x:v>
      </x:c>
      <x:c r="D74" s="3" t="str">
        <x:v>C3</x:v>
      </x:c>
      <x:c r="E74" s="3" t="str">
        <x:v>BK-63</x:v>
      </x:c>
      <x:c r="F74" s="3" t="str">
        <x:v>none</x:v>
      </x:c>
      <x:c r="G74" s="3" t="str">
        <x:v>BK-63-AC1</x:v>
      </x:c>
      <x:c r="H74" s="3" t="str">
        <x:v>every material instruction, decision and external action is attributable to an allowed role and authority scope, and unauthorised operations are refused and recorded</x:v>
      </x:c>
      <x:c r="I74" s="3" t="str">
        <x:v>domain_test, integration_test, adversarial_test, counsel_review</x:v>
      </x:c>
      <x:c r="J74" s="3" t="str">
        <x:v>NOT_RUN</x:v>
      </x:c>
      <x:c r="K74" s="3" t="str">
        <x:v>W1</x:v>
      </x:c>
      <x:c r="L74" s="3" t="str">
        <x:v>docs/BACKLOG.md#bk-63-professional-role-and-authority-control</x:v>
      </x:c>
    </x:row>
    <x:row r="75" ht="40" customHeight="1">
      <x:c r="A75" s="14" t="str">
        <x:v>C</x:v>
      </x:c>
      <x:c r="B75" s="14" t="str">
        <x:v>STEP-C-03</x:v>
      </x:c>
      <x:c r="C75" s="14" t="str">
        <x:v>Settle the parties and the posture</x:v>
      </x:c>
      <x:c r="D75" s="14" t="str">
        <x:v>C3</x:v>
      </x:c>
      <x:c r="E75" s="14" t="str">
        <x:v>BK-64</x:v>
      </x:c>
      <x:c r="F75" s="14" t="str">
        <x:v>none</x:v>
      </x:c>
      <x:c r="G75" s="14" t="str">
        <x:v>BK-64-AC1</x:v>
      </x:c>
      <x:c r="H75" s="14" t="str">
        <x:v>every material conclusion traces to a typed proposition and source locator, while contradiction, extraction confidence and confirmation state remain visible</x:v>
      </x:c>
      <x:c r="I75" s="14" t="str">
        <x:v>domain_test, integration_test, adversarial_test</x:v>
      </x:c>
      <x:c r="J75" s="14" t="str">
        <x:v>NOT_RUN</x:v>
      </x:c>
      <x:c r="K75" s="14" t="str">
        <x:v>W2</x:v>
      </x:c>
      <x:c r="L75" s="14" t="str">
        <x:v>docs/BACKLOG.md#bk-64-typed-proposition-and-evidence-model</x:v>
      </x:c>
    </x:row>
    <x:row r="76" ht="40" customHeight="1">
      <x:c r="A76" s="3" t="str">
        <x:v>C</x:v>
      </x:c>
      <x:c r="B76" s="3" t="str">
        <x:v>STEP-C-04</x:v>
      </x:c>
      <x:c r="C76" s="3" t="str">
        <x:v>Give each dispute a thread</x:v>
      </x:c>
      <x:c r="D76" s="3" t="str">
        <x:v>C4</x:v>
      </x:c>
      <x:c r="E76" s="3" t="str">
        <x:v>BK-27</x:v>
      </x:c>
      <x:c r="F76" s="3" t="str">
        <x:v>complete</x:v>
      </x:c>
      <x:c r="G76" s="3" t="str">
        <x:v>No atomic criterion</x:v>
      </x:c>
      <x:c r="H76" s="3" t="str">
        <x:v>No atomic requirement registered</x:v>
      </x:c>
      <x:c r="I76" s="3" t="str"/>
      <x:c r="J76" s="3" t="str">
        <x:v>NOT_PROVEN</x:v>
      </x:c>
      <x:c r="K76" s="3" t="str">
        <x:v>W2</x:v>
      </x:c>
      <x:c r="L76" s="3" t="str">
        <x:v>docs/BACKLOG.md#bk-27-one-message-describing-n-disputes-opened-one-thread</x:v>
      </x:c>
    </x:row>
    <x:row r="77" ht="40" customHeight="1">
      <x:c r="A77" s="14" t="str">
        <x:v>C</x:v>
      </x:c>
      <x:c r="B77" s="14" t="str">
        <x:v>STEP-C-04</x:v>
      </x:c>
      <x:c r="C77" s="14" t="str">
        <x:v>Give each dispute a thread</x:v>
      </x:c>
      <x:c r="D77" s="14" t="str">
        <x:v>C4</x:v>
      </x:c>
      <x:c r="E77" s="14" t="str">
        <x:v>J-4</x:v>
      </x:c>
      <x:c r="F77" s="14" t="str">
        <x:v>partial</x:v>
      </x:c>
      <x:c r="G77" s="14" t="str">
        <x:v>J-4-AC1</x:v>
      </x:c>
      <x:c r="H77" s="14" t="str">
        <x:v>One factual dispute is not duplicated into inconsistent threads merely because related remedies or procedural questions are described separately</x:v>
      </x:c>
      <x:c r="I77" s="14" t="str">
        <x:v>integration_test, model_eval, counsel_review</x:v>
      </x:c>
      <x:c r="J77" s="14" t="str">
        <x:v>NOT_RUN</x:v>
      </x:c>
      <x:c r="K77" s="14" t="str">
        <x:v>W2</x:v>
      </x:c>
      <x:c r="L77" s="14" t="str">
        <x:v>docs/BACKLOG.md#j-4-one-dispute-was-split-into-three-and-the-product-then-argued-with-itself</x:v>
      </x:c>
    </x:row>
    <x:row r="78" ht="40" customHeight="1">
      <x:c r="A78" s="3" t="str">
        <x:v>C</x:v>
      </x:c>
      <x:c r="B78" s="3" t="str">
        <x:v>STEP-C-04</x:v>
      </x:c>
      <x:c r="C78" s="3" t="str">
        <x:v>Give each dispute a thread</x:v>
      </x:c>
      <x:c r="D78" s="3" t="str">
        <x:v>C4</x:v>
      </x:c>
      <x:c r="E78" s="3" t="str">
        <x:v>BK-64</x:v>
      </x:c>
      <x:c r="F78" s="3" t="str">
        <x:v>none</x:v>
      </x:c>
      <x:c r="G78" s="3" t="str">
        <x:v>BK-64-AC1</x:v>
      </x:c>
      <x:c r="H78" s="3" t="str">
        <x:v>every material conclusion traces to a typed proposition and source locator, while contradiction, extraction confidence and confirmation state remain visible</x:v>
      </x:c>
      <x:c r="I78" s="3" t="str">
        <x:v>domain_test, integration_test, adversarial_test</x:v>
      </x:c>
      <x:c r="J78" s="3" t="str">
        <x:v>NOT_RUN</x:v>
      </x:c>
      <x:c r="K78" s="3" t="str">
        <x:v>W2</x:v>
      </x:c>
      <x:c r="L78" s="3" t="str">
        <x:v>docs/BACKLOG.md#bk-64-typed-proposition-and-evidence-model</x:v>
      </x:c>
    </x:row>
    <x:row r="79" ht="40" customHeight="1">
      <x:c r="A79" s="14" t="str">
        <x:v>C</x:v>
      </x:c>
      <x:c r="B79" s="14" t="str">
        <x:v>STEP-C-05</x:v>
      </x:c>
      <x:c r="C79" s="14" t="str">
        <x:v>Build the chronology</x:v>
      </x:c>
      <x:c r="D79" s="14" t="str">
        <x:v>C5</x:v>
      </x:c>
      <x:c r="E79" s="14" t="str">
        <x:v>BK-14</x:v>
      </x:c>
      <x:c r="F79" s="14" t="str">
        <x:v>complete</x:v>
      </x:c>
      <x:c r="G79" s="14" t="str">
        <x:v>No atomic criterion</x:v>
      </x:c>
      <x:c r="H79" s="14" t="str">
        <x:v>No atomic requirement registered</x:v>
      </x:c>
      <x:c r="I79" s="14" t="str"/>
      <x:c r="J79" s="14" t="str">
        <x:v>NOT_PROVEN</x:v>
      </x:c>
      <x:c r="K79" s="14" t="str">
        <x:v>W2</x:v>
      </x:c>
      <x:c r="L79" s="14" t="str">
        <x:v>docs/BACKLOG.md#bk-14-the-date-came-from-the-server-s-clock</x:v>
      </x:c>
    </x:row>
    <x:row r="80" ht="40" customHeight="1">
      <x:c r="A80" s="3" t="str">
        <x:v>C</x:v>
      </x:c>
      <x:c r="B80" s="3" t="str">
        <x:v>STEP-C-05</x:v>
      </x:c>
      <x:c r="C80" s="3" t="str">
        <x:v>Build the chronology</x:v>
      </x:c>
      <x:c r="D80" s="3" t="str">
        <x:v>C5</x:v>
      </x:c>
      <x:c r="E80" s="3" t="str">
        <x:v>BK-64</x:v>
      </x:c>
      <x:c r="F80" s="3" t="str">
        <x:v>none</x:v>
      </x:c>
      <x:c r="G80" s="3" t="str">
        <x:v>BK-64-AC1</x:v>
      </x:c>
      <x:c r="H80" s="3" t="str">
        <x:v>every material conclusion traces to a typed proposition and source locator, while contradiction, extraction confidence and confirmation state remain visible</x:v>
      </x:c>
      <x:c r="I80" s="3" t="str">
        <x:v>domain_test, integration_test, adversarial_test</x:v>
      </x:c>
      <x:c r="J80" s="3" t="str">
        <x:v>NOT_RUN</x:v>
      </x:c>
      <x:c r="K80" s="3" t="str">
        <x:v>W2</x:v>
      </x:c>
      <x:c r="L80" s="3" t="str">
        <x:v>docs/BACKLOG.md#bk-64-typed-proposition-and-evidence-model</x:v>
      </x:c>
    </x:row>
    <x:row r="81" ht="40" customHeight="1">
      <x:c r="A81" s="14" t="str">
        <x:v>C</x:v>
      </x:c>
      <x:c r="B81" s="14" t="str">
        <x:v>STEP-C-05</x:v>
      </x:c>
      <x:c r="C81" s="14" t="str">
        <x:v>Build the chronology</x:v>
      </x:c>
      <x:c r="D81" s="14" t="str">
        <x:v>C5</x:v>
      </x:c>
      <x:c r="E81" s="14" t="str">
        <x:v>BK-65</x:v>
      </x:c>
      <x:c r="F81" s="14" t="str">
        <x:v>none</x:v>
      </x:c>
      <x:c r="G81" s="14" t="str">
        <x:v>BK-65-AC1</x:v>
      </x:c>
      <x:c r="H81" s="14" t="str">
        <x:v>changing a material predicate invalidates every dependent conclusion and no unrelated conclusion, while preserving the prior state and reason for change</x:v>
      </x:c>
      <x:c r="I81" s="14" t="str">
        <x:v>domain_test, integration_test, adversarial_test</x:v>
      </x:c>
      <x:c r="J81" s="14" t="str">
        <x:v>NOT_RUN</x:v>
      </x:c>
      <x:c r="K81" s="14" t="str">
        <x:v>W3</x:v>
      </x:c>
      <x:c r="L81" s="14" t="str">
        <x:v>docs/BACKLOG.md#bk-65-legal-dependency-graph-and-selective-invalidation</x:v>
      </x:c>
    </x:row>
    <x:row r="82" ht="55" customHeight="1">
      <x:c r="A82" s="3" t="str">
        <x:v>C</x:v>
      </x:c>
      <x:c r="B82" s="3" t="str">
        <x:v>STEP-C-05</x:v>
      </x:c>
      <x:c r="C82" s="3" t="str">
        <x:v>Build the chronology</x:v>
      </x:c>
      <x:c r="D82" s="3" t="str">
        <x:v>C5</x:v>
      </x:c>
      <x:c r="E82" s="3" t="str">
        <x:v>BK-65</x:v>
      </x:c>
      <x:c r="F82" s="3" t="str">
        <x:v>none</x:v>
      </x:c>
      <x:c r="G82" s="3" t="str">
        <x:v>BK-65-AC2</x:v>
      </x:c>
      <x:c r="H82" s="3" t="str">
        <x:v>governing legal premises are separately attributed and reviewable before dependent computations; correct arithmetic cannot establish applicable law, accrual or jurisdiction and changing a premise invalidates its results</x:v>
      </x:c>
      <x:c r="I82" s="3" t="str">
        <x:v>domain_test, model_eval, counsel_review</x:v>
      </x:c>
      <x:c r="J82" s="3" t="str">
        <x:v>NOT_RUN</x:v>
      </x:c>
      <x:c r="K82" s="3" t="str">
        <x:v>W3</x:v>
      </x:c>
      <x:c r="L82" s="3" t="str">
        <x:v>docs/BACKLOG.md#bk-65-legal-dependency-graph-and-selective-invalidation</x:v>
      </x:c>
    </x:row>
    <x:row r="83" ht="40" customHeight="1">
      <x:c r="A83" s="14" t="str">
        <x:v>C</x:v>
      </x:c>
      <x:c r="B83" s="14" t="str">
        <x:v>STEP-C-06</x:v>
      </x:c>
      <x:c r="C83" s="14" t="str">
        <x:v>Take in documents, voice and mixed media</x:v>
      </x:c>
      <x:c r="D83" s="14" t="str">
        <x:v>C6</x:v>
      </x:c>
      <x:c r="E83" s="14" t="str">
        <x:v>BK-54</x:v>
      </x:c>
      <x:c r="F83" s="14" t="str">
        <x:v>none</x:v>
      </x:c>
      <x:c r="G83" s="14" t="str">
        <x:v>BK-54-AC1</x:v>
      </x:c>
      <x:c r="H83" s="14" t="str">
        <x:v>intake accepts typed, spoken, uploaded and mixed-media material while preserving the original and source-attributing every extracted proposition</x:v>
      </x:c>
      <x:c r="I83" s="14" t="str">
        <x:v>integration_test, browser_journey, adversarial_test</x:v>
      </x:c>
      <x:c r="J83" s="14" t="str">
        <x:v>NOT_RUN</x:v>
      </x:c>
      <x:c r="K83" s="14" t="str">
        <x:v>W2</x:v>
      </x:c>
      <x:c r="L83" s="14" t="str">
        <x:v>docs/BACKLOG.md#bk-54-phase-c-objectives-constraints-and-document-intake</x:v>
      </x:c>
    </x:row>
    <x:row r="84" ht="40" customHeight="1">
      <x:c r="A84" s="3" t="str">
        <x:v>C</x:v>
      </x:c>
      <x:c r="B84" s="3" t="str">
        <x:v>STEP-C-06</x:v>
      </x:c>
      <x:c r="C84" s="3" t="str">
        <x:v>Take in documents, voice and mixed media</x:v>
      </x:c>
      <x:c r="D84" s="3" t="str">
        <x:v>C6</x:v>
      </x:c>
      <x:c r="E84" s="3" t="str">
        <x:v>BK-54</x:v>
      </x:c>
      <x:c r="F84" s="3" t="str">
        <x:v>none</x:v>
      </x:c>
      <x:c r="G84" s="3" t="str">
        <x:v>BK-54-AC2</x:v>
      </x:c>
      <x:c r="H84" s="3" t="str">
        <x:v>briefing is an interactive loop that retrieves available material, reflects understanding, identifies gaps and asks the smallest question likely to change the task position</x:v>
      </x:c>
      <x:c r="I84" s="3" t="str">
        <x:v>model_eval, counsel_review</x:v>
      </x:c>
      <x:c r="J84" s="3" t="str">
        <x:v>NOT_RUN</x:v>
      </x:c>
      <x:c r="K84" s="3" t="str">
        <x:v>W2</x:v>
      </x:c>
      <x:c r="L84" s="3" t="str">
        <x:v>docs/BACKLOG.md#bk-54-phase-c-objectives-constraints-and-document-intake</x:v>
      </x:c>
    </x:row>
    <x:row r="85" ht="55" customHeight="1">
      <x:c r="A85" s="14" t="str">
        <x:v>C</x:v>
      </x:c>
      <x:c r="B85" s="14" t="str">
        <x:v>STEP-C-06</x:v>
      </x:c>
      <x:c r="C85" s="14" t="str">
        <x:v>Take in documents, voice and mixed media</x:v>
      </x:c>
      <x:c r="D85" s="14" t="str">
        <x:v>C6</x:v>
      </x:c>
      <x:c r="E85" s="14" t="str">
        <x:v>BK-54</x:v>
      </x:c>
      <x:c r="F85" s="14" t="str">
        <x:v>none</x:v>
      </x:c>
      <x:c r="G85" s="14" t="str">
        <x:v>BK-54-AC3</x:v>
      </x:c>
      <x:c r="H85" s="14" t="str">
        <x:v>briefing cannot claim completion while a material controlling gap remains, repeat a question already answered in accessible authorised material, or continue asking for unavailable material without a stop and resume decision</x:v>
      </x:c>
      <x:c r="I85" s="14" t="str">
        <x:v>integration_test, model_eval, counsel_review</x:v>
      </x:c>
      <x:c r="J85" s="14" t="str">
        <x:v>NOT_RUN</x:v>
      </x:c>
      <x:c r="K85" s="14" t="str">
        <x:v>W2</x:v>
      </x:c>
      <x:c r="L85" s="14" t="str">
        <x:v>docs/BACKLOG.md#bk-54-phase-c-objectives-constraints-and-document-intake</x:v>
      </x:c>
    </x:row>
    <x:row r="86" ht="40" customHeight="1">
      <x:c r="A86" s="3" t="str">
        <x:v>C</x:v>
      </x:c>
      <x:c r="B86" s="3" t="str">
        <x:v>STEP-C-06</x:v>
      </x:c>
      <x:c r="C86" s="3" t="str">
        <x:v>Take in documents, voice and mixed media</x:v>
      </x:c>
      <x:c r="D86" s="3" t="str">
        <x:v>C6</x:v>
      </x:c>
      <x:c r="E86" s="3" t="str">
        <x:v>BK-69</x:v>
      </x:c>
      <x:c r="F86" s="3" t="str">
        <x:v>partial</x:v>
      </x:c>
      <x:c r="G86" s="3" t="str">
        <x:v>BK-69-AC1</x:v>
      </x:c>
      <x:c r="H86" s="3" t="str">
        <x:v>nothing that draws legal conclusions accepts media; it accepts an admission</x:v>
      </x:c>
      <x:c r="I86" s="3" t="str">
        <x:v>domain_test</x:v>
      </x:c>
      <x:c r="J86" s="3" t="str">
        <x:v>STALE</x:v>
      </x:c>
      <x:c r="K86" s="3" t="str">
        <x:v>W0</x:v>
      </x:c>
      <x:c r="L86" s="3" t="str">
        <x:v>docs/BACKLOG.md#bk-69-multimodal-privacy-and-processing-boundary</x:v>
      </x:c>
    </x:row>
    <x:row r="87" ht="40" customHeight="1">
      <x:c r="A87" s="14" t="str">
        <x:v>C</x:v>
      </x:c>
      <x:c r="B87" s="14" t="str">
        <x:v>STEP-C-06</x:v>
      </x:c>
      <x:c r="C87" s="14" t="str">
        <x:v>Take in documents, voice and mixed media</x:v>
      </x:c>
      <x:c r="D87" s="14" t="str">
        <x:v>C6</x:v>
      </x:c>
      <x:c r="E87" s="14" t="str">
        <x:v>BK-69</x:v>
      </x:c>
      <x:c r="F87" s="14" t="str">
        <x:v>partial</x:v>
      </x:c>
      <x:c r="G87" s="14" t="str">
        <x:v>BK-69-AC2</x:v>
      </x:c>
      <x:c r="H87" s="14" t="str">
        <x:v>an admission cannot exist without purpose, authority and a decided quarantine state, and unchecked media never reads as admissible</x:v>
      </x:c>
      <x:c r="I87" s="14" t="str">
        <x:v>domain_test</x:v>
      </x:c>
      <x:c r="J87" s="14" t="str">
        <x:v>STALE</x:v>
      </x:c>
      <x:c r="K87" s="14" t="str">
        <x:v>W0</x:v>
      </x:c>
      <x:c r="L87" s="14" t="str">
        <x:v>docs/BACKLOG.md#bk-69-multimodal-privacy-and-processing-boundary</x:v>
      </x:c>
    </x:row>
    <x:row r="88" ht="100" customHeight="1">
      <x:c r="A88" s="3" t="str">
        <x:v>C</x:v>
      </x:c>
      <x:c r="B88" s="3" t="str">
        <x:v>STEP-C-06</x:v>
      </x:c>
      <x:c r="C88" s="3" t="str">
        <x:v>Take in documents, voice and mixed media</x:v>
      </x:c>
      <x:c r="D88" s="3" t="str">
        <x:v>C6</x:v>
      </x:c>
      <x:c r="E88" s="3" t="str">
        <x:v>BK-69</x:v>
      </x:c>
      <x:c r="F88" s="3" t="str">
        <x:v>partial</x:v>
      </x:c>
      <x:c r="G88" s="3" t="str">
        <x:v>BK-69-AC3</x:v>
      </x:c>
      <x:c r="H88" s="3"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88" s="3" t="str">
        <x:v>domain_test, adversarial_test</x:v>
      </x:c>
      <x:c r="J88" s="3" t="str">
        <x:v>NOT_RUN</x:v>
      </x:c>
      <x:c r="K88" s="3" t="str">
        <x:v>W0</x:v>
      </x:c>
      <x:c r="L88" s="3" t="str">
        <x:v>docs/BACKLOG.md#bk-69-multimodal-privacy-and-processing-boundary</x:v>
      </x:c>
    </x:row>
    <x:row r="89" ht="40" customHeight="1">
      <x:c r="A89" s="14" t="str">
        <x:v>C</x:v>
      </x:c>
      <x:c r="B89" s="14" t="str">
        <x:v>STEP-C-06</x:v>
      </x:c>
      <x:c r="C89" s="14" t="str">
        <x:v>Take in documents, voice and mixed media</x:v>
      </x:c>
      <x:c r="D89" s="14" t="str">
        <x:v>C6</x:v>
      </x:c>
      <x:c r="E89" s="14" t="str">
        <x:v>BK-79</x:v>
      </x:c>
      <x:c r="F89" s="14" t="str">
        <x:v>none</x:v>
      </x:c>
      <x:c r="G89" s="14" t="str">
        <x:v>BK-79-AC1</x:v>
      </x:c>
      <x:c r="H89" s="14" t="str">
        <x:v>every original, derivative, processor disclosure, retention decision and deletion remains attributable end to end through the served media intake</x:v>
      </x:c>
      <x:c r="I89" s="14" t="str">
        <x:v>integration_test, browser_journey</x:v>
      </x:c>
      <x:c r="J89" s="14" t="str">
        <x:v>NOT_RUN</x:v>
      </x:c>
      <x:c r="K89" s="14" t="str">
        <x:v>W2</x:v>
      </x:c>
      <x:c r="L89" s="14" t="str">
        <x:v>docs/BACKLOG.md#bk-79-multimodal-attribution-and-deletion-integration</x:v>
      </x:c>
    </x:row>
    <x:row r="90" ht="40" customHeight="1">
      <x:c r="A90" s="3" t="str">
        <x:v>C</x:v>
      </x:c>
      <x:c r="B90" s="3" t="str">
        <x:v>STEP-C-06</x:v>
      </x:c>
      <x:c r="C90" s="3" t="str">
        <x:v>Take in documents, voice and mixed media</x:v>
      </x:c>
      <x:c r="D90" s="3" t="str">
        <x:v>C6</x:v>
      </x:c>
      <x:c r="E90" s="3" t="str">
        <x:v>BK-79</x:v>
      </x:c>
      <x:c r="F90" s="3" t="str">
        <x:v>none</x:v>
      </x:c>
      <x:c r="G90" s="3" t="str">
        <x:v>BK-79-AC2</x:v>
      </x:c>
      <x:c r="H90" s="3" t="str">
        <x:v>cancellation, retry, rejected processing, logout and deletion leave no orphaned privileged material and disclose what remains retained and why</x:v>
      </x:c>
      <x:c r="I90" s="3" t="str">
        <x:v>integration_test, adversarial_test, browser_journey</x:v>
      </x:c>
      <x:c r="J90" s="3" t="str">
        <x:v>NOT_RUN</x:v>
      </x:c>
      <x:c r="K90" s="3" t="str">
        <x:v>W2</x:v>
      </x:c>
      <x:c r="L90" s="3" t="str">
        <x:v>docs/BACKLOG.md#bk-79-multimodal-attribution-and-deletion-integration</x:v>
      </x:c>
    </x:row>
    <x:row r="91" ht="85" customHeight="1">
      <x:c r="A91" s="14" t="str">
        <x:v>C</x:v>
      </x:c>
      <x:c r="B91" s="14" t="str">
        <x:v>STEP-C-06</x:v>
      </x:c>
      <x:c r="C91" s="14" t="str">
        <x:v>Take in documents, voice and mixed media</x:v>
      </x:c>
      <x:c r="D91" s="14" t="str">
        <x:v>C6</x:v>
      </x:c>
      <x:c r="E91" s="14" t="str">
        <x:v>BK-79</x:v>
      </x:c>
      <x:c r="F91" s="14" t="str">
        <x:v>none</x:v>
      </x:c>
      <x:c r="G91" s="14" t="str">
        <x:v>BK-79-AC3</x:v>
      </x:c>
      <x:c r="H91" s="14"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91" s="14" t="str">
        <x:v>integration_test, adversarial_test, browser_journey</x:v>
      </x:c>
      <x:c r="J91" s="14" t="str">
        <x:v>NOT_RUN</x:v>
      </x:c>
      <x:c r="K91" s="14" t="str">
        <x:v>W2</x:v>
      </x:c>
      <x:c r="L91" s="14" t="str">
        <x:v>docs/BACKLOG.md#bk-79-multimodal-attribution-and-deletion-integration</x:v>
      </x:c>
    </x:row>
    <x:row r="92" ht="40" customHeight="1">
      <x:c r="A92" s="3" t="str">
        <x:v>C</x:v>
      </x:c>
      <x:c r="B92" s="3" t="str">
        <x:v>STEP-C-07</x:v>
      </x:c>
      <x:c r="C92" s="3" t="str">
        <x:v>Inventory the evidence and preserve it</x:v>
      </x:c>
      <x:c r="D92" s="3" t="str">
        <x:v>C7</x:v>
      </x:c>
      <x:c r="E92" s="3" t="str">
        <x:v>BK-6</x:v>
      </x:c>
      <x:c r="F92" s="3" t="str">
        <x:v>complete</x:v>
      </x:c>
      <x:c r="G92" s="3" t="str">
        <x:v>No atomic criterion</x:v>
      </x:c>
      <x:c r="H92" s="3" t="str">
        <x:v>No atomic requirement registered</x:v>
      </x:c>
      <x:c r="I92" s="3" t="str"/>
      <x:c r="J92" s="3" t="str">
        <x:v>NOT_PROVEN</x:v>
      </x:c>
      <x:c r="K92" s="3" t="str">
        <x:v>W2</x:v>
      </x:c>
      <x:c r="L92" s="3" t="str">
        <x:v>docs/BACKLOG.md#bk-6-the-evidence-bound-is-reached-on-a-four-turn-matter</x:v>
      </x:c>
    </x:row>
    <x:row r="93" ht="40" customHeight="1">
      <x:c r="A93" s="14" t="str">
        <x:v>C</x:v>
      </x:c>
      <x:c r="B93" s="14" t="str">
        <x:v>STEP-C-07</x:v>
      </x:c>
      <x:c r="C93" s="14" t="str">
        <x:v>Inventory the evidence and preserve it</x:v>
      </x:c>
      <x:c r="D93" s="14" t="str">
        <x:v>C7</x:v>
      </x:c>
      <x:c r="E93" s="14" t="str">
        <x:v>BK-64</x:v>
      </x:c>
      <x:c r="F93" s="14" t="str">
        <x:v>none</x:v>
      </x:c>
      <x:c r="G93" s="14" t="str">
        <x:v>BK-64-AC1</x:v>
      </x:c>
      <x:c r="H93" s="14" t="str">
        <x:v>every material conclusion traces to a typed proposition and source locator, while contradiction, extraction confidence and confirmation state remain visible</x:v>
      </x:c>
      <x:c r="I93" s="14" t="str">
        <x:v>domain_test, integration_test, adversarial_test</x:v>
      </x:c>
      <x:c r="J93" s="14" t="str">
        <x:v>NOT_RUN</x:v>
      </x:c>
      <x:c r="K93" s="14" t="str">
        <x:v>W2</x:v>
      </x:c>
      <x:c r="L93" s="14" t="str">
        <x:v>docs/BACKLOG.md#bk-64-typed-proposition-and-evidence-model</x:v>
      </x:c>
    </x:row>
    <x:row r="94" ht="40" customHeight="1">
      <x:c r="A94" s="3" t="str">
        <x:v>C</x:v>
      </x:c>
      <x:c r="B94" s="3" t="str">
        <x:v>STEP-C-07</x:v>
      </x:c>
      <x:c r="C94" s="3" t="str">
        <x:v>Inventory the evidence and preserve it</x:v>
      </x:c>
      <x:c r="D94" s="3" t="str">
        <x:v>C7</x:v>
      </x:c>
      <x:c r="E94" s="3" t="str">
        <x:v>BK-79</x:v>
      </x:c>
      <x:c r="F94" s="3" t="str">
        <x:v>none</x:v>
      </x:c>
      <x:c r="G94" s="3" t="str">
        <x:v>BK-79-AC1</x:v>
      </x:c>
      <x:c r="H94" s="3" t="str">
        <x:v>every original, derivative, processor disclosure, retention decision and deletion remains attributable end to end through the served media intake</x:v>
      </x:c>
      <x:c r="I94" s="3" t="str">
        <x:v>integration_test, browser_journey</x:v>
      </x:c>
      <x:c r="J94" s="3" t="str">
        <x:v>NOT_RUN</x:v>
      </x:c>
      <x:c r="K94" s="3" t="str">
        <x:v>W2</x:v>
      </x:c>
      <x:c r="L94" s="3" t="str">
        <x:v>docs/BACKLOG.md#bk-79-multimodal-attribution-and-deletion-integration</x:v>
      </x:c>
    </x:row>
    <x:row r="95" ht="40" customHeight="1">
      <x:c r="A95" s="14" t="str">
        <x:v>C</x:v>
      </x:c>
      <x:c r="B95" s="14" t="str">
        <x:v>STEP-C-07</x:v>
      </x:c>
      <x:c r="C95" s="14" t="str">
        <x:v>Inventory the evidence and preserve it</x:v>
      </x:c>
      <x:c r="D95" s="14" t="str">
        <x:v>C7</x:v>
      </x:c>
      <x:c r="E95" s="14" t="str">
        <x:v>BK-79</x:v>
      </x:c>
      <x:c r="F95" s="14" t="str">
        <x:v>none</x:v>
      </x:c>
      <x:c r="G95" s="14" t="str">
        <x:v>BK-79-AC2</x:v>
      </x:c>
      <x:c r="H95" s="14" t="str">
        <x:v>cancellation, retry, rejected processing, logout and deletion leave no orphaned privileged material and disclose what remains retained and why</x:v>
      </x:c>
      <x:c r="I95" s="14" t="str">
        <x:v>integration_test, adversarial_test, browser_journey</x:v>
      </x:c>
      <x:c r="J95" s="14" t="str">
        <x:v>NOT_RUN</x:v>
      </x:c>
      <x:c r="K95" s="14" t="str">
        <x:v>W2</x:v>
      </x:c>
      <x:c r="L95" s="14" t="str">
        <x:v>docs/BACKLOG.md#bk-79-multimodal-attribution-and-deletion-integration</x:v>
      </x:c>
    </x:row>
    <x:row r="96" ht="85" customHeight="1">
      <x:c r="A96" s="3" t="str">
        <x:v>C</x:v>
      </x:c>
      <x:c r="B96" s="3" t="str">
        <x:v>STEP-C-07</x:v>
      </x:c>
      <x:c r="C96" s="3" t="str">
        <x:v>Inventory the evidence and preserve it</x:v>
      </x:c>
      <x:c r="D96" s="3" t="str">
        <x:v>C7</x:v>
      </x:c>
      <x:c r="E96" s="3" t="str">
        <x:v>BK-79</x:v>
      </x:c>
      <x:c r="F96" s="3" t="str">
        <x:v>none</x:v>
      </x:c>
      <x:c r="G96" s="3" t="str">
        <x:v>BK-79-AC3</x:v>
      </x:c>
      <x:c r="H96"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96" s="3" t="str">
        <x:v>integration_test, adversarial_test, browser_journey</x:v>
      </x:c>
      <x:c r="J96" s="3" t="str">
        <x:v>NOT_RUN</x:v>
      </x:c>
      <x:c r="K96" s="3" t="str">
        <x:v>W2</x:v>
      </x:c>
      <x:c r="L96" s="3" t="str">
        <x:v>docs/BACKLOG.md#bk-79-multimodal-attribution-and-deletion-integration</x:v>
      </x:c>
    </x:row>
    <x:row r="97" ht="40" customHeight="1">
      <x:c r="A97" s="14" t="str">
        <x:v>D</x:v>
      </x:c>
      <x:c r="B97" s="14" t="str">
        <x:v>STEP-D-01</x:v>
      </x:c>
      <x:c r="C97" s="14" t="str">
        <x:v>Confirm the parties and the side</x:v>
      </x:c>
      <x:c r="D97" s="14" t="str">
        <x:v>C3</x:v>
      </x:c>
      <x:c r="E97" s="14" t="str">
        <x:v>BK-63</x:v>
      </x:c>
      <x:c r="F97" s="14" t="str">
        <x:v>none</x:v>
      </x:c>
      <x:c r="G97" s="14" t="str">
        <x:v>BK-63-AC1</x:v>
      </x:c>
      <x:c r="H97" s="14" t="str">
        <x:v>every material instruction, decision and external action is attributable to an allowed role and authority scope, and unauthorised operations are refused and recorded</x:v>
      </x:c>
      <x:c r="I97" s="14" t="str">
        <x:v>domain_test, integration_test, adversarial_test, counsel_review</x:v>
      </x:c>
      <x:c r="J97" s="14" t="str">
        <x:v>NOT_RUN</x:v>
      </x:c>
      <x:c r="K97" s="14" t="str">
        <x:v>W1</x:v>
      </x:c>
      <x:c r="L97" s="14" t="str">
        <x:v>docs/BACKLOG.md#bk-63-professional-role-and-authority-control</x:v>
      </x:c>
    </x:row>
    <x:row r="98" ht="40" customHeight="1">
      <x:c r="A98" s="3" t="str">
        <x:v>D</x:v>
      </x:c>
      <x:c r="B98" s="3" t="str">
        <x:v>STEP-D-01</x:v>
      </x:c>
      <x:c r="C98" s="3" t="str">
        <x:v>Confirm the parties and the side</x:v>
      </x:c>
      <x:c r="D98" s="3" t="str">
        <x:v>C3</x:v>
      </x:c>
      <x:c r="E98" s="3" t="str">
        <x:v>BK-65</x:v>
      </x:c>
      <x:c r="F98" s="3" t="str">
        <x:v>none</x:v>
      </x:c>
      <x:c r="G98" s="3" t="str">
        <x:v>BK-65-AC1</x:v>
      </x:c>
      <x:c r="H98" s="3" t="str">
        <x:v>changing a material predicate invalidates every dependent conclusion and no unrelated conclusion, while preserving the prior state and reason for change</x:v>
      </x:c>
      <x:c r="I98" s="3" t="str">
        <x:v>domain_test, integration_test, adversarial_test</x:v>
      </x:c>
      <x:c r="J98" s="3" t="str">
        <x:v>NOT_RUN</x:v>
      </x:c>
      <x:c r="K98" s="3" t="str">
        <x:v>W3</x:v>
      </x:c>
      <x:c r="L98" s="3" t="str">
        <x:v>docs/BACKLOG.md#bk-65-legal-dependency-graph-and-selective-invalidation</x:v>
      </x:c>
    </x:row>
    <x:row r="99" ht="55" customHeight="1">
      <x:c r="A99" s="14" t="str">
        <x:v>D</x:v>
      </x:c>
      <x:c r="B99" s="14" t="str">
        <x:v>STEP-D-01</x:v>
      </x:c>
      <x:c r="C99" s="14" t="str">
        <x:v>Confirm the parties and the side</x:v>
      </x:c>
      <x:c r="D99" s="14" t="str">
        <x:v>C3</x:v>
      </x:c>
      <x:c r="E99" s="14" t="str">
        <x:v>BK-65</x:v>
      </x:c>
      <x:c r="F99" s="14" t="str">
        <x:v>none</x:v>
      </x:c>
      <x:c r="G99" s="14" t="str">
        <x:v>BK-65-AC2</x:v>
      </x:c>
      <x:c r="H99" s="14" t="str">
        <x:v>governing legal premises are separately attributed and reviewable before dependent computations; correct arithmetic cannot establish applicable law, accrual or jurisdiction and changing a premise invalidates its results</x:v>
      </x:c>
      <x:c r="I99" s="14" t="str">
        <x:v>domain_test, model_eval, counsel_review</x:v>
      </x:c>
      <x:c r="J99" s="14" t="str">
        <x:v>NOT_RUN</x:v>
      </x:c>
      <x:c r="K99" s="14" t="str">
        <x:v>W3</x:v>
      </x:c>
      <x:c r="L99" s="14" t="str">
        <x:v>docs/BACKLOG.md#bk-65-legal-dependency-graph-and-selective-invalidation</x:v>
      </x:c>
    </x:row>
    <x:row r="100" ht="40" customHeight="1">
      <x:c r="A100" s="3" t="str">
        <x:v>D</x:v>
      </x:c>
      <x:c r="B100" s="3" t="str">
        <x:v>STEP-D-02</x:v>
      </x:c>
      <x:c r="C100" s="3" t="str">
        <x:v>Settle the cause of action</x:v>
      </x:c>
      <x:c r="D100" s="3" t="str">
        <x:v>D1</x:v>
      </x:c>
      <x:c r="E100" s="3" t="str">
        <x:v>J-2</x:v>
      </x:c>
      <x:c r="F100" s="3" t="str">
        <x:v>complete</x:v>
      </x:c>
      <x:c r="G100" s="3" t="str">
        <x:v>No atomic criterion</x:v>
      </x:c>
      <x:c r="H100" s="3" t="str">
        <x:v>No atomic requirement registered</x:v>
      </x:c>
      <x:c r="I100" s="3" t="str"/>
      <x:c r="J100" s="3" t="str">
        <x:v>NOT_PROVEN</x:v>
      </x:c>
      <x:c r="K100" s="3" t="str">
        <x:v>W3</x:v>
      </x:c>
      <x:c r="L100" s="3" t="str">
        <x:v>docs/BACKLOG.md#j-2-a-goods-sold-brief-was-worked-as-a-money-lent-claim</x:v>
      </x:c>
    </x:row>
    <x:row r="101" ht="40" customHeight="1">
      <x:c r="A101" s="14" t="str">
        <x:v>D</x:v>
      </x:c>
      <x:c r="B101" s="14" t="str">
        <x:v>STEP-D-02</x:v>
      </x:c>
      <x:c r="C101" s="14" t="str">
        <x:v>Settle the cause of action</x:v>
      </x:c>
      <x:c r="D101" s="14" t="str">
        <x:v>D1</x:v>
      </x:c>
      <x:c r="E101" s="14" t="str">
        <x:v>BK-65</x:v>
      </x:c>
      <x:c r="F101" s="14" t="str">
        <x:v>none</x:v>
      </x:c>
      <x:c r="G101" s="14" t="str">
        <x:v>BK-65-AC1</x:v>
      </x:c>
      <x:c r="H101" s="14" t="str">
        <x:v>changing a material predicate invalidates every dependent conclusion and no unrelated conclusion, while preserving the prior state and reason for change</x:v>
      </x:c>
      <x:c r="I101" s="14" t="str">
        <x:v>domain_test, integration_test, adversarial_test</x:v>
      </x:c>
      <x:c r="J101" s="14" t="str">
        <x:v>NOT_RUN</x:v>
      </x:c>
      <x:c r="K101" s="14" t="str">
        <x:v>W3</x:v>
      </x:c>
      <x:c r="L101" s="14" t="str">
        <x:v>docs/BACKLOG.md#bk-65-legal-dependency-graph-and-selective-invalidation</x:v>
      </x:c>
    </x:row>
    <x:row r="102" ht="55" customHeight="1">
      <x:c r="A102" s="3" t="str">
        <x:v>D</x:v>
      </x:c>
      <x:c r="B102" s="3" t="str">
        <x:v>STEP-D-02</x:v>
      </x:c>
      <x:c r="C102" s="3" t="str">
        <x:v>Settle the cause of action</x:v>
      </x:c>
      <x:c r="D102" s="3" t="str">
        <x:v>D1</x:v>
      </x:c>
      <x:c r="E102" s="3" t="str">
        <x:v>BK-65</x:v>
      </x:c>
      <x:c r="F102" s="3" t="str">
        <x:v>none</x:v>
      </x:c>
      <x:c r="G102" s="3" t="str">
        <x:v>BK-65-AC2</x:v>
      </x:c>
      <x:c r="H102" s="3" t="str">
        <x:v>governing legal premises are separately attributed and reviewable before dependent computations; correct arithmetic cannot establish applicable law, accrual or jurisdiction and changing a premise invalidates its results</x:v>
      </x:c>
      <x:c r="I102" s="3" t="str">
        <x:v>domain_test, model_eval, counsel_review</x:v>
      </x:c>
      <x:c r="J102" s="3" t="str">
        <x:v>NOT_RUN</x:v>
      </x:c>
      <x:c r="K102" s="3" t="str">
        <x:v>W3</x:v>
      </x:c>
      <x:c r="L102" s="3" t="str">
        <x:v>docs/BACKLOG.md#bk-65-legal-dependency-graph-and-selective-invalidation</x:v>
      </x:c>
    </x:row>
    <x:row r="103" ht="40" customHeight="1">
      <x:c r="A103" s="14" t="str">
        <x:v>D</x:v>
      </x:c>
      <x:c r="B103" s="14" t="str">
        <x:v>STEP-D-02</x:v>
      </x:c>
      <x:c r="C103" s="14" t="str">
        <x:v>Settle the cause of action</x:v>
      </x:c>
      <x:c r="D103" s="14" t="str">
        <x:v>D1</x:v>
      </x:c>
      <x:c r="E103" s="14" t="str">
        <x:v>BK-67</x:v>
      </x:c>
      <x:c r="F103" s="14" t="str">
        <x:v>none</x:v>
      </x:c>
      <x:c r="G103" s="14" t="str">
        <x:v>BK-67-AC1</x:v>
      </x:c>
      <x:c r="H103" s="14" t="str">
        <x:v>no counsel-facing feature conforms without current representative-matter review against every applicable advocate standard, with material reservations kept visible</x:v>
      </x:c>
      <x:c r="I103" s="14" t="str">
        <x:v>model_eval, counsel_review</x:v>
      </x:c>
      <x:c r="J103" s="14" t="str">
        <x:v>NOT_RUN</x:v>
      </x:c>
      <x:c r="K103" s="14" t="str">
        <x:v>W3</x:v>
      </x:c>
      <x:c r="L103" s="14" t="str">
        <x:v>docs/BACKLOG.md#bk-67-expert-advocate-evaluation-gate</x:v>
      </x:c>
    </x:row>
    <x:row r="104" ht="55" customHeight="1">
      <x:c r="A104" s="3" t="str">
        <x:v>D</x:v>
      </x:c>
      <x:c r="B104" s="3" t="str">
        <x:v>STEP-D-02</x:v>
      </x:c>
      <x:c r="C104" s="3" t="str">
        <x:v>Settle the cause of action</x:v>
      </x:c>
      <x:c r="D104" s="3" t="str">
        <x:v>D1</x:v>
      </x:c>
      <x:c r="E104" s="3" t="str">
        <x:v>BK-67</x:v>
      </x:c>
      <x:c r="F104" s="3" t="str">
        <x:v>none</x:v>
      </x:c>
      <x:c r="G104" s="3" t="str">
        <x:v>BK-67-AC2</x:v>
      </x:c>
      <x:c r="H104" s="3" t="str">
        <x:v>the professional gate predeclares representative matter strata, applicable PA standards, qualified reviewers, scored rubric, critical failures and handling of disagreement before evaluation</x:v>
      </x:c>
      <x:c r="I104" s="3" t="str">
        <x:v>model_eval, counsel_review</x:v>
      </x:c>
      <x:c r="J104" s="3" t="str">
        <x:v>NOT_RUN</x:v>
      </x:c>
      <x:c r="K104" s="3" t="str">
        <x:v>W3</x:v>
      </x:c>
      <x:c r="L104" s="3" t="str">
        <x:v>docs/BACKLOG.md#bk-67-expert-advocate-evaluation-gate</x:v>
      </x:c>
    </x:row>
    <x:row r="105" ht="55" customHeight="1">
      <x:c r="A105" s="14" t="str">
        <x:v>D</x:v>
      </x:c>
      <x:c r="B105" s="14" t="str">
        <x:v>STEP-D-02</x:v>
      </x:c>
      <x:c r="C105" s="14" t="str">
        <x:v>Settle the cause of action</x:v>
      </x:c>
      <x:c r="D105" s="14" t="str">
        <x:v>D1</x:v>
      </x:c>
      <x:c r="E105" s="14" t="str">
        <x:v>BK-67</x:v>
      </x:c>
      <x:c r="F105" s="14" t="str">
        <x:v>none</x:v>
      </x:c>
      <x:c r="G105" s="14" t="str">
        <x:v>BK-67-AC3</x:v>
      </x:c>
      <x:c r="H10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05" s="14" t="str">
        <x:v>model_eval, counsel_review</x:v>
      </x:c>
      <x:c r="J105" s="14" t="str">
        <x:v>NOT_RUN</x:v>
      </x:c>
      <x:c r="K105" s="14" t="str">
        <x:v>W3</x:v>
      </x:c>
      <x:c r="L105" s="14" t="str">
        <x:v>docs/BACKLOG.md#bk-67-expert-advocate-evaluation-gate</x:v>
      </x:c>
    </x:row>
    <x:row r="106" ht="40" customHeight="1">
      <x:c r="A106" s="3" t="str">
        <x:v>D</x:v>
      </x:c>
      <x:c r="B106" s="3" t="str">
        <x:v>STEP-D-02</x:v>
      </x:c>
      <x:c r="C106" s="3" t="str">
        <x:v>Settle the cause of action</x:v>
      </x:c>
      <x:c r="D106" s="3" t="str">
        <x:v>D1</x:v>
      </x:c>
      <x:c r="E106" s="3" t="str">
        <x:v>BK-67</x:v>
      </x:c>
      <x:c r="F106" s="3" t="str">
        <x:v>none</x:v>
      </x:c>
      <x:c r="G106" s="3" t="str">
        <x:v>BK-67-AC4</x:v>
      </x:c>
      <x:c r="H106" s="3" t="str">
        <x:v>new facts, changed legal premises, corpus or model configuration and material reservations trigger reassessment of affected professional approval on held-out scenarios</x:v>
      </x:c>
      <x:c r="I106" s="3" t="str">
        <x:v>model_eval, counsel_review</x:v>
      </x:c>
      <x:c r="J106" s="3" t="str">
        <x:v>NOT_RUN</x:v>
      </x:c>
      <x:c r="K106" s="3" t="str">
        <x:v>W3</x:v>
      </x:c>
      <x:c r="L106" s="3" t="str">
        <x:v>docs/BACKLOG.md#bk-67-expert-advocate-evaluation-gate</x:v>
      </x:c>
    </x:row>
    <x:row r="107" ht="55" customHeight="1">
      <x:c r="A107" s="14" t="str">
        <x:v>D</x:v>
      </x:c>
      <x:c r="B107" s="14" t="str">
        <x:v>STEP-D-03</x:v>
      </x:c>
      <x:c r="C107" s="14" t="str">
        <x:v>Compute the limitation period</x:v>
      </x:c>
      <x:c r="D107" s="14" t="str">
        <x:v>D2</x:v>
      </x:c>
      <x:c r="E107" s="14" t="str">
        <x:v>BK-35</x:v>
      </x:c>
      <x:c r="F107" s="14" t="str">
        <x:v>partial</x:v>
      </x:c>
      <x:c r="G107" s="14" t="str">
        <x:v>BK-35-AC1</x:v>
      </x:c>
      <x:c r="H107" s="14" t="str">
        <x:v>Limitation computation requires the reviewed cause-specific legal trigger and attributed factual date, including uncertain ranges and applicable qualifications, before producing a deadline</x:v>
      </x:c>
      <x:c r="I107" s="14" t="str">
        <x:v>integration_test, model_eval, counsel_review</x:v>
      </x:c>
      <x:c r="J107" s="14" t="str">
        <x:v>NOT_RUN</x:v>
      </x:c>
      <x:c r="K107" s="14" t="str">
        <x:v>W3</x:v>
      </x:c>
      <x:c r="L107" s="14" t="str">
        <x:v>docs/BACKLOG.md#bk-35-cause-specific-accrual-and-answer-consistency-gate</x:v>
      </x:c>
    </x:row>
    <x:row r="108" ht="40" customHeight="1">
      <x:c r="A108" s="3" t="str">
        <x:v>D</x:v>
      </x:c>
      <x:c r="B108" s="3" t="str">
        <x:v>STEP-D-03</x:v>
      </x:c>
      <x:c r="C108" s="3" t="str">
        <x:v>Compute the limitation period</x:v>
      </x:c>
      <x:c r="D108" s="3" t="str">
        <x:v>D2</x:v>
      </x:c>
      <x:c r="E108" s="3" t="str">
        <x:v>BK-35</x:v>
      </x:c>
      <x:c r="F108" s="3" t="str">
        <x:v>partial</x:v>
      </x:c>
      <x:c r="G108" s="3" t="str">
        <x:v>BK-35-AC2</x:v>
      </x:c>
      <x:c r="H108" s="3" t="str">
        <x:v>The served answer, matter cover and deadline register share the same versioned legal premise and calculation or disclose the precise unresolved inconsistency</x:v>
      </x:c>
      <x:c r="I108" s="3" t="str">
        <x:v>integration_test, adversarial_test</x:v>
      </x:c>
      <x:c r="J108" s="3" t="str">
        <x:v>NOT_RUN</x:v>
      </x:c>
      <x:c r="K108" s="3" t="str">
        <x:v>W3</x:v>
      </x:c>
      <x:c r="L108" s="3" t="str">
        <x:v>docs/BACKLOG.md#bk-35-cause-specific-accrual-and-answer-consistency-gate</x:v>
      </x:c>
    </x:row>
    <x:row r="109" ht="40" customHeight="1">
      <x:c r="A109" s="14" t="str">
        <x:v>D</x:v>
      </x:c>
      <x:c r="B109" s="14" t="str">
        <x:v>STEP-D-03</x:v>
      </x:c>
      <x:c r="C109" s="14" t="str">
        <x:v>Compute the limitation period</x:v>
      </x:c>
      <x:c r="D109" s="14" t="str">
        <x:v>D2</x:v>
      </x:c>
      <x:c r="E109" s="14" t="str">
        <x:v>BK-65</x:v>
      </x:c>
      <x:c r="F109" s="14" t="str">
        <x:v>none</x:v>
      </x:c>
      <x:c r="G109" s="14" t="str">
        <x:v>BK-65-AC1</x:v>
      </x:c>
      <x:c r="H109" s="14" t="str">
        <x:v>changing a material predicate invalidates every dependent conclusion and no unrelated conclusion, while preserving the prior state and reason for change</x:v>
      </x:c>
      <x:c r="I109" s="14" t="str">
        <x:v>domain_test, integration_test, adversarial_test</x:v>
      </x:c>
      <x:c r="J109" s="14" t="str">
        <x:v>NOT_RUN</x:v>
      </x:c>
      <x:c r="K109" s="14" t="str">
        <x:v>W3</x:v>
      </x:c>
      <x:c r="L109" s="14" t="str">
        <x:v>docs/BACKLOG.md#bk-65-legal-dependency-graph-and-selective-invalidation</x:v>
      </x:c>
    </x:row>
    <x:row r="110" ht="55" customHeight="1">
      <x:c r="A110" s="3" t="str">
        <x:v>D</x:v>
      </x:c>
      <x:c r="B110" s="3" t="str">
        <x:v>STEP-D-03</x:v>
      </x:c>
      <x:c r="C110" s="3" t="str">
        <x:v>Compute the limitation period</x:v>
      </x:c>
      <x:c r="D110" s="3" t="str">
        <x:v>D2</x:v>
      </x:c>
      <x:c r="E110" s="3" t="str">
        <x:v>BK-65</x:v>
      </x:c>
      <x:c r="F110" s="3" t="str">
        <x:v>none</x:v>
      </x:c>
      <x:c r="G110" s="3" t="str">
        <x:v>BK-65-AC2</x:v>
      </x:c>
      <x:c r="H110" s="3" t="str">
        <x:v>governing legal premises are separately attributed and reviewable before dependent computations; correct arithmetic cannot establish applicable law, accrual or jurisdiction and changing a premise invalidates its results</x:v>
      </x:c>
      <x:c r="I110" s="3" t="str">
        <x:v>domain_test, model_eval, counsel_review</x:v>
      </x:c>
      <x:c r="J110" s="3" t="str">
        <x:v>NOT_RUN</x:v>
      </x:c>
      <x:c r="K110" s="3" t="str">
        <x:v>W3</x:v>
      </x:c>
      <x:c r="L110" s="3" t="str">
        <x:v>docs/BACKLOG.md#bk-65-legal-dependency-graph-and-selective-invalidation</x:v>
      </x:c>
    </x:row>
    <x:row r="111" ht="40" customHeight="1">
      <x:c r="A111" s="14" t="str">
        <x:v>D</x:v>
      </x:c>
      <x:c r="B111" s="14" t="str">
        <x:v>STEP-D-03</x:v>
      </x:c>
      <x:c r="C111" s="14" t="str">
        <x:v>Compute the limitation period</x:v>
      </x:c>
      <x:c r="D111" s="14" t="str">
        <x:v>D2</x:v>
      </x:c>
      <x:c r="E111" s="14" t="str">
        <x:v>BK-67</x:v>
      </x:c>
      <x:c r="F111" s="14" t="str">
        <x:v>none</x:v>
      </x:c>
      <x:c r="G111" s="14" t="str">
        <x:v>BK-67-AC1</x:v>
      </x:c>
      <x:c r="H111" s="14" t="str">
        <x:v>no counsel-facing feature conforms without current representative-matter review against every applicable advocate standard, with material reservations kept visible</x:v>
      </x:c>
      <x:c r="I111" s="14" t="str">
        <x:v>model_eval, counsel_review</x:v>
      </x:c>
      <x:c r="J111" s="14" t="str">
        <x:v>NOT_RUN</x:v>
      </x:c>
      <x:c r="K111" s="14" t="str">
        <x:v>W3</x:v>
      </x:c>
      <x:c r="L111" s="14" t="str">
        <x:v>docs/BACKLOG.md#bk-67-expert-advocate-evaluation-gate</x:v>
      </x:c>
    </x:row>
    <x:row r="112" ht="55" customHeight="1">
      <x:c r="A112" s="3" t="str">
        <x:v>D</x:v>
      </x:c>
      <x:c r="B112" s="3" t="str">
        <x:v>STEP-D-03</x:v>
      </x:c>
      <x:c r="C112" s="3" t="str">
        <x:v>Compute the limitation period</x:v>
      </x:c>
      <x:c r="D112" s="3" t="str">
        <x:v>D2</x:v>
      </x:c>
      <x:c r="E112" s="3" t="str">
        <x:v>BK-67</x:v>
      </x:c>
      <x:c r="F112" s="3" t="str">
        <x:v>none</x:v>
      </x:c>
      <x:c r="G112" s="3" t="str">
        <x:v>BK-67-AC2</x:v>
      </x:c>
      <x:c r="H112" s="3" t="str">
        <x:v>the professional gate predeclares representative matter strata, applicable PA standards, qualified reviewers, scored rubric, critical failures and handling of disagreement before evaluation</x:v>
      </x:c>
      <x:c r="I112" s="3" t="str">
        <x:v>model_eval, counsel_review</x:v>
      </x:c>
      <x:c r="J112" s="3" t="str">
        <x:v>NOT_RUN</x:v>
      </x:c>
      <x:c r="K112" s="3" t="str">
        <x:v>W3</x:v>
      </x:c>
      <x:c r="L112" s="3" t="str">
        <x:v>docs/BACKLOG.md#bk-67-expert-advocate-evaluation-gate</x:v>
      </x:c>
    </x:row>
    <x:row r="113" ht="55" customHeight="1">
      <x:c r="A113" s="14" t="str">
        <x:v>D</x:v>
      </x:c>
      <x:c r="B113" s="14" t="str">
        <x:v>STEP-D-03</x:v>
      </x:c>
      <x:c r="C113" s="14" t="str">
        <x:v>Compute the limitation period</x:v>
      </x:c>
      <x:c r="D113" s="14" t="str">
        <x:v>D2</x:v>
      </x:c>
      <x:c r="E113" s="14" t="str">
        <x:v>BK-67</x:v>
      </x:c>
      <x:c r="F113" s="14" t="str">
        <x:v>none</x:v>
      </x:c>
      <x:c r="G113" s="14" t="str">
        <x:v>BK-67-AC3</x:v>
      </x:c>
      <x:c r="H11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13" s="14" t="str">
        <x:v>model_eval, counsel_review</x:v>
      </x:c>
      <x:c r="J113" s="14" t="str">
        <x:v>NOT_RUN</x:v>
      </x:c>
      <x:c r="K113" s="14" t="str">
        <x:v>W3</x:v>
      </x:c>
      <x:c r="L113" s="14" t="str">
        <x:v>docs/BACKLOG.md#bk-67-expert-advocate-evaluation-gate</x:v>
      </x:c>
    </x:row>
    <x:row r="114" ht="40" customHeight="1">
      <x:c r="A114" s="3" t="str">
        <x:v>D</x:v>
      </x:c>
      <x:c r="B114" s="3" t="str">
        <x:v>STEP-D-03</x:v>
      </x:c>
      <x:c r="C114" s="3" t="str">
        <x:v>Compute the limitation period</x:v>
      </x:c>
      <x:c r="D114" s="3" t="str">
        <x:v>D2</x:v>
      </x:c>
      <x:c r="E114" s="3" t="str">
        <x:v>BK-67</x:v>
      </x:c>
      <x:c r="F114" s="3" t="str">
        <x:v>none</x:v>
      </x:c>
      <x:c r="G114" s="3" t="str">
        <x:v>BK-67-AC4</x:v>
      </x:c>
      <x:c r="H114" s="3" t="str">
        <x:v>new facts, changed legal premises, corpus or model configuration and material reservations trigger reassessment of affected professional approval on held-out scenarios</x:v>
      </x:c>
      <x:c r="I114" s="3" t="str">
        <x:v>model_eval, counsel_review</x:v>
      </x:c>
      <x:c r="J114" s="3" t="str">
        <x:v>NOT_RUN</x:v>
      </x:c>
      <x:c r="K114" s="3" t="str">
        <x:v>W3</x:v>
      </x:c>
      <x:c r="L114" s="3" t="str">
        <x:v>docs/BACKLOG.md#bk-67-expert-advocate-evaluation-gate</x:v>
      </x:c>
    </x:row>
    <x:row r="115" ht="40" customHeight="1">
      <x:c r="A115" s="14" t="str">
        <x:v>D</x:v>
      </x:c>
      <x:c r="B115" s="14" t="str">
        <x:v>STEP-D-04</x:v>
      </x:c>
      <x:c r="C115" s="14" t="str">
        <x:v>Determine the forum</x:v>
      </x:c>
      <x:c r="D115" s="14" t="str">
        <x:v>D1</x:v>
      </x:c>
      <x:c r="E115" s="14" t="str">
        <x:v>BK-65</x:v>
      </x:c>
      <x:c r="F115" s="14" t="str">
        <x:v>none</x:v>
      </x:c>
      <x:c r="G115" s="14" t="str">
        <x:v>BK-65-AC1</x:v>
      </x:c>
      <x:c r="H115" s="14" t="str">
        <x:v>changing a material predicate invalidates every dependent conclusion and no unrelated conclusion, while preserving the prior state and reason for change</x:v>
      </x:c>
      <x:c r="I115" s="14" t="str">
        <x:v>domain_test, integration_test, adversarial_test</x:v>
      </x:c>
      <x:c r="J115" s="14" t="str">
        <x:v>NOT_RUN</x:v>
      </x:c>
      <x:c r="K115" s="14" t="str">
        <x:v>W3</x:v>
      </x:c>
      <x:c r="L115" s="14" t="str">
        <x:v>docs/BACKLOG.md#bk-65-legal-dependency-graph-and-selective-invalidation</x:v>
      </x:c>
    </x:row>
    <x:row r="116" ht="55" customHeight="1">
      <x:c r="A116" s="3" t="str">
        <x:v>D</x:v>
      </x:c>
      <x:c r="B116" s="3" t="str">
        <x:v>STEP-D-04</x:v>
      </x:c>
      <x:c r="C116" s="3" t="str">
        <x:v>Determine the forum</x:v>
      </x:c>
      <x:c r="D116" s="3" t="str">
        <x:v>D1</x:v>
      </x:c>
      <x:c r="E116" s="3" t="str">
        <x:v>BK-65</x:v>
      </x:c>
      <x:c r="F116" s="3" t="str">
        <x:v>none</x:v>
      </x:c>
      <x:c r="G116" s="3" t="str">
        <x:v>BK-65-AC2</x:v>
      </x:c>
      <x:c r="H116" s="3" t="str">
        <x:v>governing legal premises are separately attributed and reviewable before dependent computations; correct arithmetic cannot establish applicable law, accrual or jurisdiction and changing a premise invalidates its results</x:v>
      </x:c>
      <x:c r="I116" s="3" t="str">
        <x:v>domain_test, model_eval, counsel_review</x:v>
      </x:c>
      <x:c r="J116" s="3" t="str">
        <x:v>NOT_RUN</x:v>
      </x:c>
      <x:c r="K116" s="3" t="str">
        <x:v>W3</x:v>
      </x:c>
      <x:c r="L116" s="3" t="str">
        <x:v>docs/BACKLOG.md#bk-65-legal-dependency-graph-and-selective-invalidation</x:v>
      </x:c>
    </x:row>
    <x:row r="117" ht="40" customHeight="1">
      <x:c r="A117" s="14" t="str">
        <x:v>D</x:v>
      </x:c>
      <x:c r="B117" s="14" t="str">
        <x:v>STEP-D-04</x:v>
      </x:c>
      <x:c r="C117" s="14" t="str">
        <x:v>Determine the forum</x:v>
      </x:c>
      <x:c r="D117" s="14" t="str">
        <x:v>D1</x:v>
      </x:c>
      <x:c r="E117" s="14" t="str">
        <x:v>BK-70</x:v>
      </x:c>
      <x:c r="F117" s="14" t="str">
        <x:v>none</x:v>
      </x:c>
      <x:c r="G117" s="14" t="str">
        <x:v>BK-70-AC1</x:v>
      </x:c>
      <x:c r="H117" s="14" t="str">
        <x:v>advice changes when identical merits have unavailable, hollow, late or disproportionate relief and explains the enforceability basis for the recommendation</x:v>
      </x:c>
      <x:c r="I117" s="14" t="str">
        <x:v>domain_test, model_eval, counsel_review</x:v>
      </x:c>
      <x:c r="J117" s="14" t="str">
        <x:v>NOT_RUN</x:v>
      </x:c>
      <x:c r="K117" s="14" t="str">
        <x:v>W3</x:v>
      </x:c>
      <x:c r="L117" s="14" t="str">
        <x:v>docs/BACKLOG.md#bk-70-remedy-and-enforceability-model</x:v>
      </x:c>
    </x:row>
    <x:row r="118" ht="40" customHeight="1">
      <x:c r="A118" s="3" t="str">
        <x:v>D</x:v>
      </x:c>
      <x:c r="B118" s="3" t="str">
        <x:v>STEP-D-05</x:v>
      </x:c>
      <x:c r="C118" s="3" t="str">
        <x:v>Territorial and pecuniary jurisdiction</x:v>
      </x:c>
      <x:c r="D118" s="3" t="str">
        <x:v>D1</x:v>
      </x:c>
      <x:c r="E118" s="3" t="str">
        <x:v>BK-15</x:v>
      </x:c>
      <x:c r="F118" s="3" t="str">
        <x:v>complete</x:v>
      </x:c>
      <x:c r="G118" s="3" t="str">
        <x:v>No atomic criterion</x:v>
      </x:c>
      <x:c r="H118" s="3" t="str">
        <x:v>No atomic requirement registered</x:v>
      </x:c>
      <x:c r="I118" s="3" t="str"/>
      <x:c r="J118" s="3" t="str">
        <x:v>NOT_PROVEN</x:v>
      </x:c>
      <x:c r="K118" s="3" t="str">
        <x:v>W3</x:v>
      </x:c>
      <x:c r="L118" s="3" t="str">
        <x:v>docs/BACKLOG.md#bk-15-six-owners-for-the-jurisdiction</x:v>
      </x:c>
    </x:row>
    <x:row r="119" ht="40" customHeight="1">
      <x:c r="A119" s="14" t="str">
        <x:v>D</x:v>
      </x:c>
      <x:c r="B119" s="14" t="str">
        <x:v>STEP-D-05</x:v>
      </x:c>
      <x:c r="C119" s="14" t="str">
        <x:v>Territorial and pecuniary jurisdiction</x:v>
      </x:c>
      <x:c r="D119" s="14" t="str">
        <x:v>D1</x:v>
      </x:c>
      <x:c r="E119" s="14" t="str">
        <x:v>BK-65</x:v>
      </x:c>
      <x:c r="F119" s="14" t="str">
        <x:v>none</x:v>
      </x:c>
      <x:c r="G119" s="14" t="str">
        <x:v>BK-65-AC1</x:v>
      </x:c>
      <x:c r="H119" s="14" t="str">
        <x:v>changing a material predicate invalidates every dependent conclusion and no unrelated conclusion, while preserving the prior state and reason for change</x:v>
      </x:c>
      <x:c r="I119" s="14" t="str">
        <x:v>domain_test, integration_test, adversarial_test</x:v>
      </x:c>
      <x:c r="J119" s="14" t="str">
        <x:v>NOT_RUN</x:v>
      </x:c>
      <x:c r="K119" s="14" t="str">
        <x:v>W3</x:v>
      </x:c>
      <x:c r="L119" s="14" t="str">
        <x:v>docs/BACKLOG.md#bk-65-legal-dependency-graph-and-selective-invalidation</x:v>
      </x:c>
    </x:row>
    <x:row r="120" ht="55" customHeight="1">
      <x:c r="A120" s="3" t="str">
        <x:v>D</x:v>
      </x:c>
      <x:c r="B120" s="3" t="str">
        <x:v>STEP-D-05</x:v>
      </x:c>
      <x:c r="C120" s="3" t="str">
        <x:v>Territorial and pecuniary jurisdiction</x:v>
      </x:c>
      <x:c r="D120" s="3" t="str">
        <x:v>D1</x:v>
      </x:c>
      <x:c r="E120" s="3" t="str">
        <x:v>BK-65</x:v>
      </x:c>
      <x:c r="F120" s="3" t="str">
        <x:v>none</x:v>
      </x:c>
      <x:c r="G120" s="3" t="str">
        <x:v>BK-65-AC2</x:v>
      </x:c>
      <x:c r="H120" s="3" t="str">
        <x:v>governing legal premises are separately attributed and reviewable before dependent computations; correct arithmetic cannot establish applicable law, accrual or jurisdiction and changing a premise invalidates its results</x:v>
      </x:c>
      <x:c r="I120" s="3" t="str">
        <x:v>domain_test, model_eval, counsel_review</x:v>
      </x:c>
      <x:c r="J120" s="3" t="str">
        <x:v>NOT_RUN</x:v>
      </x:c>
      <x:c r="K120" s="3" t="str">
        <x:v>W3</x:v>
      </x:c>
      <x:c r="L120" s="3" t="str">
        <x:v>docs/BACKLOG.md#bk-65-legal-dependency-graph-and-selective-invalidation</x:v>
      </x:c>
    </x:row>
    <x:row r="121" ht="40" customHeight="1">
      <x:c r="A121" s="14" t="str">
        <x:v>D</x:v>
      </x:c>
      <x:c r="B121" s="14" t="str">
        <x:v>STEP-D-05</x:v>
      </x:c>
      <x:c r="C121" s="14" t="str">
        <x:v>Territorial and pecuniary jurisdiction</x:v>
      </x:c>
      <x:c r="D121" s="14" t="str">
        <x:v>D1</x:v>
      </x:c>
      <x:c r="E121" s="14" t="str">
        <x:v>BK-70</x:v>
      </x:c>
      <x:c r="F121" s="14" t="str">
        <x:v>none</x:v>
      </x:c>
      <x:c r="G121" s="14" t="str">
        <x:v>BK-70-AC1</x:v>
      </x:c>
      <x:c r="H121" s="14" t="str">
        <x:v>advice changes when identical merits have unavailable, hollow, late or disproportionate relief and explains the enforceability basis for the recommendation</x:v>
      </x:c>
      <x:c r="I121" s="14" t="str">
        <x:v>domain_test, model_eval, counsel_review</x:v>
      </x:c>
      <x:c r="J121" s="14" t="str">
        <x:v>NOT_RUN</x:v>
      </x:c>
      <x:c r="K121" s="14" t="str">
        <x:v>W3</x:v>
      </x:c>
      <x:c r="L121" s="14" t="str">
        <x:v>docs/BACKLOG.md#bk-70-remedy-and-enforceability-model</x:v>
      </x:c>
    </x:row>
    <x:row r="122" ht="40" customHeight="1">
      <x:c r="A122" s="3" t="str">
        <x:v>D</x:v>
      </x:c>
      <x:c r="B122" s="3" t="str">
        <x:v>STEP-D-06</x:v>
      </x:c>
      <x:c r="C122" s="3" t="str">
        <x:v>Pre-filing requirements</x:v>
      </x:c>
      <x:c r="D122" s="3" t="str">
        <x:v>D1</x:v>
      </x:c>
      <x:c r="E122" s="3" t="str">
        <x:v>BK-65</x:v>
      </x:c>
      <x:c r="F122" s="3" t="str">
        <x:v>none</x:v>
      </x:c>
      <x:c r="G122" s="3" t="str">
        <x:v>BK-65-AC1</x:v>
      </x:c>
      <x:c r="H122" s="3" t="str">
        <x:v>changing a material predicate invalidates every dependent conclusion and no unrelated conclusion, while preserving the prior state and reason for change</x:v>
      </x:c>
      <x:c r="I122" s="3" t="str">
        <x:v>domain_test, integration_test, adversarial_test</x:v>
      </x:c>
      <x:c r="J122" s="3" t="str">
        <x:v>NOT_RUN</x:v>
      </x:c>
      <x:c r="K122" s="3" t="str">
        <x:v>W3</x:v>
      </x:c>
      <x:c r="L122" s="3" t="str">
        <x:v>docs/BACKLOG.md#bk-65-legal-dependency-graph-and-selective-invalidation</x:v>
      </x:c>
    </x:row>
    <x:row r="123" ht="55" customHeight="1">
      <x:c r="A123" s="14" t="str">
        <x:v>D</x:v>
      </x:c>
      <x:c r="B123" s="14" t="str">
        <x:v>STEP-D-06</x:v>
      </x:c>
      <x:c r="C123" s="14" t="str">
        <x:v>Pre-filing requirements</x:v>
      </x:c>
      <x:c r="D123" s="14" t="str">
        <x:v>D1</x:v>
      </x:c>
      <x:c r="E123" s="14" t="str">
        <x:v>BK-65</x:v>
      </x:c>
      <x:c r="F123" s="14" t="str">
        <x:v>none</x:v>
      </x:c>
      <x:c r="G123" s="14" t="str">
        <x:v>BK-65-AC2</x:v>
      </x:c>
      <x:c r="H123" s="14" t="str">
        <x:v>governing legal premises are separately attributed and reviewable before dependent computations; correct arithmetic cannot establish applicable law, accrual or jurisdiction and changing a premise invalidates its results</x:v>
      </x:c>
      <x:c r="I123" s="14" t="str">
        <x:v>domain_test, model_eval, counsel_review</x:v>
      </x:c>
      <x:c r="J123" s="14" t="str">
        <x:v>NOT_RUN</x:v>
      </x:c>
      <x:c r="K123" s="14" t="str">
        <x:v>W3</x:v>
      </x:c>
      <x:c r="L123" s="14" t="str">
        <x:v>docs/BACKLOG.md#bk-65-legal-dependency-graph-and-selective-invalidation</x:v>
      </x:c>
    </x:row>
    <x:row r="124" ht="40" customHeight="1">
      <x:c r="A124" s="3" t="str">
        <x:v>D</x:v>
      </x:c>
      <x:c r="B124" s="3" t="str">
        <x:v>STEP-D-06</x:v>
      </x:c>
      <x:c r="C124" s="3" t="str">
        <x:v>Pre-filing requirements</x:v>
      </x:c>
      <x:c r="D124" s="3" t="str">
        <x:v>D1</x:v>
      </x:c>
      <x:c r="E124" s="3" t="str">
        <x:v>BK-70</x:v>
      </x:c>
      <x:c r="F124" s="3" t="str">
        <x:v>none</x:v>
      </x:c>
      <x:c r="G124" s="3" t="str">
        <x:v>BK-70-AC1</x:v>
      </x:c>
      <x:c r="H124" s="3" t="str">
        <x:v>advice changes when identical merits have unavailable, hollow, late or disproportionate relief and explains the enforceability basis for the recommendation</x:v>
      </x:c>
      <x:c r="I124" s="3" t="str">
        <x:v>domain_test, model_eval, counsel_review</x:v>
      </x:c>
      <x:c r="J124" s="3" t="str">
        <x:v>NOT_RUN</x:v>
      </x:c>
      <x:c r="K124" s="3" t="str">
        <x:v>W3</x:v>
      </x:c>
      <x:c r="L124" s="3" t="str">
        <x:v>docs/BACKLOG.md#bk-70-remedy-and-enforceability-model</x:v>
      </x:c>
    </x:row>
    <x:row r="125" ht="40" customHeight="1">
      <x:c r="A125" s="14" t="str">
        <x:v>D</x:v>
      </x:c>
      <x:c r="B125" s="14" t="str">
        <x:v>STEP-D-07</x:v>
      </x:c>
      <x:c r="C125" s="14" t="str">
        <x:v>Valuation and court fees</x:v>
      </x:c>
      <x:c r="D125" s="14" t="str">
        <x:v>D1</x:v>
      </x:c>
      <x:c r="E125" s="14" t="str">
        <x:v>BK-65</x:v>
      </x:c>
      <x:c r="F125" s="14" t="str">
        <x:v>none</x:v>
      </x:c>
      <x:c r="G125" s="14" t="str">
        <x:v>BK-65-AC1</x:v>
      </x:c>
      <x:c r="H125" s="14" t="str">
        <x:v>changing a material predicate invalidates every dependent conclusion and no unrelated conclusion, while preserving the prior state and reason for change</x:v>
      </x:c>
      <x:c r="I125" s="14" t="str">
        <x:v>domain_test, integration_test, adversarial_test</x:v>
      </x:c>
      <x:c r="J125" s="14" t="str">
        <x:v>NOT_RUN</x:v>
      </x:c>
      <x:c r="K125" s="14" t="str">
        <x:v>W3</x:v>
      </x:c>
      <x:c r="L125" s="14" t="str">
        <x:v>docs/BACKLOG.md#bk-65-legal-dependency-graph-and-selective-invalidation</x:v>
      </x:c>
    </x:row>
    <x:row r="126" ht="55" customHeight="1">
      <x:c r="A126" s="3" t="str">
        <x:v>D</x:v>
      </x:c>
      <x:c r="B126" s="3" t="str">
        <x:v>STEP-D-07</x:v>
      </x:c>
      <x:c r="C126" s="3" t="str">
        <x:v>Valuation and court fees</x:v>
      </x:c>
      <x:c r="D126" s="3" t="str">
        <x:v>D1</x:v>
      </x:c>
      <x:c r="E126" s="3" t="str">
        <x:v>BK-65</x:v>
      </x:c>
      <x:c r="F126" s="3" t="str">
        <x:v>none</x:v>
      </x:c>
      <x:c r="G126" s="3" t="str">
        <x:v>BK-65-AC2</x:v>
      </x:c>
      <x:c r="H126" s="3" t="str">
        <x:v>governing legal premises are separately attributed and reviewable before dependent computations; correct arithmetic cannot establish applicable law, accrual or jurisdiction and changing a premise invalidates its results</x:v>
      </x:c>
      <x:c r="I126" s="3" t="str">
        <x:v>domain_test, model_eval, counsel_review</x:v>
      </x:c>
      <x:c r="J126" s="3" t="str">
        <x:v>NOT_RUN</x:v>
      </x:c>
      <x:c r="K126" s="3" t="str">
        <x:v>W3</x:v>
      </x:c>
      <x:c r="L126" s="3" t="str">
        <x:v>docs/BACKLOG.md#bk-65-legal-dependency-graph-and-selective-invalidation</x:v>
      </x:c>
    </x:row>
    <x:row r="127" ht="40" customHeight="1">
      <x:c r="A127" s="14" t="str">
        <x:v>D</x:v>
      </x:c>
      <x:c r="B127" s="14" t="str">
        <x:v>STEP-D-07</x:v>
      </x:c>
      <x:c r="C127" s="14" t="str">
        <x:v>Valuation and court fees</x:v>
      </x:c>
      <x:c r="D127" s="14" t="str">
        <x:v>D1</x:v>
      </x:c>
      <x:c r="E127" s="14" t="str">
        <x:v>BK-70</x:v>
      </x:c>
      <x:c r="F127" s="14" t="str">
        <x:v>none</x:v>
      </x:c>
      <x:c r="G127" s="14" t="str">
        <x:v>BK-70-AC1</x:v>
      </x:c>
      <x:c r="H127" s="14" t="str">
        <x:v>advice changes when identical merits have unavailable, hollow, late or disproportionate relief and explains the enforceability basis for the recommendation</x:v>
      </x:c>
      <x:c r="I127" s="14" t="str">
        <x:v>domain_test, model_eval, counsel_review</x:v>
      </x:c>
      <x:c r="J127" s="14" t="str">
        <x:v>NOT_RUN</x:v>
      </x:c>
      <x:c r="K127" s="14" t="str">
        <x:v>W3</x:v>
      </x:c>
      <x:c r="L127" s="14" t="str">
        <x:v>docs/BACKLOG.md#bk-70-remedy-and-enforceability-model</x:v>
      </x:c>
    </x:row>
    <x:row r="128" ht="55" customHeight="1">
      <x:c r="A128" s="3" t="str">
        <x:v>D</x:v>
      </x:c>
      <x:c r="B128" s="3" t="str">
        <x:v>STEP-D-08</x:v>
      </x:c>
      <x:c r="C128" s="3" t="str">
        <x:v>Register the deadlines</x:v>
      </x:c>
      <x:c r="D128" s="3" t="str">
        <x:v>D3</x:v>
      </x:c>
      <x:c r="E128" s="3" t="str">
        <x:v>BK-33</x:v>
      </x:c>
      <x:c r="F128" s="3" t="str">
        <x:v>partial</x:v>
      </x:c>
      <x:c r="G128" s="3" t="str">
        <x:v>BK-33-AC1</x:v>
      </x:c>
      <x:c r="H128" s="3" t="str">
        <x:v>The matter cover shows persisted client, title, posture, stage, touched time and deadline-assessment state without substituting implementation IDs or unassessed values with invented facts</x:v>
      </x:c>
      <x:c r="I128" s="3" t="str">
        <x:v>integration_test, browser_journey</x:v>
      </x:c>
      <x:c r="J128" s="3" t="str">
        <x:v>NOT_RUN</x:v>
      </x:c>
      <x:c r="K128" s="3" t="str">
        <x:v>W2</x:v>
      </x:c>
      <x:c r="L128" s="3" t="str">
        <x:v>docs/BACKLOG.md#bk-33-recognisable-matter-cover-truthful-board-and-real-reopen</x:v>
      </x:c>
    </x:row>
    <x:row r="129" ht="40" customHeight="1">
      <x:c r="A129" s="14" t="str">
        <x:v>D</x:v>
      </x:c>
      <x:c r="B129" s="14" t="str">
        <x:v>STEP-D-08</x:v>
      </x:c>
      <x:c r="C129" s="14" t="str">
        <x:v>Register the deadlines</x:v>
      </x:c>
      <x:c r="D129" s="14" t="str">
        <x:v>D3</x:v>
      </x:c>
      <x:c r="E129" s="14" t="str">
        <x:v>BK-33</x:v>
      </x:c>
      <x:c r="F129" s="14" t="str">
        <x:v>partial</x:v>
      </x:c>
      <x:c r="G129" s="14" t="str">
        <x:v>BK-33-AC2</x:v>
      </x:c>
      <x:c r="H129" s="14" t="str">
        <x:v>Re-entry restores the selected matter summary, served conversation and next action from the authoritative file without cross-matter state leakage</x:v>
      </x:c>
      <x:c r="I129" s="14" t="str">
        <x:v>integration_test, browser_journey</x:v>
      </x:c>
      <x:c r="J129" s="14" t="str">
        <x:v>NOT_RUN</x:v>
      </x:c>
      <x:c r="K129" s="14" t="str">
        <x:v>W2</x:v>
      </x:c>
      <x:c r="L129" s="14" t="str">
        <x:v>docs/BACKLOG.md#bk-33-recognisable-matter-cover-truthful-board-and-real-reopen</x:v>
      </x:c>
    </x:row>
    <x:row r="130" ht="40" customHeight="1">
      <x:c r="A130" s="3" t="str">
        <x:v>D</x:v>
      </x:c>
      <x:c r="B130" s="3" t="str">
        <x:v>STEP-D-08</x:v>
      </x:c>
      <x:c r="C130" s="3" t="str">
        <x:v>Register the deadlines</x:v>
      </x:c>
      <x:c r="D130" s="3" t="str">
        <x:v>D3</x:v>
      </x:c>
      <x:c r="E130" s="3" t="str">
        <x:v>BK-65</x:v>
      </x:c>
      <x:c r="F130" s="3" t="str">
        <x:v>none</x:v>
      </x:c>
      <x:c r="G130" s="3" t="str">
        <x:v>BK-65-AC1</x:v>
      </x:c>
      <x:c r="H130" s="3" t="str">
        <x:v>changing a material predicate invalidates every dependent conclusion and no unrelated conclusion, while preserving the prior state and reason for change</x:v>
      </x:c>
      <x:c r="I130" s="3" t="str">
        <x:v>domain_test, integration_test, adversarial_test</x:v>
      </x:c>
      <x:c r="J130" s="3" t="str">
        <x:v>NOT_RUN</x:v>
      </x:c>
      <x:c r="K130" s="3" t="str">
        <x:v>W3</x:v>
      </x:c>
      <x:c r="L130" s="3" t="str">
        <x:v>docs/BACKLOG.md#bk-65-legal-dependency-graph-and-selective-invalidation</x:v>
      </x:c>
    </x:row>
    <x:row r="131" ht="55" customHeight="1">
      <x:c r="A131" s="14" t="str">
        <x:v>D</x:v>
      </x:c>
      <x:c r="B131" s="14" t="str">
        <x:v>STEP-D-08</x:v>
      </x:c>
      <x:c r="C131" s="14" t="str">
        <x:v>Register the deadlines</x:v>
      </x:c>
      <x:c r="D131" s="14" t="str">
        <x:v>D3</x:v>
      </x:c>
      <x:c r="E131" s="14" t="str">
        <x:v>BK-65</x:v>
      </x:c>
      <x:c r="F131" s="14" t="str">
        <x:v>none</x:v>
      </x:c>
      <x:c r="G131" s="14" t="str">
        <x:v>BK-65-AC2</x:v>
      </x:c>
      <x:c r="H131" s="14" t="str">
        <x:v>governing legal premises are separately attributed and reviewable before dependent computations; correct arithmetic cannot establish applicable law, accrual or jurisdiction and changing a premise invalidates its results</x:v>
      </x:c>
      <x:c r="I131" s="14" t="str">
        <x:v>domain_test, model_eval, counsel_review</x:v>
      </x:c>
      <x:c r="J131" s="14" t="str">
        <x:v>NOT_RUN</x:v>
      </x:c>
      <x:c r="K131" s="14" t="str">
        <x:v>W3</x:v>
      </x:c>
      <x:c r="L131" s="14" t="str">
        <x:v>docs/BACKLOG.md#bk-65-legal-dependency-graph-and-selective-invalidation</x:v>
      </x:c>
    </x:row>
    <x:row r="132" ht="55" customHeight="1">
      <x:c r="A132" s="3" t="str">
        <x:v>D</x:v>
      </x:c>
      <x:c r="B132" s="3" t="str">
        <x:v>STEP-D-09</x:v>
      </x:c>
      <x:c r="C132" s="3" t="str">
        <x:v>Research the authorities</x:v>
      </x:c>
      <x:c r="D132" s="3" t="str">
        <x:v>D4</x:v>
      </x:c>
      <x:c r="E132" s="3" t="str">
        <x:v>BK-25</x:v>
      </x:c>
      <x:c r="F132" s="3" t="str">
        <x:v>none</x:v>
      </x:c>
      <x:c r="G132" s="3" t="str">
        <x:v>BK-25-AC1</x:v>
      </x:c>
      <x:c r="H132" s="3" t="str">
        <x:v>Authority discovery ranks cases through a version-identified case-level discovery surface and expands their source passages with context, preserving exact identity, contrary material and declared coverage</x:v>
      </x:c>
      <x:c r="I132" s="3" t="str">
        <x:v>integration_test, model_eval, counsel_review</x:v>
      </x:c>
      <x:c r="J132" s="3" t="str">
        <x:v>NOT_RUN</x:v>
      </x:c>
      <x:c r="K132" s="3" t="str">
        <x:v>W3</x:v>
      </x:c>
      <x:c r="L132" s="3" t="str">
        <x:v>docs/BACKLOG.md#bk-25-the-authority-need-finds-a-case-by-scanning-a-million-paragraphs</x:v>
      </x:c>
    </x:row>
    <x:row r="133" ht="40" customHeight="1">
      <x:c r="A133" s="14" t="str">
        <x:v>D</x:v>
      </x:c>
      <x:c r="B133" s="14" t="str">
        <x:v>STEP-D-09</x:v>
      </x:c>
      <x:c r="C133" s="14" t="str">
        <x:v>Research the authorities</x:v>
      </x:c>
      <x:c r="D133" s="14" t="str">
        <x:v>D4</x:v>
      </x:c>
      <x:c r="E133" s="14" t="str">
        <x:v>BK-24</x:v>
      </x:c>
      <x:c r="F133" s="14" t="str">
        <x:v>none</x:v>
      </x:c>
      <x:c r="G133" s="14" t="str">
        <x:v>BK-24-AC1</x:v>
      </x:c>
      <x:c r="H133" s="14" t="str">
        <x:v>Judgment acquisition selection does not reject recent otherwise eligible decisions merely for low citation count and records source, recency and selection reasons</x:v>
      </x:c>
      <x:c r="I133" s="14" t="str">
        <x:v>integration_test, adversarial_test</x:v>
      </x:c>
      <x:c r="J133" s="14" t="str">
        <x:v>NOT_RUN</x:v>
      </x:c>
      <x:c r="K133" s="14" t="str">
        <x:v>W3</x:v>
      </x:c>
      <x:c r="L133" s="14" t="str">
        <x:v>docs/BACKLOG.md#bk-24-the-citation-filter-excludes-exactly-the-years-the-corpus-needs</x:v>
      </x:c>
    </x:row>
    <x:row r="134" ht="40" customHeight="1">
      <x:c r="A134" s="3" t="str">
        <x:v>D</x:v>
      </x:c>
      <x:c r="B134" s="3" t="str">
        <x:v>STEP-D-09</x:v>
      </x:c>
      <x:c r="C134" s="3" t="str">
        <x:v>Research the authorities</x:v>
      </x:c>
      <x:c r="D134" s="3" t="str">
        <x:v>D4</x:v>
      </x:c>
      <x:c r="E134" s="3" t="str">
        <x:v>BK-38</x:v>
      </x:c>
      <x:c r="F134" s="3" t="str">
        <x:v>partial</x:v>
      </x:c>
      <x:c r="G134" s="3" t="str">
        <x:v>BK-38-AC1</x:v>
      </x:c>
      <x:c r="H134" s="3" t="str">
        <x:v>Research supports controlled court and date filters, grouped source inspection, exact citation and deliberate attachment of a verified source and locator to a matter issue</x:v>
      </x:c>
      <x:c r="I134" s="3" t="str">
        <x:v>integration_test, browser_journey</x:v>
      </x:c>
      <x:c r="J134" s="3" t="str">
        <x:v>NOT_RUN</x:v>
      </x:c>
      <x:c r="K134" s="3" t="str">
        <x:v>W2</x:v>
      </x:c>
      <x:c r="L134" s="3" t="str">
        <x:v>docs/BACKLOG.md#bk-38-search-to-authority-to-matter-research-workflow</x:v>
      </x:c>
    </x:row>
    <x:row r="135" ht="40" customHeight="1">
      <x:c r="A135" s="14" t="str">
        <x:v>D</x:v>
      </x:c>
      <x:c r="B135" s="14" t="str">
        <x:v>STEP-D-09</x:v>
      </x:c>
      <x:c r="C135" s="14" t="str">
        <x:v>Research the authorities</x:v>
      </x:c>
      <x:c r="D135" s="14" t="str">
        <x:v>D4</x:v>
      </x:c>
      <x:c r="E135" s="14" t="str">
        <x:v>BK-38</x:v>
      </x:c>
      <x:c r="F135" s="14" t="str">
        <x:v>partial</x:v>
      </x:c>
      <x:c r="G135" s="14" t="str">
        <x:v>BK-38-AC2</x:v>
      </x:c>
      <x:c r="H135" s="14" t="str">
        <x:v>Search distinguishes results, searched-with-no-results, unsupported coverage and unavailable index and reports meaningful limits without confidence percentages derived from rank</x:v>
      </x:c>
      <x:c r="I135" s="14" t="str">
        <x:v>integration_test, browser_journey</x:v>
      </x:c>
      <x:c r="J135" s="14" t="str">
        <x:v>NOT_RUN</x:v>
      </x:c>
      <x:c r="K135" s="14" t="str">
        <x:v>W2</x:v>
      </x:c>
      <x:c r="L135" s="14" t="str">
        <x:v>docs/BACKLOG.md#bk-38-search-to-authority-to-matter-research-workflow</x:v>
      </x:c>
    </x:row>
    <x:row r="136" ht="40" customHeight="1">
      <x:c r="A136" s="3" t="str">
        <x:v>D</x:v>
      </x:c>
      <x:c r="B136" s="3" t="str">
        <x:v>STEP-D-09</x:v>
      </x:c>
      <x:c r="C136" s="3" t="str">
        <x:v>Research the authorities</x:v>
      </x:c>
      <x:c r="D136" s="3" t="str">
        <x:v>D4</x:v>
      </x:c>
      <x:c r="E136" s="3" t="str">
        <x:v>BK-67</x:v>
      </x:c>
      <x:c r="F136" s="3" t="str">
        <x:v>none</x:v>
      </x:c>
      <x:c r="G136" s="3" t="str">
        <x:v>BK-67-AC1</x:v>
      </x:c>
      <x:c r="H136" s="3" t="str">
        <x:v>no counsel-facing feature conforms without current representative-matter review against every applicable advocate standard, with material reservations kept visible</x:v>
      </x:c>
      <x:c r="I136" s="3" t="str">
        <x:v>model_eval, counsel_review</x:v>
      </x:c>
      <x:c r="J136" s="3" t="str">
        <x:v>NOT_RUN</x:v>
      </x:c>
      <x:c r="K136" s="3" t="str">
        <x:v>W3</x:v>
      </x:c>
      <x:c r="L136" s="3" t="str">
        <x:v>docs/BACKLOG.md#bk-67-expert-advocate-evaluation-gate</x:v>
      </x:c>
    </x:row>
    <x:row r="137" ht="55" customHeight="1">
      <x:c r="A137" s="14" t="str">
        <x:v>D</x:v>
      </x:c>
      <x:c r="B137" s="14" t="str">
        <x:v>STEP-D-09</x:v>
      </x:c>
      <x:c r="C137" s="14" t="str">
        <x:v>Research the authorities</x:v>
      </x:c>
      <x:c r="D137" s="14" t="str">
        <x:v>D4</x:v>
      </x:c>
      <x:c r="E137" s="14" t="str">
        <x:v>BK-67</x:v>
      </x:c>
      <x:c r="F137" s="14" t="str">
        <x:v>none</x:v>
      </x:c>
      <x:c r="G137" s="14" t="str">
        <x:v>BK-67-AC2</x:v>
      </x:c>
      <x:c r="H137" s="14" t="str">
        <x:v>the professional gate predeclares representative matter strata, applicable PA standards, qualified reviewers, scored rubric, critical failures and handling of disagreement before evaluation</x:v>
      </x:c>
      <x:c r="I137" s="14" t="str">
        <x:v>model_eval, counsel_review</x:v>
      </x:c>
      <x:c r="J137" s="14" t="str">
        <x:v>NOT_RUN</x:v>
      </x:c>
      <x:c r="K137" s="14" t="str">
        <x:v>W3</x:v>
      </x:c>
      <x:c r="L137" s="14" t="str">
        <x:v>docs/BACKLOG.md#bk-67-expert-advocate-evaluation-gate</x:v>
      </x:c>
    </x:row>
    <x:row r="138" ht="55" customHeight="1">
      <x:c r="A138" s="3" t="str">
        <x:v>D</x:v>
      </x:c>
      <x:c r="B138" s="3" t="str">
        <x:v>STEP-D-09</x:v>
      </x:c>
      <x:c r="C138" s="3" t="str">
        <x:v>Research the authorities</x:v>
      </x:c>
      <x:c r="D138" s="3" t="str">
        <x:v>D4</x:v>
      </x:c>
      <x:c r="E138" s="3" t="str">
        <x:v>BK-67</x:v>
      </x:c>
      <x:c r="F138" s="3" t="str">
        <x:v>none</x:v>
      </x:c>
      <x:c r="G138" s="3" t="str">
        <x:v>BK-67-AC3</x:v>
      </x:c>
      <x:c r="H138" s="3" t="str">
        <x:v>qualified review validates governing legal premises including applicable law, accrual, jurisdiction, binding authority and professional-role restrictions against identified current primary sources; arithmetic is assessed separately conditional on those premises</x:v>
      </x:c>
      <x:c r="I138" s="3" t="str">
        <x:v>model_eval, counsel_review</x:v>
      </x:c>
      <x:c r="J138" s="3" t="str">
        <x:v>NOT_RUN</x:v>
      </x:c>
      <x:c r="K138" s="3" t="str">
        <x:v>W3</x:v>
      </x:c>
      <x:c r="L138" s="3" t="str">
        <x:v>docs/BACKLOG.md#bk-67-expert-advocate-evaluation-gate</x:v>
      </x:c>
    </x:row>
    <x:row r="139" ht="40" customHeight="1">
      <x:c r="A139" s="14" t="str">
        <x:v>D</x:v>
      </x:c>
      <x:c r="B139" s="14" t="str">
        <x:v>STEP-D-09</x:v>
      </x:c>
      <x:c r="C139" s="14" t="str">
        <x:v>Research the authorities</x:v>
      </x:c>
      <x:c r="D139" s="14" t="str">
        <x:v>D4</x:v>
      </x:c>
      <x:c r="E139" s="14" t="str">
        <x:v>BK-67</x:v>
      </x:c>
      <x:c r="F139" s="14" t="str">
        <x:v>none</x:v>
      </x:c>
      <x:c r="G139" s="14" t="str">
        <x:v>BK-67-AC4</x:v>
      </x:c>
      <x:c r="H139" s="14" t="str">
        <x:v>new facts, changed legal premises, corpus or model configuration and material reservations trigger reassessment of affected professional approval on held-out scenarios</x:v>
      </x:c>
      <x:c r="I139" s="14" t="str">
        <x:v>model_eval, counsel_review</x:v>
      </x:c>
      <x:c r="J139" s="14" t="str">
        <x:v>NOT_RUN</x:v>
      </x:c>
      <x:c r="K139" s="14" t="str">
        <x:v>W3</x:v>
      </x:c>
      <x:c r="L139" s="14" t="str">
        <x:v>docs/BACKLOG.md#bk-67-expert-advocate-evaluation-gate</x:v>
      </x:c>
    </x:row>
    <x:row r="140" ht="40" customHeight="1">
      <x:c r="A140" s="3" t="str">
        <x:v>D</x:v>
      </x:c>
      <x:c r="B140" s="3" t="str">
        <x:v>STEP-D-10</x:v>
      </x:c>
      <x:c r="C140" s="3" t="str">
        <x:v>Elements, burden and proof</x:v>
      </x:c>
      <x:c r="D140" s="3" t="str">
        <x:v>D5</x:v>
      </x:c>
      <x:c r="E140" s="3" t="str">
        <x:v>BK-64</x:v>
      </x:c>
      <x:c r="F140" s="3" t="str">
        <x:v>none</x:v>
      </x:c>
      <x:c r="G140" s="3" t="str">
        <x:v>BK-64-AC1</x:v>
      </x:c>
      <x:c r="H140" s="3" t="str">
        <x:v>every material conclusion traces to a typed proposition and source locator, while contradiction, extraction confidence and confirmation state remain visible</x:v>
      </x:c>
      <x:c r="I140" s="3" t="str">
        <x:v>domain_test, integration_test, adversarial_test</x:v>
      </x:c>
      <x:c r="J140" s="3" t="str">
        <x:v>NOT_RUN</x:v>
      </x:c>
      <x:c r="K140" s="3" t="str">
        <x:v>W2</x:v>
      </x:c>
      <x:c r="L140" s="3" t="str">
        <x:v>docs/BACKLOG.md#bk-64-typed-proposition-and-evidence-model</x:v>
      </x:c>
    </x:row>
    <x:row r="141" ht="40" customHeight="1">
      <x:c r="A141" s="14" t="str">
        <x:v>D</x:v>
      </x:c>
      <x:c r="B141" s="14" t="str">
        <x:v>STEP-D-10</x:v>
      </x:c>
      <x:c r="C141" s="14" t="str">
        <x:v>Elements, burden and proof</x:v>
      </x:c>
      <x:c r="D141" s="14" t="str">
        <x:v>D5</x:v>
      </x:c>
      <x:c r="E141" s="14" t="str">
        <x:v>BK-65</x:v>
      </x:c>
      <x:c r="F141" s="14" t="str">
        <x:v>none</x:v>
      </x:c>
      <x:c r="G141" s="14" t="str">
        <x:v>BK-65-AC1</x:v>
      </x:c>
      <x:c r="H141" s="14" t="str">
        <x:v>changing a material predicate invalidates every dependent conclusion and no unrelated conclusion, while preserving the prior state and reason for change</x:v>
      </x:c>
      <x:c r="I141" s="14" t="str">
        <x:v>domain_test, integration_test, adversarial_test</x:v>
      </x:c>
      <x:c r="J141" s="14" t="str">
        <x:v>NOT_RUN</x:v>
      </x:c>
      <x:c r="K141" s="14" t="str">
        <x:v>W3</x:v>
      </x:c>
      <x:c r="L141" s="14" t="str">
        <x:v>docs/BACKLOG.md#bk-65-legal-dependency-graph-and-selective-invalidation</x:v>
      </x:c>
    </x:row>
    <x:row r="142" ht="55" customHeight="1">
      <x:c r="A142" s="3" t="str">
        <x:v>D</x:v>
      </x:c>
      <x:c r="B142" s="3" t="str">
        <x:v>STEP-D-10</x:v>
      </x:c>
      <x:c r="C142" s="3" t="str">
        <x:v>Elements, burden and proof</x:v>
      </x:c>
      <x:c r="D142" s="3" t="str">
        <x:v>D5</x:v>
      </x:c>
      <x:c r="E142" s="3" t="str">
        <x:v>BK-65</x:v>
      </x:c>
      <x:c r="F142" s="3" t="str">
        <x:v>none</x:v>
      </x:c>
      <x:c r="G142" s="3" t="str">
        <x:v>BK-65-AC2</x:v>
      </x:c>
      <x:c r="H142" s="3" t="str">
        <x:v>governing legal premises are separately attributed and reviewable before dependent computations; correct arithmetic cannot establish applicable law, accrual or jurisdiction and changing a premise invalidates its results</x:v>
      </x:c>
      <x:c r="I142" s="3" t="str">
        <x:v>domain_test, model_eval, counsel_review</x:v>
      </x:c>
      <x:c r="J142" s="3" t="str">
        <x:v>NOT_RUN</x:v>
      </x:c>
      <x:c r="K142" s="3" t="str">
        <x:v>W3</x:v>
      </x:c>
      <x:c r="L142" s="3" t="str">
        <x:v>docs/BACKLOG.md#bk-65-legal-dependency-graph-and-selective-invalidation</x:v>
      </x:c>
    </x:row>
    <x:row r="143" ht="40" customHeight="1">
      <x:c r="A143" s="14" t="str">
        <x:v>D</x:v>
      </x:c>
      <x:c r="B143" s="14" t="str">
        <x:v>STEP-D-10</x:v>
      </x:c>
      <x:c r="C143" s="14" t="str">
        <x:v>Elements, burden and proof</x:v>
      </x:c>
      <x:c r="D143" s="14" t="str">
        <x:v>D5</x:v>
      </x:c>
      <x:c r="E143" s="14" t="str">
        <x:v>BK-67</x:v>
      </x:c>
      <x:c r="F143" s="14" t="str">
        <x:v>none</x:v>
      </x:c>
      <x:c r="G143" s="14" t="str">
        <x:v>BK-67-AC1</x:v>
      </x:c>
      <x:c r="H143" s="14" t="str">
        <x:v>no counsel-facing feature conforms without current representative-matter review against every applicable advocate standard, with material reservations kept visible</x:v>
      </x:c>
      <x:c r="I143" s="14" t="str">
        <x:v>model_eval, counsel_review</x:v>
      </x:c>
      <x:c r="J143" s="14" t="str">
        <x:v>NOT_RUN</x:v>
      </x:c>
      <x:c r="K143" s="14" t="str">
        <x:v>W3</x:v>
      </x:c>
      <x:c r="L143" s="14" t="str">
        <x:v>docs/BACKLOG.md#bk-67-expert-advocate-evaluation-gate</x:v>
      </x:c>
    </x:row>
    <x:row r="144" ht="55" customHeight="1">
      <x:c r="A144" s="3" t="str">
        <x:v>D</x:v>
      </x:c>
      <x:c r="B144" s="3" t="str">
        <x:v>STEP-D-10</x:v>
      </x:c>
      <x:c r="C144" s="3" t="str">
        <x:v>Elements, burden and proof</x:v>
      </x:c>
      <x:c r="D144" s="3" t="str">
        <x:v>D5</x:v>
      </x:c>
      <x:c r="E144" s="3" t="str">
        <x:v>BK-67</x:v>
      </x:c>
      <x:c r="F144" s="3" t="str">
        <x:v>none</x:v>
      </x:c>
      <x:c r="G144" s="3" t="str">
        <x:v>BK-67-AC2</x:v>
      </x:c>
      <x:c r="H144" s="3" t="str">
        <x:v>the professional gate predeclares representative matter strata, applicable PA standards, qualified reviewers, scored rubric, critical failures and handling of disagreement before evaluation</x:v>
      </x:c>
      <x:c r="I144" s="3" t="str">
        <x:v>model_eval, counsel_review</x:v>
      </x:c>
      <x:c r="J144" s="3" t="str">
        <x:v>NOT_RUN</x:v>
      </x:c>
      <x:c r="K144" s="3" t="str">
        <x:v>W3</x:v>
      </x:c>
      <x:c r="L144" s="3" t="str">
        <x:v>docs/BACKLOG.md#bk-67-expert-advocate-evaluation-gate</x:v>
      </x:c>
    </x:row>
    <x:row r="145" ht="55" customHeight="1">
      <x:c r="A145" s="14" t="str">
        <x:v>D</x:v>
      </x:c>
      <x:c r="B145" s="14" t="str">
        <x:v>STEP-D-10</x:v>
      </x:c>
      <x:c r="C145" s="14" t="str">
        <x:v>Elements, burden and proof</x:v>
      </x:c>
      <x:c r="D145" s="14" t="str">
        <x:v>D5</x:v>
      </x:c>
      <x:c r="E145" s="14" t="str">
        <x:v>BK-67</x:v>
      </x:c>
      <x:c r="F145" s="14" t="str">
        <x:v>none</x:v>
      </x:c>
      <x:c r="G145" s="14" t="str">
        <x:v>BK-67-AC3</x:v>
      </x:c>
      <x:c r="H14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5" s="14" t="str">
        <x:v>model_eval, counsel_review</x:v>
      </x:c>
      <x:c r="J145" s="14" t="str">
        <x:v>NOT_RUN</x:v>
      </x:c>
      <x:c r="K145" s="14" t="str">
        <x:v>W3</x:v>
      </x:c>
      <x:c r="L145" s="14" t="str">
        <x:v>docs/BACKLOG.md#bk-67-expert-advocate-evaluation-gate</x:v>
      </x:c>
    </x:row>
    <x:row r="146" ht="40" customHeight="1">
      <x:c r="A146" s="3" t="str">
        <x:v>D</x:v>
      </x:c>
      <x:c r="B146" s="3" t="str">
        <x:v>STEP-D-10</x:v>
      </x:c>
      <x:c r="C146" s="3" t="str">
        <x:v>Elements, burden and proof</x:v>
      </x:c>
      <x:c r="D146" s="3" t="str">
        <x:v>D5</x:v>
      </x:c>
      <x:c r="E146" s="3" t="str">
        <x:v>BK-67</x:v>
      </x:c>
      <x:c r="F146" s="3" t="str">
        <x:v>none</x:v>
      </x:c>
      <x:c r="G146" s="3" t="str">
        <x:v>BK-67-AC4</x:v>
      </x:c>
      <x:c r="H146" s="3" t="str">
        <x:v>new facts, changed legal premises, corpus or model configuration and material reservations trigger reassessment of affected professional approval on held-out scenarios</x:v>
      </x:c>
      <x:c r="I146" s="3" t="str">
        <x:v>model_eval, counsel_review</x:v>
      </x:c>
      <x:c r="J146" s="3" t="str">
        <x:v>NOT_RUN</x:v>
      </x:c>
      <x:c r="K146" s="3" t="str">
        <x:v>W3</x:v>
      </x:c>
      <x:c r="L146" s="3" t="str">
        <x:v>docs/BACKLOG.md#bk-67-expert-advocate-evaluation-gate</x:v>
      </x:c>
    </x:row>
    <x:row r="147" ht="40" customHeight="1">
      <x:c r="A147" s="14" t="str">
        <x:v>D</x:v>
      </x:c>
      <x:c r="B147" s="14" t="str">
        <x:v>STEP-D-11</x:v>
      </x:c>
      <x:c r="C147" s="14" t="str">
        <x:v>Build the case theory</x:v>
      </x:c>
      <x:c r="D147" s="14" t="str">
        <x:v>D6</x:v>
      </x:c>
      <x:c r="E147" s="14" t="str">
        <x:v>BK-65</x:v>
      </x:c>
      <x:c r="F147" s="14" t="str">
        <x:v>none</x:v>
      </x:c>
      <x:c r="G147" s="14" t="str">
        <x:v>BK-65-AC1</x:v>
      </x:c>
      <x:c r="H147" s="14" t="str">
        <x:v>changing a material predicate invalidates every dependent conclusion and no unrelated conclusion, while preserving the prior state and reason for change</x:v>
      </x:c>
      <x:c r="I147" s="14" t="str">
        <x:v>domain_test, integration_test, adversarial_test</x:v>
      </x:c>
      <x:c r="J147" s="14" t="str">
        <x:v>NOT_RUN</x:v>
      </x:c>
      <x:c r="K147" s="14" t="str">
        <x:v>W3</x:v>
      </x:c>
      <x:c r="L147" s="14" t="str">
        <x:v>docs/BACKLOG.md#bk-65-legal-dependency-graph-and-selective-invalidation</x:v>
      </x:c>
    </x:row>
    <x:row r="148" ht="55" customHeight="1">
      <x:c r="A148" s="3" t="str">
        <x:v>D</x:v>
      </x:c>
      <x:c r="B148" s="3" t="str">
        <x:v>STEP-D-11</x:v>
      </x:c>
      <x:c r="C148" s="3" t="str">
        <x:v>Build the case theory</x:v>
      </x:c>
      <x:c r="D148" s="3" t="str">
        <x:v>D6</x:v>
      </x:c>
      <x:c r="E148" s="3" t="str">
        <x:v>BK-65</x:v>
      </x:c>
      <x:c r="F148" s="3" t="str">
        <x:v>none</x:v>
      </x:c>
      <x:c r="G148" s="3" t="str">
        <x:v>BK-65-AC2</x:v>
      </x:c>
      <x:c r="H148" s="3" t="str">
        <x:v>governing legal premises are separately attributed and reviewable before dependent computations; correct arithmetic cannot establish applicable law, accrual or jurisdiction and changing a premise invalidates its results</x:v>
      </x:c>
      <x:c r="I148" s="3" t="str">
        <x:v>domain_test, model_eval, counsel_review</x:v>
      </x:c>
      <x:c r="J148" s="3" t="str">
        <x:v>NOT_RUN</x:v>
      </x:c>
      <x:c r="K148" s="3" t="str">
        <x:v>W3</x:v>
      </x:c>
      <x:c r="L148" s="3" t="str">
        <x:v>docs/BACKLOG.md#bk-65-legal-dependency-graph-and-selective-invalidation</x:v>
      </x:c>
    </x:row>
    <x:row r="149" ht="40" customHeight="1">
      <x:c r="A149" s="14" t="str">
        <x:v>D</x:v>
      </x:c>
      <x:c r="B149" s="14" t="str">
        <x:v>STEP-D-11</x:v>
      </x:c>
      <x:c r="C149" s="14" t="str">
        <x:v>Build the case theory</x:v>
      </x:c>
      <x:c r="D149" s="14" t="str">
        <x:v>D6</x:v>
      </x:c>
      <x:c r="E149" s="14" t="str">
        <x:v>BK-67</x:v>
      </x:c>
      <x:c r="F149" s="14" t="str">
        <x:v>none</x:v>
      </x:c>
      <x:c r="G149" s="14" t="str">
        <x:v>BK-67-AC1</x:v>
      </x:c>
      <x:c r="H149" s="14" t="str">
        <x:v>no counsel-facing feature conforms without current representative-matter review against every applicable advocate standard, with material reservations kept visible</x:v>
      </x:c>
      <x:c r="I149" s="14" t="str">
        <x:v>model_eval, counsel_review</x:v>
      </x:c>
      <x:c r="J149" s="14" t="str">
        <x:v>NOT_RUN</x:v>
      </x:c>
      <x:c r="K149" s="14" t="str">
        <x:v>W3</x:v>
      </x:c>
      <x:c r="L149" s="14" t="str">
        <x:v>docs/BACKLOG.md#bk-67-expert-advocate-evaluation-gate</x:v>
      </x:c>
    </x:row>
    <x:row r="150" ht="55" customHeight="1">
      <x:c r="A150" s="3" t="str">
        <x:v>D</x:v>
      </x:c>
      <x:c r="B150" s="3" t="str">
        <x:v>STEP-D-11</x:v>
      </x:c>
      <x:c r="C150" s="3" t="str">
        <x:v>Build the case theory</x:v>
      </x:c>
      <x:c r="D150" s="3" t="str">
        <x:v>D6</x:v>
      </x:c>
      <x:c r="E150" s="3" t="str">
        <x:v>BK-67</x:v>
      </x:c>
      <x:c r="F150" s="3" t="str">
        <x:v>none</x:v>
      </x:c>
      <x:c r="G150" s="3" t="str">
        <x:v>BK-67-AC2</x:v>
      </x:c>
      <x:c r="H150" s="3" t="str">
        <x:v>the professional gate predeclares representative matter strata, applicable PA standards, qualified reviewers, scored rubric, critical failures and handling of disagreement before evaluation</x:v>
      </x:c>
      <x:c r="I150" s="3" t="str">
        <x:v>model_eval, counsel_review</x:v>
      </x:c>
      <x:c r="J150" s="3" t="str">
        <x:v>NOT_RUN</x:v>
      </x:c>
      <x:c r="K150" s="3" t="str">
        <x:v>W3</x:v>
      </x:c>
      <x:c r="L150" s="3" t="str">
        <x:v>docs/BACKLOG.md#bk-67-expert-advocate-evaluation-gate</x:v>
      </x:c>
    </x:row>
    <x:row r="151" ht="55" customHeight="1">
      <x:c r="A151" s="14" t="str">
        <x:v>D</x:v>
      </x:c>
      <x:c r="B151" s="14" t="str">
        <x:v>STEP-D-11</x:v>
      </x:c>
      <x:c r="C151" s="14" t="str">
        <x:v>Build the case theory</x:v>
      </x:c>
      <x:c r="D151" s="14" t="str">
        <x:v>D6</x:v>
      </x:c>
      <x:c r="E151" s="14" t="str">
        <x:v>BK-67</x:v>
      </x:c>
      <x:c r="F151" s="14" t="str">
        <x:v>none</x:v>
      </x:c>
      <x:c r="G151" s="14" t="str">
        <x:v>BK-67-AC3</x:v>
      </x:c>
      <x:c r="H151"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51" s="14" t="str">
        <x:v>model_eval, counsel_review</x:v>
      </x:c>
      <x:c r="J151" s="14" t="str">
        <x:v>NOT_RUN</x:v>
      </x:c>
      <x:c r="K151" s="14" t="str">
        <x:v>W3</x:v>
      </x:c>
      <x:c r="L151" s="14" t="str">
        <x:v>docs/BACKLOG.md#bk-67-expert-advocate-evaluation-gate</x:v>
      </x:c>
    </x:row>
    <x:row r="152" ht="40" customHeight="1">
      <x:c r="A152" s="3" t="str">
        <x:v>D</x:v>
      </x:c>
      <x:c r="B152" s="3" t="str">
        <x:v>STEP-D-11</x:v>
      </x:c>
      <x:c r="C152" s="3" t="str">
        <x:v>Build the case theory</x:v>
      </x:c>
      <x:c r="D152" s="3" t="str">
        <x:v>D6</x:v>
      </x:c>
      <x:c r="E152" s="3" t="str">
        <x:v>BK-67</x:v>
      </x:c>
      <x:c r="F152" s="3" t="str">
        <x:v>none</x:v>
      </x:c>
      <x:c r="G152" s="3" t="str">
        <x:v>BK-67-AC4</x:v>
      </x:c>
      <x:c r="H152" s="3" t="str">
        <x:v>new facts, changed legal premises, corpus or model configuration and material reservations trigger reassessment of affected professional approval on held-out scenarios</x:v>
      </x:c>
      <x:c r="I152" s="3" t="str">
        <x:v>model_eval, counsel_review</x:v>
      </x:c>
      <x:c r="J152" s="3" t="str">
        <x:v>NOT_RUN</x:v>
      </x:c>
      <x:c r="K152" s="3" t="str">
        <x:v>W3</x:v>
      </x:c>
      <x:c r="L152" s="3" t="str">
        <x:v>docs/BACKLOG.md#bk-67-expert-advocate-evaluation-gate</x:v>
      </x:c>
    </x:row>
    <x:row r="153" ht="40" customHeight="1">
      <x:c r="A153" s="14" t="str">
        <x:v>D</x:v>
      </x:c>
      <x:c r="B153" s="14" t="str">
        <x:v>STEP-D-12</x:v>
      </x:c>
      <x:c r="C153" s="14" t="str">
        <x:v>The adversarial pass</x:v>
      </x:c>
      <x:c r="D153" s="14" t="str">
        <x:v>D7</x:v>
      </x:c>
      <x:c r="E153" s="14" t="str">
        <x:v>J-3</x:v>
      </x:c>
      <x:c r="F153" s="14" t="str">
        <x:v>complete</x:v>
      </x:c>
      <x:c r="G153" s="14" t="str">
        <x:v>No atomic criterion</x:v>
      </x:c>
      <x:c r="H153" s="14" t="str">
        <x:v>No atomic requirement registered</x:v>
      </x:c>
      <x:c r="I153" s="14" t="str"/>
      <x:c r="J153" s="14" t="str">
        <x:v>NOT_PROVEN</x:v>
      </x:c>
      <x:c r="K153" s="14" t="str">
        <x:v>W3</x:v>
      </x:c>
      <x:c r="L153" s="14" t="str">
        <x:v>docs/BACKLOG.md#j-3-the-client-s-best-fact-was-filed-as-adverse-to-him</x:v>
      </x:c>
    </x:row>
    <x:row r="154" ht="40" customHeight="1">
      <x:c r="A154" s="3" t="str">
        <x:v>D</x:v>
      </x:c>
      <x:c r="B154" s="3" t="str">
        <x:v>STEP-D-12</x:v>
      </x:c>
      <x:c r="C154" s="3" t="str">
        <x:v>The adversarial pass</x:v>
      </x:c>
      <x:c r="D154" s="3" t="str">
        <x:v>D7</x:v>
      </x:c>
      <x:c r="E154" s="3" t="str">
        <x:v>BK-67</x:v>
      </x:c>
      <x:c r="F154" s="3" t="str">
        <x:v>none</x:v>
      </x:c>
      <x:c r="G154" s="3" t="str">
        <x:v>BK-67-AC1</x:v>
      </x:c>
      <x:c r="H154" s="3" t="str">
        <x:v>no counsel-facing feature conforms without current representative-matter review against every applicable advocate standard, with material reservations kept visible</x:v>
      </x:c>
      <x:c r="I154" s="3" t="str">
        <x:v>model_eval, counsel_review</x:v>
      </x:c>
      <x:c r="J154" s="3" t="str">
        <x:v>NOT_RUN</x:v>
      </x:c>
      <x:c r="K154" s="3" t="str">
        <x:v>W3</x:v>
      </x:c>
      <x:c r="L154" s="3" t="str">
        <x:v>docs/BACKLOG.md#bk-67-expert-advocate-evaluation-gate</x:v>
      </x:c>
    </x:row>
    <x:row r="155" ht="55" customHeight="1">
      <x:c r="A155" s="14" t="str">
        <x:v>D</x:v>
      </x:c>
      <x:c r="B155" s="14" t="str">
        <x:v>STEP-D-12</x:v>
      </x:c>
      <x:c r="C155" s="14" t="str">
        <x:v>The adversarial pass</x:v>
      </x:c>
      <x:c r="D155" s="14" t="str">
        <x:v>D7</x:v>
      </x:c>
      <x:c r="E155" s="14" t="str">
        <x:v>BK-67</x:v>
      </x:c>
      <x:c r="F155" s="14" t="str">
        <x:v>none</x:v>
      </x:c>
      <x:c r="G155" s="14" t="str">
        <x:v>BK-67-AC2</x:v>
      </x:c>
      <x:c r="H155" s="14" t="str">
        <x:v>the professional gate predeclares representative matter strata, applicable PA standards, qualified reviewers, scored rubric, critical failures and handling of disagreement before evaluation</x:v>
      </x:c>
      <x:c r="I155" s="14" t="str">
        <x:v>model_eval, counsel_review</x:v>
      </x:c>
      <x:c r="J155" s="14" t="str">
        <x:v>NOT_RUN</x:v>
      </x:c>
      <x:c r="K155" s="14" t="str">
        <x:v>W3</x:v>
      </x:c>
      <x:c r="L155" s="14" t="str">
        <x:v>docs/BACKLOG.md#bk-67-expert-advocate-evaluation-gate</x:v>
      </x:c>
    </x:row>
    <x:row r="156" ht="55" customHeight="1">
      <x:c r="A156" s="3" t="str">
        <x:v>D</x:v>
      </x:c>
      <x:c r="B156" s="3" t="str">
        <x:v>STEP-D-12</x:v>
      </x:c>
      <x:c r="C156" s="3" t="str">
        <x:v>The adversarial pass</x:v>
      </x:c>
      <x:c r="D156" s="3" t="str">
        <x:v>D7</x:v>
      </x:c>
      <x:c r="E156" s="3" t="str">
        <x:v>BK-67</x:v>
      </x:c>
      <x:c r="F156" s="3" t="str">
        <x:v>none</x:v>
      </x:c>
      <x:c r="G156" s="3" t="str">
        <x:v>BK-67-AC3</x:v>
      </x:c>
      <x:c r="H156" s="3" t="str">
        <x:v>qualified review validates governing legal premises including applicable law, accrual, jurisdiction, binding authority and professional-role restrictions against identified current primary sources; arithmetic is assessed separately conditional on those premises</x:v>
      </x:c>
      <x:c r="I156" s="3" t="str">
        <x:v>model_eval, counsel_review</x:v>
      </x:c>
      <x:c r="J156" s="3" t="str">
        <x:v>NOT_RUN</x:v>
      </x:c>
      <x:c r="K156" s="3" t="str">
        <x:v>W3</x:v>
      </x:c>
      <x:c r="L156" s="3" t="str">
        <x:v>docs/BACKLOG.md#bk-67-expert-advocate-evaluation-gate</x:v>
      </x:c>
    </x:row>
    <x:row r="157" ht="40" customHeight="1">
      <x:c r="A157" s="14" t="str">
        <x:v>D</x:v>
      </x:c>
      <x:c r="B157" s="14" t="str">
        <x:v>STEP-D-12</x:v>
      </x:c>
      <x:c r="C157" s="14" t="str">
        <x:v>The adversarial pass</x:v>
      </x:c>
      <x:c r="D157" s="14" t="str">
        <x:v>D7</x:v>
      </x:c>
      <x:c r="E157" s="14" t="str">
        <x:v>BK-67</x:v>
      </x:c>
      <x:c r="F157" s="14" t="str">
        <x:v>none</x:v>
      </x:c>
      <x:c r="G157" s="14" t="str">
        <x:v>BK-67-AC4</x:v>
      </x:c>
      <x:c r="H157" s="14" t="str">
        <x:v>new facts, changed legal premises, corpus or model configuration and material reservations trigger reassessment of affected professional approval on held-out scenarios</x:v>
      </x:c>
      <x:c r="I157" s="14" t="str">
        <x:v>model_eval, counsel_review</x:v>
      </x:c>
      <x:c r="J157" s="14" t="str">
        <x:v>NOT_RUN</x:v>
      </x:c>
      <x:c r="K157" s="14" t="str">
        <x:v>W3</x:v>
      </x:c>
      <x:c r="L157" s="14" t="str">
        <x:v>docs/BACKLOG.md#bk-67-expert-advocate-evaluation-gate</x:v>
      </x:c>
    </x:row>
    <x:row r="158" ht="40" customHeight="1">
      <x:c r="A158" s="3" t="str">
        <x:v>D</x:v>
      </x:c>
      <x:c r="B158" s="3" t="str">
        <x:v>STEP-D-13</x:v>
      </x:c>
      <x:c r="C158" s="3" t="str">
        <x:v>Salvage the weak case</x:v>
      </x:c>
      <x:c r="D158" s="3" t="str">
        <x:v>D8</x:v>
      </x:c>
      <x:c r="E158" s="3" t="str">
        <x:v>BK-65</x:v>
      </x:c>
      <x:c r="F158" s="3" t="str">
        <x:v>none</x:v>
      </x:c>
      <x:c r="G158" s="3" t="str">
        <x:v>BK-65-AC1</x:v>
      </x:c>
      <x:c r="H158" s="3" t="str">
        <x:v>changing a material predicate invalidates every dependent conclusion and no unrelated conclusion, while preserving the prior state and reason for change</x:v>
      </x:c>
      <x:c r="I158" s="3" t="str">
        <x:v>domain_test, integration_test, adversarial_test</x:v>
      </x:c>
      <x:c r="J158" s="3" t="str">
        <x:v>NOT_RUN</x:v>
      </x:c>
      <x:c r="K158" s="3" t="str">
        <x:v>W3</x:v>
      </x:c>
      <x:c r="L158" s="3" t="str">
        <x:v>docs/BACKLOG.md#bk-65-legal-dependency-graph-and-selective-invalidation</x:v>
      </x:c>
    </x:row>
    <x:row r="159" ht="55" customHeight="1">
      <x:c r="A159" s="14" t="str">
        <x:v>D</x:v>
      </x:c>
      <x:c r="B159" s="14" t="str">
        <x:v>STEP-D-13</x:v>
      </x:c>
      <x:c r="C159" s="14" t="str">
        <x:v>Salvage the weak case</x:v>
      </x:c>
      <x:c r="D159" s="14" t="str">
        <x:v>D8</x:v>
      </x:c>
      <x:c r="E159" s="14" t="str">
        <x:v>BK-65</x:v>
      </x:c>
      <x:c r="F159" s="14" t="str">
        <x:v>none</x:v>
      </x:c>
      <x:c r="G159" s="14" t="str">
        <x:v>BK-65-AC2</x:v>
      </x:c>
      <x:c r="H159" s="14" t="str">
        <x:v>governing legal premises are separately attributed and reviewable before dependent computations; correct arithmetic cannot establish applicable law, accrual or jurisdiction and changing a premise invalidates its results</x:v>
      </x:c>
      <x:c r="I159" s="14" t="str">
        <x:v>domain_test, model_eval, counsel_review</x:v>
      </x:c>
      <x:c r="J159" s="14" t="str">
        <x:v>NOT_RUN</x:v>
      </x:c>
      <x:c r="K159" s="14" t="str">
        <x:v>W3</x:v>
      </x:c>
      <x:c r="L159" s="14" t="str">
        <x:v>docs/BACKLOG.md#bk-65-legal-dependency-graph-and-selective-invalidation</x:v>
      </x:c>
    </x:row>
    <x:row r="160" ht="40" customHeight="1">
      <x:c r="A160" s="3" t="str">
        <x:v>D</x:v>
      </x:c>
      <x:c r="B160" s="3" t="str">
        <x:v>STEP-D-13</x:v>
      </x:c>
      <x:c r="C160" s="3" t="str">
        <x:v>Salvage the weak case</x:v>
      </x:c>
      <x:c r="D160" s="3" t="str">
        <x:v>D8</x:v>
      </x:c>
      <x:c r="E160" s="3" t="str">
        <x:v>BK-67</x:v>
      </x:c>
      <x:c r="F160" s="3" t="str">
        <x:v>none</x:v>
      </x:c>
      <x:c r="G160" s="3" t="str">
        <x:v>BK-67-AC1</x:v>
      </x:c>
      <x:c r="H160" s="3" t="str">
        <x:v>no counsel-facing feature conforms without current representative-matter review against every applicable advocate standard, with material reservations kept visible</x:v>
      </x:c>
      <x:c r="I160" s="3" t="str">
        <x:v>model_eval, counsel_review</x:v>
      </x:c>
      <x:c r="J160" s="3" t="str">
        <x:v>NOT_RUN</x:v>
      </x:c>
      <x:c r="K160" s="3" t="str">
        <x:v>W3</x:v>
      </x:c>
      <x:c r="L160" s="3" t="str">
        <x:v>docs/BACKLOG.md#bk-67-expert-advocate-evaluation-gate</x:v>
      </x:c>
    </x:row>
    <x:row r="161" ht="55" customHeight="1">
      <x:c r="A161" s="14" t="str">
        <x:v>D</x:v>
      </x:c>
      <x:c r="B161" s="14" t="str">
        <x:v>STEP-D-13</x:v>
      </x:c>
      <x:c r="C161" s="14" t="str">
        <x:v>Salvage the weak case</x:v>
      </x:c>
      <x:c r="D161" s="14" t="str">
        <x:v>D8</x:v>
      </x:c>
      <x:c r="E161" s="14" t="str">
        <x:v>BK-67</x:v>
      </x:c>
      <x:c r="F161" s="14" t="str">
        <x:v>none</x:v>
      </x:c>
      <x:c r="G161" s="14" t="str">
        <x:v>BK-67-AC2</x:v>
      </x:c>
      <x:c r="H161" s="14" t="str">
        <x:v>the professional gate predeclares representative matter strata, applicable PA standards, qualified reviewers, scored rubric, critical failures and handling of disagreement before evaluation</x:v>
      </x:c>
      <x:c r="I161" s="14" t="str">
        <x:v>model_eval, counsel_review</x:v>
      </x:c>
      <x:c r="J161" s="14" t="str">
        <x:v>NOT_RUN</x:v>
      </x:c>
      <x:c r="K161" s="14" t="str">
        <x:v>W3</x:v>
      </x:c>
      <x:c r="L161" s="14" t="str">
        <x:v>docs/BACKLOG.md#bk-67-expert-advocate-evaluation-gate</x:v>
      </x:c>
    </x:row>
    <x:row r="162" ht="55" customHeight="1">
      <x:c r="A162" s="3" t="str">
        <x:v>D</x:v>
      </x:c>
      <x:c r="B162" s="3" t="str">
        <x:v>STEP-D-13</x:v>
      </x:c>
      <x:c r="C162" s="3" t="str">
        <x:v>Salvage the weak case</x:v>
      </x:c>
      <x:c r="D162" s="3" t="str">
        <x:v>D8</x:v>
      </x:c>
      <x:c r="E162" s="3" t="str">
        <x:v>BK-67</x:v>
      </x:c>
      <x:c r="F162" s="3" t="str">
        <x:v>none</x:v>
      </x:c>
      <x:c r="G162" s="3" t="str">
        <x:v>BK-67-AC3</x:v>
      </x:c>
      <x:c r="H162" s="3" t="str">
        <x:v>qualified review validates governing legal premises including applicable law, accrual, jurisdiction, binding authority and professional-role restrictions against identified current primary sources; arithmetic is assessed separately conditional on those premises</x:v>
      </x:c>
      <x:c r="I162" s="3" t="str">
        <x:v>model_eval, counsel_review</x:v>
      </x:c>
      <x:c r="J162" s="3" t="str">
        <x:v>NOT_RUN</x:v>
      </x:c>
      <x:c r="K162" s="3" t="str">
        <x:v>W3</x:v>
      </x:c>
      <x:c r="L162" s="3" t="str">
        <x:v>docs/BACKLOG.md#bk-67-expert-advocate-evaluation-gate</x:v>
      </x:c>
    </x:row>
    <x:row r="163" ht="40" customHeight="1">
      <x:c r="A163" s="14" t="str">
        <x:v>D</x:v>
      </x:c>
      <x:c r="B163" s="14" t="str">
        <x:v>STEP-D-13</x:v>
      </x:c>
      <x:c r="C163" s="14" t="str">
        <x:v>Salvage the weak case</x:v>
      </x:c>
      <x:c r="D163" s="14" t="str">
        <x:v>D8</x:v>
      </x:c>
      <x:c r="E163" s="14" t="str">
        <x:v>BK-67</x:v>
      </x:c>
      <x:c r="F163" s="14" t="str">
        <x:v>none</x:v>
      </x:c>
      <x:c r="G163" s="14" t="str">
        <x:v>BK-67-AC4</x:v>
      </x:c>
      <x:c r="H163" s="14" t="str">
        <x:v>new facts, changed legal premises, corpus or model configuration and material reservations trigger reassessment of affected professional approval on held-out scenarios</x:v>
      </x:c>
      <x:c r="I163" s="14" t="str">
        <x:v>model_eval, counsel_review</x:v>
      </x:c>
      <x:c r="J163" s="14" t="str">
        <x:v>NOT_RUN</x:v>
      </x:c>
      <x:c r="K163" s="14" t="str">
        <x:v>W3</x:v>
      </x:c>
      <x:c r="L163" s="14" t="str">
        <x:v>docs/BACKLOG.md#bk-67-expert-advocate-evaluation-gate</x:v>
      </x:c>
    </x:row>
    <x:row r="164" ht="40" customHeight="1">
      <x:c r="A164" s="3" t="str">
        <x:v>D</x:v>
      </x:c>
      <x:c r="B164" s="3" t="str">
        <x:v>STEP-D-13</x:v>
      </x:c>
      <x:c r="C164" s="3" t="str">
        <x:v>Salvage the weak case</x:v>
      </x:c>
      <x:c r="D164" s="3" t="str">
        <x:v>D8</x:v>
      </x:c>
      <x:c r="E164" s="3" t="str">
        <x:v>BK-70</x:v>
      </x:c>
      <x:c r="F164" s="3" t="str">
        <x:v>none</x:v>
      </x:c>
      <x:c r="G164" s="3" t="str">
        <x:v>BK-70-AC1</x:v>
      </x:c>
      <x:c r="H164" s="3" t="str">
        <x:v>advice changes when identical merits have unavailable, hollow, late or disproportionate relief and explains the enforceability basis for the recommendation</x:v>
      </x:c>
      <x:c r="I164" s="3" t="str">
        <x:v>domain_test, model_eval, counsel_review</x:v>
      </x:c>
      <x:c r="J164" s="3" t="str">
        <x:v>NOT_RUN</x:v>
      </x:c>
      <x:c r="K164" s="3" t="str">
        <x:v>W3</x:v>
      </x:c>
      <x:c r="L164" s="3" t="str">
        <x:v>docs/BACKLOG.md#bk-70-remedy-and-enforceability-model</x:v>
      </x:c>
    </x:row>
    <x:row r="165" ht="40" customHeight="1">
      <x:c r="A165" s="14" t="str">
        <x:v>D</x:v>
      </x:c>
      <x:c r="B165" s="14" t="str">
        <x:v>STEP-D-14</x:v>
      </x:c>
      <x:c r="C165" s="14" t="str">
        <x:v>Issue facets and disposition</x:v>
      </x:c>
      <x:c r="D165" s="14" t="str">
        <x:v>D9</x:v>
      </x:c>
      <x:c r="E165" s="14" t="str">
        <x:v>BK-64</x:v>
      </x:c>
      <x:c r="F165" s="14" t="str">
        <x:v>none</x:v>
      </x:c>
      <x:c r="G165" s="14" t="str">
        <x:v>BK-64-AC1</x:v>
      </x:c>
      <x:c r="H165" s="14" t="str">
        <x:v>every material conclusion traces to a typed proposition and source locator, while contradiction, extraction confidence and confirmation state remain visible</x:v>
      </x:c>
      <x:c r="I165" s="14" t="str">
        <x:v>domain_test, integration_test, adversarial_test</x:v>
      </x:c>
      <x:c r="J165" s="14" t="str">
        <x:v>NOT_RUN</x:v>
      </x:c>
      <x:c r="K165" s="14" t="str">
        <x:v>W2</x:v>
      </x:c>
      <x:c r="L165" s="14" t="str">
        <x:v>docs/BACKLOG.md#bk-64-typed-proposition-and-evidence-model</x:v>
      </x:c>
    </x:row>
    <x:row r="166" ht="40" customHeight="1">
      <x:c r="A166" s="3" t="str">
        <x:v>D</x:v>
      </x:c>
      <x:c r="B166" s="3" t="str">
        <x:v>STEP-D-14</x:v>
      </x:c>
      <x:c r="C166" s="3" t="str">
        <x:v>Issue facets and disposition</x:v>
      </x:c>
      <x:c r="D166" s="3" t="str">
        <x:v>D9</x:v>
      </x:c>
      <x:c r="E166" s="3" t="str">
        <x:v>BK-65</x:v>
      </x:c>
      <x:c r="F166" s="3" t="str">
        <x:v>none</x:v>
      </x:c>
      <x:c r="G166" s="3" t="str">
        <x:v>BK-65-AC1</x:v>
      </x:c>
      <x:c r="H166" s="3" t="str">
        <x:v>changing a material predicate invalidates every dependent conclusion and no unrelated conclusion, while preserving the prior state and reason for change</x:v>
      </x:c>
      <x:c r="I166" s="3" t="str">
        <x:v>domain_test, integration_test, adversarial_test</x:v>
      </x:c>
      <x:c r="J166" s="3" t="str">
        <x:v>NOT_RUN</x:v>
      </x:c>
      <x:c r="K166" s="3" t="str">
        <x:v>W3</x:v>
      </x:c>
      <x:c r="L166" s="3" t="str">
        <x:v>docs/BACKLOG.md#bk-65-legal-dependency-graph-and-selective-invalidation</x:v>
      </x:c>
    </x:row>
    <x:row r="167" ht="55" customHeight="1">
      <x:c r="A167" s="14" t="str">
        <x:v>D</x:v>
      </x:c>
      <x:c r="B167" s="14" t="str">
        <x:v>STEP-D-14</x:v>
      </x:c>
      <x:c r="C167" s="14" t="str">
        <x:v>Issue facets and disposition</x:v>
      </x:c>
      <x:c r="D167" s="14" t="str">
        <x:v>D9</x:v>
      </x:c>
      <x:c r="E167" s="14" t="str">
        <x:v>BK-65</x:v>
      </x:c>
      <x:c r="F167" s="14" t="str">
        <x:v>none</x:v>
      </x:c>
      <x:c r="G167" s="14" t="str">
        <x:v>BK-65-AC2</x:v>
      </x:c>
      <x:c r="H167" s="14" t="str">
        <x:v>governing legal premises are separately attributed and reviewable before dependent computations; correct arithmetic cannot establish applicable law, accrual or jurisdiction and changing a premise invalidates its results</x:v>
      </x:c>
      <x:c r="I167" s="14" t="str">
        <x:v>domain_test, model_eval, counsel_review</x:v>
      </x:c>
      <x:c r="J167" s="14" t="str">
        <x:v>NOT_RUN</x:v>
      </x:c>
      <x:c r="K167" s="14" t="str">
        <x:v>W3</x:v>
      </x:c>
      <x:c r="L167" s="14" t="str">
        <x:v>docs/BACKLOG.md#bk-65-legal-dependency-graph-and-selective-invalidation</x:v>
      </x:c>
    </x:row>
    <x:row r="168" ht="40" customHeight="1">
      <x:c r="A168" s="3" t="str">
        <x:v>D</x:v>
      </x:c>
      <x:c r="B168" s="3" t="str">
        <x:v>STEP-D-14</x:v>
      </x:c>
      <x:c r="C168" s="3" t="str">
        <x:v>Issue facets and disposition</x:v>
      </x:c>
      <x:c r="D168" s="3" t="str">
        <x:v>D9</x:v>
      </x:c>
      <x:c r="E168" s="3" t="str">
        <x:v>BK-67</x:v>
      </x:c>
      <x:c r="F168" s="3" t="str">
        <x:v>none</x:v>
      </x:c>
      <x:c r="G168" s="3" t="str">
        <x:v>BK-67-AC1</x:v>
      </x:c>
      <x:c r="H168" s="3" t="str">
        <x:v>no counsel-facing feature conforms without current representative-matter review against every applicable advocate standard, with material reservations kept visible</x:v>
      </x:c>
      <x:c r="I168" s="3" t="str">
        <x:v>model_eval, counsel_review</x:v>
      </x:c>
      <x:c r="J168" s="3" t="str">
        <x:v>NOT_RUN</x:v>
      </x:c>
      <x:c r="K168" s="3" t="str">
        <x:v>W3</x:v>
      </x:c>
      <x:c r="L168" s="3" t="str">
        <x:v>docs/BACKLOG.md#bk-67-expert-advocate-evaluation-gate</x:v>
      </x:c>
    </x:row>
    <x:row r="169" ht="55" customHeight="1">
      <x:c r="A169" s="14" t="str">
        <x:v>D</x:v>
      </x:c>
      <x:c r="B169" s="14" t="str">
        <x:v>STEP-D-14</x:v>
      </x:c>
      <x:c r="C169" s="14" t="str">
        <x:v>Issue facets and disposition</x:v>
      </x:c>
      <x:c r="D169" s="14" t="str">
        <x:v>D9</x:v>
      </x:c>
      <x:c r="E169" s="14" t="str">
        <x:v>BK-67</x:v>
      </x:c>
      <x:c r="F169" s="14" t="str">
        <x:v>none</x:v>
      </x:c>
      <x:c r="G169" s="14" t="str">
        <x:v>BK-67-AC2</x:v>
      </x:c>
      <x:c r="H169" s="14" t="str">
        <x:v>the professional gate predeclares representative matter strata, applicable PA standards, qualified reviewers, scored rubric, critical failures and handling of disagreement before evaluation</x:v>
      </x:c>
      <x:c r="I169" s="14" t="str">
        <x:v>model_eval, counsel_review</x:v>
      </x:c>
      <x:c r="J169" s="14" t="str">
        <x:v>NOT_RUN</x:v>
      </x:c>
      <x:c r="K169" s="14" t="str">
        <x:v>W3</x:v>
      </x:c>
      <x:c r="L169" s="14" t="str">
        <x:v>docs/BACKLOG.md#bk-67-expert-advocate-evaluation-gate</x:v>
      </x:c>
    </x:row>
    <x:row r="170" ht="55" customHeight="1">
      <x:c r="A170" s="3" t="str">
        <x:v>D</x:v>
      </x:c>
      <x:c r="B170" s="3" t="str">
        <x:v>STEP-D-14</x:v>
      </x:c>
      <x:c r="C170" s="3" t="str">
        <x:v>Issue facets and disposition</x:v>
      </x:c>
      <x:c r="D170" s="3" t="str">
        <x:v>D9</x:v>
      </x:c>
      <x:c r="E170" s="3" t="str">
        <x:v>BK-67</x:v>
      </x:c>
      <x:c r="F170" s="3" t="str">
        <x:v>none</x:v>
      </x:c>
      <x:c r="G170" s="3" t="str">
        <x:v>BK-67-AC3</x:v>
      </x:c>
      <x:c r="H170" s="3" t="str">
        <x:v>qualified review validates governing legal premises including applicable law, accrual, jurisdiction, binding authority and professional-role restrictions against identified current primary sources; arithmetic is assessed separately conditional on those premises</x:v>
      </x:c>
      <x:c r="I170" s="3" t="str">
        <x:v>model_eval, counsel_review</x:v>
      </x:c>
      <x:c r="J170" s="3" t="str">
        <x:v>NOT_RUN</x:v>
      </x:c>
      <x:c r="K170" s="3" t="str">
        <x:v>W3</x:v>
      </x:c>
      <x:c r="L170" s="3" t="str">
        <x:v>docs/BACKLOG.md#bk-67-expert-advocate-evaluation-gate</x:v>
      </x:c>
    </x:row>
    <x:row r="171" ht="40" customHeight="1">
      <x:c r="A171" s="14" t="str">
        <x:v>D</x:v>
      </x:c>
      <x:c r="B171" s="14" t="str">
        <x:v>STEP-D-14</x:v>
      </x:c>
      <x:c r="C171" s="14" t="str">
        <x:v>Issue facets and disposition</x:v>
      </x:c>
      <x:c r="D171" s="14" t="str">
        <x:v>D9</x:v>
      </x:c>
      <x:c r="E171" s="14" t="str">
        <x:v>BK-67</x:v>
      </x:c>
      <x:c r="F171" s="14" t="str">
        <x:v>none</x:v>
      </x:c>
      <x:c r="G171" s="14" t="str">
        <x:v>BK-67-AC4</x:v>
      </x:c>
      <x:c r="H171" s="14" t="str">
        <x:v>new facts, changed legal premises, corpus or model configuration and material reservations trigger reassessment of affected professional approval on held-out scenarios</x:v>
      </x:c>
      <x:c r="I171" s="14" t="str">
        <x:v>model_eval, counsel_review</x:v>
      </x:c>
      <x:c r="J171" s="14" t="str">
        <x:v>NOT_RUN</x:v>
      </x:c>
      <x:c r="K171" s="14" t="str">
        <x:v>W3</x:v>
      </x:c>
      <x:c r="L171" s="14" t="str">
        <x:v>docs/BACKLOG.md#bk-67-expert-advocate-evaluation-gate</x:v>
      </x:c>
    </x:row>
    <x:row r="172" ht="40" customHeight="1">
      <x:c r="A172" s="3" t="str">
        <x:v>E</x:v>
      </x:c>
      <x:c r="B172" s="3" t="str">
        <x:v>STEP-E-01</x:v>
      </x:c>
      <x:c r="C172" s="3" t="str">
        <x:v>Set out the scenarios and contingencies</x:v>
      </x:c>
      <x:c r="D172" s="3" t="str">
        <x:v>E1</x:v>
      </x:c>
      <x:c r="E172" s="3" t="str">
        <x:v>BK-55</x:v>
      </x:c>
      <x:c r="F172" s="3" t="str">
        <x:v>none</x:v>
      </x:c>
      <x:c r="G172" s="3" t="str">
        <x:v>BK-55-AC1</x:v>
      </x:c>
      <x:c r="H172" s="3" t="str">
        <x:v>advice declares its maturity and compares remedy, enforceability, cost, time, proportionality, strategy, settlement and doing nothing against the client's objective</x:v>
      </x:c>
      <x:c r="I172" s="3" t="str">
        <x:v>model_eval, counsel_review</x:v>
      </x:c>
      <x:c r="J172" s="3" t="str">
        <x:v>NOT_RUN</x:v>
      </x:c>
      <x:c r="K172" s="3" t="str">
        <x:v>W4</x:v>
      </x:c>
      <x:c r="L172" s="3" t="str">
        <x:v>docs/BACKLOG.md#bk-55-phase-e-scenarios-proportionality-the-decision-record-and-candour</x:v>
      </x:c>
    </x:row>
    <x:row r="173" ht="40" customHeight="1">
      <x:c r="A173" s="14" t="str">
        <x:v>E</x:v>
      </x:c>
      <x:c r="B173" s="14" t="str">
        <x:v>STEP-E-01</x:v>
      </x:c>
      <x:c r="C173" s="14" t="str">
        <x:v>Set out the scenarios and contingencies</x:v>
      </x:c>
      <x:c r="D173" s="14" t="str">
        <x:v>E1</x:v>
      </x:c>
      <x:c r="E173" s="14" t="str">
        <x:v>BK-55</x:v>
      </x:c>
      <x:c r="F173" s="14" t="str">
        <x:v>none</x:v>
      </x:c>
      <x:c r="G173" s="14" t="str">
        <x:v>BK-55-AC2</x:v>
      </x:c>
      <x:c r="H173" s="14" t="str">
        <x:v>proportionality compares useful recovery, remedy availability, cost, time and disruption against the client's recorded objective and changes when those constraints materially change</x:v>
      </x:c>
      <x:c r="I173" s="14" t="str">
        <x:v>model_eval, counsel_review</x:v>
      </x:c>
      <x:c r="J173" s="14" t="str">
        <x:v>NOT_RUN</x:v>
      </x:c>
      <x:c r="K173" s="14" t="str">
        <x:v>W4</x:v>
      </x:c>
      <x:c r="L173" s="14" t="str">
        <x:v>docs/BACKLOG.md#bk-55-phase-e-scenarios-proportionality-the-decision-record-and-candour</x:v>
      </x:c>
    </x:row>
    <x:row r="174" ht="55" customHeight="1">
      <x:c r="A174" s="3" t="str">
        <x:v>E</x:v>
      </x:c>
      <x:c r="B174" s="3" t="str">
        <x:v>STEP-E-01</x:v>
      </x:c>
      <x:c r="C174" s="3" t="str">
        <x:v>Set out the scenarios and contingencies</x:v>
      </x:c>
      <x:c r="D174" s="3" t="str">
        <x:v>E1</x:v>
      </x:c>
      <x:c r="E174" s="3" t="str">
        <x:v>BK-55</x:v>
      </x:c>
      <x:c r="F174" s="3" t="str">
        <x:v>none</x:v>
      </x:c>
      <x:c r="G174" s="3" t="str">
        <x:v>BK-55-AC3</x:v>
      </x:c>
      <x:c r="H174" s="3" t="str">
        <x:v>a decision to accept, reject, narrow or defer advice records the authorised actor, advice version, scope, owner and review trigger and never turns a recommendation into action authority</x:v>
      </x:c>
      <x:c r="I174" s="3" t="str">
        <x:v>integration_test, browser_journey, counsel_review</x:v>
      </x:c>
      <x:c r="J174" s="3" t="str">
        <x:v>NOT_RUN</x:v>
      </x:c>
      <x:c r="K174" s="3" t="str">
        <x:v>W4</x:v>
      </x:c>
      <x:c r="L174" s="3" t="str">
        <x:v>docs/BACKLOG.md#bk-55-phase-e-scenarios-proportionality-the-decision-record-and-candour</x:v>
      </x:c>
    </x:row>
    <x:row r="175" ht="40" customHeight="1">
      <x:c r="A175" s="14" t="str">
        <x:v>E</x:v>
      </x:c>
      <x:c r="B175" s="14" t="str">
        <x:v>STEP-E-01</x:v>
      </x:c>
      <x:c r="C175" s="14" t="str">
        <x:v>Set out the scenarios and contingencies</x:v>
      </x:c>
      <x:c r="D175" s="14" t="str">
        <x:v>E1</x:v>
      </x:c>
      <x:c r="E175" s="14" t="str">
        <x:v>BK-55</x:v>
      </x:c>
      <x:c r="F175" s="14" t="str">
        <x:v>none</x:v>
      </x:c>
      <x:c r="G175" s="14" t="str">
        <x:v>BK-55-AC4</x:v>
      </x:c>
      <x:c r="H175" s="14" t="str">
        <x:v>NM states justified disagreement respectfully, identifies material adverse law or evidence and offers only supportable alternatives without coercing the advocate</x:v>
      </x:c>
      <x:c r="I175" s="14" t="str">
        <x:v>model_eval, counsel_review</x:v>
      </x:c>
      <x:c r="J175" s="14" t="str">
        <x:v>NOT_RUN</x:v>
      </x:c>
      <x:c r="K175" s="14" t="str">
        <x:v>W4</x:v>
      </x:c>
      <x:c r="L175" s="14" t="str">
        <x:v>docs/BACKLOG.md#bk-55-phase-e-scenarios-proportionality-the-decision-record-and-candour</x:v>
      </x:c>
    </x:row>
    <x:row r="176" ht="40" customHeight="1">
      <x:c r="A176" s="3" t="str">
        <x:v>E</x:v>
      </x:c>
      <x:c r="B176" s="3" t="str">
        <x:v>STEP-E-01</x:v>
      </x:c>
      <x:c r="C176" s="3" t="str">
        <x:v>Set out the scenarios and contingencies</x:v>
      </x:c>
      <x:c r="D176" s="3" t="str">
        <x:v>E1</x:v>
      </x:c>
      <x:c r="E176" s="3" t="str">
        <x:v>BK-55</x:v>
      </x:c>
      <x:c r="F176" s="3" t="str">
        <x:v>none</x:v>
      </x:c>
      <x:c r="G176" s="3" t="str">
        <x:v>BK-55-AC5</x:v>
      </x:c>
      <x:c r="H176" s="3" t="str">
        <x:v>a corrected premise or withdrawn instruction makes dependent advice and decisions stale and visibly reopens only the work needed for a current recommendation</x:v>
      </x:c>
      <x:c r="I176" s="3" t="str">
        <x:v>integration_test, browser_journey, model_eval</x:v>
      </x:c>
      <x:c r="J176" s="3" t="str">
        <x:v>NOT_RUN</x:v>
      </x:c>
      <x:c r="K176" s="3" t="str">
        <x:v>W4</x:v>
      </x:c>
      <x:c r="L176" s="3" t="str">
        <x:v>docs/BACKLOG.md#bk-55-phase-e-scenarios-proportionality-the-decision-record-and-candour</x:v>
      </x:c>
    </x:row>
    <x:row r="177" ht="40" customHeight="1">
      <x:c r="A177" s="14" t="str">
        <x:v>E</x:v>
      </x:c>
      <x:c r="B177" s="14" t="str">
        <x:v>STEP-E-01</x:v>
      </x:c>
      <x:c r="C177" s="14" t="str">
        <x:v>Set out the scenarios and contingencies</x:v>
      </x:c>
      <x:c r="D177" s="14" t="str">
        <x:v>E1</x:v>
      </x:c>
      <x:c r="E177" s="14" t="str">
        <x:v>BK-70</x:v>
      </x:c>
      <x:c r="F177" s="14" t="str">
        <x:v>none</x:v>
      </x:c>
      <x:c r="G177" s="14" t="str">
        <x:v>BK-70-AC1</x:v>
      </x:c>
      <x:c r="H177" s="14" t="str">
        <x:v>advice changes when identical merits have unavailable, hollow, late or disproportionate relief and explains the enforceability basis for the recommendation</x:v>
      </x:c>
      <x:c r="I177" s="14" t="str">
        <x:v>domain_test, model_eval, counsel_review</x:v>
      </x:c>
      <x:c r="J177" s="14" t="str">
        <x:v>NOT_RUN</x:v>
      </x:c>
      <x:c r="K177" s="14" t="str">
        <x:v>W3</x:v>
      </x:c>
      <x:c r="L177" s="14" t="str">
        <x:v>docs/BACKLOG.md#bk-70-remedy-and-enforceability-model</x:v>
      </x:c>
    </x:row>
    <x:row r="178" ht="40" customHeight="1">
      <x:c r="A178" s="3" t="str">
        <x:v>E</x:v>
      </x:c>
      <x:c r="B178" s="3" t="str">
        <x:v>STEP-E-02</x:v>
      </x:c>
      <x:c r="C178" s="3" t="str">
        <x:v>Give the recommendation</x:v>
      </x:c>
      <x:c r="D178" s="3" t="str">
        <x:v>E2</x:v>
      </x:c>
      <x:c r="E178" s="3" t="str">
        <x:v>BK-37</x:v>
      </x:c>
      <x:c r="F178" s="3" t="str">
        <x:v>partial</x:v>
      </x:c>
      <x:c r="G178" s="3" t="str">
        <x:v>BK-37-AC1</x:v>
      </x:c>
      <x:c r="H178" s="3" t="str">
        <x:v>every counsel-facing answer declares its advice maturity and exposes the conclusion, support, uncertainty and next action appropriate to that level</x:v>
      </x:c>
      <x:c r="I178" s="3" t="str">
        <x:v>model_eval, counsel_review</x:v>
      </x:c>
      <x:c r="J178" s="3" t="str">
        <x:v>NOT_RUN</x:v>
      </x:c>
      <x:c r="K178" s="3" t="str">
        <x:v>W4</x:v>
      </x:c>
      <x:c r="L178" s="3" t="str">
        <x:v>docs/BACKLOG.md#bk-37-senior-counsel-answer-shape-and-plain-language-trust-surface</x:v>
      </x:c>
    </x:row>
    <x:row r="179" ht="40" customHeight="1">
      <x:c r="A179" s="14" t="str">
        <x:v>E</x:v>
      </x:c>
      <x:c r="B179" s="14" t="str">
        <x:v>STEP-E-02</x:v>
      </x:c>
      <x:c r="C179" s="14" t="str">
        <x:v>Give the recommendation</x:v>
      </x:c>
      <x:c r="D179" s="14" t="str">
        <x:v>E2</x:v>
      </x:c>
      <x:c r="E179" s="14" t="str">
        <x:v>J-6</x:v>
      </x:c>
      <x:c r="F179" s="14" t="str">
        <x:v>complete</x:v>
      </x:c>
      <x:c r="G179" s="14" t="str">
        <x:v>No atomic criterion</x:v>
      </x:c>
      <x:c r="H179" s="14" t="str">
        <x:v>No atomic requirement registered</x:v>
      </x:c>
      <x:c r="I179" s="14" t="str"/>
      <x:c r="J179" s="14" t="str">
        <x:v>NOT_PROVEN</x:v>
      </x:c>
      <x:c r="K179" s="14" t="str">
        <x:v>W4</x:v>
      </x:c>
      <x:c r="L179" s="14" t="str">
        <x:v>docs/BACKLOG.md#j-6-thirty-one-elements-and-the-disclosures-have-swallowed-the-advice</x:v>
      </x:c>
    </x:row>
    <x:row r="180" ht="40" customHeight="1">
      <x:c r="A180" s="3" t="str">
        <x:v>E</x:v>
      </x:c>
      <x:c r="B180" s="3" t="str">
        <x:v>STEP-E-02</x:v>
      </x:c>
      <x:c r="C180" s="3" t="str">
        <x:v>Give the recommendation</x:v>
      </x:c>
      <x:c r="D180" s="3" t="str">
        <x:v>E2</x:v>
      </x:c>
      <x:c r="E180" s="3" t="str">
        <x:v>J-5</x:v>
      </x:c>
      <x:c r="F180" s="3" t="str">
        <x:v>partial</x:v>
      </x:c>
      <x:c r="G180" s="3" t="str">
        <x:v>J-5-AC1</x:v>
      </x:c>
      <x:c r="H180" s="3" t="str">
        <x:v>Every advocate-facing renderer uses meaningful labels and excludes internal thread, turn and operation identifiers from ordinary advice and History text</x:v>
      </x:c>
      <x:c r="I180" s="3" t="str">
        <x:v>domain_test, browser_journey</x:v>
      </x:c>
      <x:c r="J180" s="3" t="str">
        <x:v>NOT_RUN</x:v>
      </x:c>
      <x:c r="K180" s="3" t="str">
        <x:v>W4</x:v>
      </x:c>
      <x:c r="L180" s="3" t="str">
        <x:v>docs/BACKLOG.md#j-5-internal-identifiers-reach-the-advocate-past-a-sweep-that-says-they-cannot</x:v>
      </x:c>
    </x:row>
    <x:row r="181" ht="40" customHeight="1">
      <x:c r="A181" s="14" t="str">
        <x:v>E</x:v>
      </x:c>
      <x:c r="B181" s="14" t="str">
        <x:v>STEP-E-02</x:v>
      </x:c>
      <x:c r="C181" s="14" t="str">
        <x:v>Give the recommendation</x:v>
      </x:c>
      <x:c r="D181" s="14" t="str">
        <x:v>E2</x:v>
      </x:c>
      <x:c r="E181" s="14" t="str">
        <x:v>BK-67</x:v>
      </x:c>
      <x:c r="F181" s="14" t="str">
        <x:v>none</x:v>
      </x:c>
      <x:c r="G181" s="14" t="str">
        <x:v>BK-67-AC1</x:v>
      </x:c>
      <x:c r="H181" s="14" t="str">
        <x:v>no counsel-facing feature conforms without current representative-matter review against every applicable advocate standard, with material reservations kept visible</x:v>
      </x:c>
      <x:c r="I181" s="14" t="str">
        <x:v>model_eval, counsel_review</x:v>
      </x:c>
      <x:c r="J181" s="14" t="str">
        <x:v>NOT_RUN</x:v>
      </x:c>
      <x:c r="K181" s="14" t="str">
        <x:v>W3</x:v>
      </x:c>
      <x:c r="L181" s="14" t="str">
        <x:v>docs/BACKLOG.md#bk-67-expert-advocate-evaluation-gate</x:v>
      </x:c>
    </x:row>
    <x:row r="182" ht="55" customHeight="1">
      <x:c r="A182" s="3" t="str">
        <x:v>E</x:v>
      </x:c>
      <x:c r="B182" s="3" t="str">
        <x:v>STEP-E-02</x:v>
      </x:c>
      <x:c r="C182" s="3" t="str">
        <x:v>Give the recommendation</x:v>
      </x:c>
      <x:c r="D182" s="3" t="str">
        <x:v>E2</x:v>
      </x:c>
      <x:c r="E182" s="3" t="str">
        <x:v>BK-67</x:v>
      </x:c>
      <x:c r="F182" s="3" t="str">
        <x:v>none</x:v>
      </x:c>
      <x:c r="G182" s="3" t="str">
        <x:v>BK-67-AC2</x:v>
      </x:c>
      <x:c r="H182" s="3" t="str">
        <x:v>the professional gate predeclares representative matter strata, applicable PA standards, qualified reviewers, scored rubric, critical failures and handling of disagreement before evaluation</x:v>
      </x:c>
      <x:c r="I182" s="3" t="str">
        <x:v>model_eval, counsel_review</x:v>
      </x:c>
      <x:c r="J182" s="3" t="str">
        <x:v>NOT_RUN</x:v>
      </x:c>
      <x:c r="K182" s="3" t="str">
        <x:v>W3</x:v>
      </x:c>
      <x:c r="L182" s="3" t="str">
        <x:v>docs/BACKLOG.md#bk-67-expert-advocate-evaluation-gate</x:v>
      </x:c>
    </x:row>
    <x:row r="183" ht="55" customHeight="1">
      <x:c r="A183" s="14" t="str">
        <x:v>E</x:v>
      </x:c>
      <x:c r="B183" s="14" t="str">
        <x:v>STEP-E-02</x:v>
      </x:c>
      <x:c r="C183" s="14" t="str">
        <x:v>Give the recommendation</x:v>
      </x:c>
      <x:c r="D183" s="14" t="str">
        <x:v>E2</x:v>
      </x:c>
      <x:c r="E183" s="14" t="str">
        <x:v>BK-67</x:v>
      </x:c>
      <x:c r="F183" s="14" t="str">
        <x:v>none</x:v>
      </x:c>
      <x:c r="G183" s="14" t="str">
        <x:v>BK-67-AC3</x:v>
      </x:c>
      <x:c r="H18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83" s="14" t="str">
        <x:v>model_eval, counsel_review</x:v>
      </x:c>
      <x:c r="J183" s="14" t="str">
        <x:v>NOT_RUN</x:v>
      </x:c>
      <x:c r="K183" s="14" t="str">
        <x:v>W3</x:v>
      </x:c>
      <x:c r="L183" s="14" t="str">
        <x:v>docs/BACKLOG.md#bk-67-expert-advocate-evaluation-gate</x:v>
      </x:c>
    </x:row>
    <x:row r="184" ht="40" customHeight="1">
      <x:c r="A184" s="3" t="str">
        <x:v>E</x:v>
      </x:c>
      <x:c r="B184" s="3" t="str">
        <x:v>STEP-E-02</x:v>
      </x:c>
      <x:c r="C184" s="3" t="str">
        <x:v>Give the recommendation</x:v>
      </x:c>
      <x:c r="D184" s="3" t="str">
        <x:v>E2</x:v>
      </x:c>
      <x:c r="E184" s="3" t="str">
        <x:v>BK-67</x:v>
      </x:c>
      <x:c r="F184" s="3" t="str">
        <x:v>none</x:v>
      </x:c>
      <x:c r="G184" s="3" t="str">
        <x:v>BK-67-AC4</x:v>
      </x:c>
      <x:c r="H184" s="3" t="str">
        <x:v>new facts, changed legal premises, corpus or model configuration and material reservations trigger reassessment of affected professional approval on held-out scenarios</x:v>
      </x:c>
      <x:c r="I184" s="3" t="str">
        <x:v>model_eval, counsel_review</x:v>
      </x:c>
      <x:c r="J184" s="3" t="str">
        <x:v>NOT_RUN</x:v>
      </x:c>
      <x:c r="K184" s="3" t="str">
        <x:v>W3</x:v>
      </x:c>
      <x:c r="L184" s="3" t="str">
        <x:v>docs/BACKLOG.md#bk-67-expert-advocate-evaluation-gate</x:v>
      </x:c>
    </x:row>
    <x:row r="185" ht="40" customHeight="1">
      <x:c r="A185" s="14" t="str">
        <x:v>E</x:v>
      </x:c>
      <x:c r="B185" s="14" t="str">
        <x:v>STEP-E-03</x:v>
      </x:c>
      <x:c r="C185" s="14" t="str">
        <x:v>Test it for proportionality</x:v>
      </x:c>
      <x:c r="D185" s="14" t="str">
        <x:v>E3</x:v>
      </x:c>
      <x:c r="E185" s="14" t="str">
        <x:v>BK-55</x:v>
      </x:c>
      <x:c r="F185" s="14" t="str">
        <x:v>none</x:v>
      </x:c>
      <x:c r="G185" s="14" t="str">
        <x:v>BK-55-AC1</x:v>
      </x:c>
      <x:c r="H185" s="14" t="str">
        <x:v>advice declares its maturity and compares remedy, enforceability, cost, time, proportionality, strategy, settlement and doing nothing against the client's objective</x:v>
      </x:c>
      <x:c r="I185" s="14" t="str">
        <x:v>model_eval, counsel_review</x:v>
      </x:c>
      <x:c r="J185" s="14" t="str">
        <x:v>NOT_RUN</x:v>
      </x:c>
      <x:c r="K185" s="14" t="str">
        <x:v>W4</x:v>
      </x:c>
      <x:c r="L185" s="14" t="str">
        <x:v>docs/BACKLOG.md#bk-55-phase-e-scenarios-proportionality-the-decision-record-and-candour</x:v>
      </x:c>
    </x:row>
    <x:row r="186" ht="40" customHeight="1">
      <x:c r="A186" s="3" t="str">
        <x:v>E</x:v>
      </x:c>
      <x:c r="B186" s="3" t="str">
        <x:v>STEP-E-03</x:v>
      </x:c>
      <x:c r="C186" s="3" t="str">
        <x:v>Test it for proportionality</x:v>
      </x:c>
      <x:c r="D186" s="3" t="str">
        <x:v>E3</x:v>
      </x:c>
      <x:c r="E186" s="3" t="str">
        <x:v>BK-55</x:v>
      </x:c>
      <x:c r="F186" s="3" t="str">
        <x:v>none</x:v>
      </x:c>
      <x:c r="G186" s="3" t="str">
        <x:v>BK-55-AC2</x:v>
      </x:c>
      <x:c r="H186" s="3" t="str">
        <x:v>proportionality compares useful recovery, remedy availability, cost, time and disruption against the client's recorded objective and changes when those constraints materially change</x:v>
      </x:c>
      <x:c r="I186" s="3" t="str">
        <x:v>model_eval, counsel_review</x:v>
      </x:c>
      <x:c r="J186" s="3" t="str">
        <x:v>NOT_RUN</x:v>
      </x:c>
      <x:c r="K186" s="3" t="str">
        <x:v>W4</x:v>
      </x:c>
      <x:c r="L186" s="3" t="str">
        <x:v>docs/BACKLOG.md#bk-55-phase-e-scenarios-proportionality-the-decision-record-and-candour</x:v>
      </x:c>
    </x:row>
    <x:row r="187" ht="55" customHeight="1">
      <x:c r="A187" s="14" t="str">
        <x:v>E</x:v>
      </x:c>
      <x:c r="B187" s="14" t="str">
        <x:v>STEP-E-03</x:v>
      </x:c>
      <x:c r="C187" s="14" t="str">
        <x:v>Test it for proportionality</x:v>
      </x:c>
      <x:c r="D187" s="14" t="str">
        <x:v>E3</x:v>
      </x:c>
      <x:c r="E187" s="14" t="str">
        <x:v>BK-55</x:v>
      </x:c>
      <x:c r="F187" s="14" t="str">
        <x:v>none</x:v>
      </x:c>
      <x:c r="G187" s="14" t="str">
        <x:v>BK-55-AC3</x:v>
      </x:c>
      <x:c r="H187" s="14" t="str">
        <x:v>a decision to accept, reject, narrow or defer advice records the authorised actor, advice version, scope, owner and review trigger and never turns a recommendation into action authority</x:v>
      </x:c>
      <x:c r="I187" s="14" t="str">
        <x:v>integration_test, browser_journey, counsel_review</x:v>
      </x:c>
      <x:c r="J187" s="14" t="str">
        <x:v>NOT_RUN</x:v>
      </x:c>
      <x:c r="K187" s="14" t="str">
        <x:v>W4</x:v>
      </x:c>
      <x:c r="L187" s="14" t="str">
        <x:v>docs/BACKLOG.md#bk-55-phase-e-scenarios-proportionality-the-decision-record-and-candour</x:v>
      </x:c>
    </x:row>
    <x:row r="188" ht="40" customHeight="1">
      <x:c r="A188" s="3" t="str">
        <x:v>E</x:v>
      </x:c>
      <x:c r="B188" s="3" t="str">
        <x:v>STEP-E-03</x:v>
      </x:c>
      <x:c r="C188" s="3" t="str">
        <x:v>Test it for proportionality</x:v>
      </x:c>
      <x:c r="D188" s="3" t="str">
        <x:v>E3</x:v>
      </x:c>
      <x:c r="E188" s="3" t="str">
        <x:v>BK-55</x:v>
      </x:c>
      <x:c r="F188" s="3" t="str">
        <x:v>none</x:v>
      </x:c>
      <x:c r="G188" s="3" t="str">
        <x:v>BK-55-AC4</x:v>
      </x:c>
      <x:c r="H188" s="3" t="str">
        <x:v>NM states justified disagreement respectfully, identifies material adverse law or evidence and offers only supportable alternatives without coercing the advocate</x:v>
      </x:c>
      <x:c r="I188" s="3" t="str">
        <x:v>model_eval, counsel_review</x:v>
      </x:c>
      <x:c r="J188" s="3" t="str">
        <x:v>NOT_RUN</x:v>
      </x:c>
      <x:c r="K188" s="3" t="str">
        <x:v>W4</x:v>
      </x:c>
      <x:c r="L188" s="3" t="str">
        <x:v>docs/BACKLOG.md#bk-55-phase-e-scenarios-proportionality-the-decision-record-and-candour</x:v>
      </x:c>
    </x:row>
    <x:row r="189" ht="40" customHeight="1">
      <x:c r="A189" s="14" t="str">
        <x:v>E</x:v>
      </x:c>
      <x:c r="B189" s="14" t="str">
        <x:v>STEP-E-03</x:v>
      </x:c>
      <x:c r="C189" s="14" t="str">
        <x:v>Test it for proportionality</x:v>
      </x:c>
      <x:c r="D189" s="14" t="str">
        <x:v>E3</x:v>
      </x:c>
      <x:c r="E189" s="14" t="str">
        <x:v>BK-55</x:v>
      </x:c>
      <x:c r="F189" s="14" t="str">
        <x:v>none</x:v>
      </x:c>
      <x:c r="G189" s="14" t="str">
        <x:v>BK-55-AC5</x:v>
      </x:c>
      <x:c r="H189" s="14" t="str">
        <x:v>a corrected premise or withdrawn instruction makes dependent advice and decisions stale and visibly reopens only the work needed for a current recommendation</x:v>
      </x:c>
      <x:c r="I189" s="14" t="str">
        <x:v>integration_test, browser_journey, model_eval</x:v>
      </x:c>
      <x:c r="J189" s="14" t="str">
        <x:v>NOT_RUN</x:v>
      </x:c>
      <x:c r="K189" s="14" t="str">
        <x:v>W4</x:v>
      </x:c>
      <x:c r="L189" s="14" t="str">
        <x:v>docs/BACKLOG.md#bk-55-phase-e-scenarios-proportionality-the-decision-record-and-candour</x:v>
      </x:c>
    </x:row>
    <x:row r="190" ht="40" customHeight="1">
      <x:c r="A190" s="3" t="str">
        <x:v>E</x:v>
      </x:c>
      <x:c r="B190" s="3" t="str">
        <x:v>STEP-E-03</x:v>
      </x:c>
      <x:c r="C190" s="3" t="str">
        <x:v>Test it for proportionality</x:v>
      </x:c>
      <x:c r="D190" s="3" t="str">
        <x:v>E3</x:v>
      </x:c>
      <x:c r="E190" s="3" t="str">
        <x:v>BK-70</x:v>
      </x:c>
      <x:c r="F190" s="3" t="str">
        <x:v>none</x:v>
      </x:c>
      <x:c r="G190" s="3" t="str">
        <x:v>BK-70-AC1</x:v>
      </x:c>
      <x:c r="H190" s="3" t="str">
        <x:v>advice changes when identical merits have unavailable, hollow, late or disproportionate relief and explains the enforceability basis for the recommendation</x:v>
      </x:c>
      <x:c r="I190" s="3" t="str">
        <x:v>domain_test, model_eval, counsel_review</x:v>
      </x:c>
      <x:c r="J190" s="3" t="str">
        <x:v>NOT_RUN</x:v>
      </x:c>
      <x:c r="K190" s="3" t="str">
        <x:v>W3</x:v>
      </x:c>
      <x:c r="L190" s="3" t="str">
        <x:v>docs/BACKLOG.md#bk-70-remedy-and-enforceability-model</x:v>
      </x:c>
    </x:row>
    <x:row r="191" ht="40" customHeight="1">
      <x:c r="A191" s="14" t="str">
        <x:v>E</x:v>
      </x:c>
      <x:c r="B191" s="14" t="str">
        <x:v>STEP-E-04</x:v>
      </x:c>
      <x:c r="C191" s="14" t="str">
        <x:v>Record what the advocate decided</x:v>
      </x:c>
      <x:c r="D191" s="14" t="str">
        <x:v>E4</x:v>
      </x:c>
      <x:c r="E191" s="14" t="str">
        <x:v>BK-55</x:v>
      </x:c>
      <x:c r="F191" s="14" t="str">
        <x:v>none</x:v>
      </x:c>
      <x:c r="G191" s="14" t="str">
        <x:v>BK-55-AC1</x:v>
      </x:c>
      <x:c r="H191" s="14" t="str">
        <x:v>advice declares its maturity and compares remedy, enforceability, cost, time, proportionality, strategy, settlement and doing nothing against the client's objective</x:v>
      </x:c>
      <x:c r="I191" s="14" t="str">
        <x:v>model_eval, counsel_review</x:v>
      </x:c>
      <x:c r="J191" s="14" t="str">
        <x:v>NOT_RUN</x:v>
      </x:c>
      <x:c r="K191" s="14" t="str">
        <x:v>W4</x:v>
      </x:c>
      <x:c r="L191" s="14" t="str">
        <x:v>docs/BACKLOG.md#bk-55-phase-e-scenarios-proportionality-the-decision-record-and-candour</x:v>
      </x:c>
    </x:row>
    <x:row r="192" ht="40" customHeight="1">
      <x:c r="A192" s="3" t="str">
        <x:v>E</x:v>
      </x:c>
      <x:c r="B192" s="3" t="str">
        <x:v>STEP-E-04</x:v>
      </x:c>
      <x:c r="C192" s="3" t="str">
        <x:v>Record what the advocate decided</x:v>
      </x:c>
      <x:c r="D192" s="3" t="str">
        <x:v>E4</x:v>
      </x:c>
      <x:c r="E192" s="3" t="str">
        <x:v>BK-55</x:v>
      </x:c>
      <x:c r="F192" s="3" t="str">
        <x:v>none</x:v>
      </x:c>
      <x:c r="G192" s="3" t="str">
        <x:v>BK-55-AC2</x:v>
      </x:c>
      <x:c r="H192" s="3" t="str">
        <x:v>proportionality compares useful recovery, remedy availability, cost, time and disruption against the client's recorded objective and changes when those constraints materially change</x:v>
      </x:c>
      <x:c r="I192" s="3" t="str">
        <x:v>model_eval, counsel_review</x:v>
      </x:c>
      <x:c r="J192" s="3" t="str">
        <x:v>NOT_RUN</x:v>
      </x:c>
      <x:c r="K192" s="3" t="str">
        <x:v>W4</x:v>
      </x:c>
      <x:c r="L192" s="3" t="str">
        <x:v>docs/BACKLOG.md#bk-55-phase-e-scenarios-proportionality-the-decision-record-and-candour</x:v>
      </x:c>
    </x:row>
    <x:row r="193" ht="55" customHeight="1">
      <x:c r="A193" s="14" t="str">
        <x:v>E</x:v>
      </x:c>
      <x:c r="B193" s="14" t="str">
        <x:v>STEP-E-04</x:v>
      </x:c>
      <x:c r="C193" s="14" t="str">
        <x:v>Record what the advocate decided</x:v>
      </x:c>
      <x:c r="D193" s="14" t="str">
        <x:v>E4</x:v>
      </x:c>
      <x:c r="E193" s="14" t="str">
        <x:v>BK-55</x:v>
      </x:c>
      <x:c r="F193" s="14" t="str">
        <x:v>none</x:v>
      </x:c>
      <x:c r="G193" s="14" t="str">
        <x:v>BK-55-AC3</x:v>
      </x:c>
      <x:c r="H193" s="14" t="str">
        <x:v>a decision to accept, reject, narrow or defer advice records the authorised actor, advice version, scope, owner and review trigger and never turns a recommendation into action authority</x:v>
      </x:c>
      <x:c r="I193" s="14" t="str">
        <x:v>integration_test, browser_journey, counsel_review</x:v>
      </x:c>
      <x:c r="J193" s="14" t="str">
        <x:v>NOT_RUN</x:v>
      </x:c>
      <x:c r="K193" s="14" t="str">
        <x:v>W4</x:v>
      </x:c>
      <x:c r="L193" s="14" t="str">
        <x:v>docs/BACKLOG.md#bk-55-phase-e-scenarios-proportionality-the-decision-record-and-candour</x:v>
      </x:c>
    </x:row>
    <x:row r="194" ht="40" customHeight="1">
      <x:c r="A194" s="3" t="str">
        <x:v>E</x:v>
      </x:c>
      <x:c r="B194" s="3" t="str">
        <x:v>STEP-E-04</x:v>
      </x:c>
      <x:c r="C194" s="3" t="str">
        <x:v>Record what the advocate decided</x:v>
      </x:c>
      <x:c r="D194" s="3" t="str">
        <x:v>E4</x:v>
      </x:c>
      <x:c r="E194" s="3" t="str">
        <x:v>BK-55</x:v>
      </x:c>
      <x:c r="F194" s="3" t="str">
        <x:v>none</x:v>
      </x:c>
      <x:c r="G194" s="3" t="str">
        <x:v>BK-55-AC4</x:v>
      </x:c>
      <x:c r="H194" s="3" t="str">
        <x:v>NM states justified disagreement respectfully, identifies material adverse law or evidence and offers only supportable alternatives without coercing the advocate</x:v>
      </x:c>
      <x:c r="I194" s="3" t="str">
        <x:v>model_eval, counsel_review</x:v>
      </x:c>
      <x:c r="J194" s="3" t="str">
        <x:v>NOT_RUN</x:v>
      </x:c>
      <x:c r="K194" s="3" t="str">
        <x:v>W4</x:v>
      </x:c>
      <x:c r="L194" s="3" t="str">
        <x:v>docs/BACKLOG.md#bk-55-phase-e-scenarios-proportionality-the-decision-record-and-candour</x:v>
      </x:c>
    </x:row>
    <x:row r="195" ht="40" customHeight="1">
      <x:c r="A195" s="14" t="str">
        <x:v>E</x:v>
      </x:c>
      <x:c r="B195" s="14" t="str">
        <x:v>STEP-E-04</x:v>
      </x:c>
      <x:c r="C195" s="14" t="str">
        <x:v>Record what the advocate decided</x:v>
      </x:c>
      <x:c r="D195" s="14" t="str">
        <x:v>E4</x:v>
      </x:c>
      <x:c r="E195" s="14" t="str">
        <x:v>BK-55</x:v>
      </x:c>
      <x:c r="F195" s="14" t="str">
        <x:v>none</x:v>
      </x:c>
      <x:c r="G195" s="14" t="str">
        <x:v>BK-55-AC5</x:v>
      </x:c>
      <x:c r="H195" s="14" t="str">
        <x:v>a corrected premise or withdrawn instruction makes dependent advice and decisions stale and visibly reopens only the work needed for a current recommendation</x:v>
      </x:c>
      <x:c r="I195" s="14" t="str">
        <x:v>integration_test, browser_journey, model_eval</x:v>
      </x:c>
      <x:c r="J195" s="14" t="str">
        <x:v>NOT_RUN</x:v>
      </x:c>
      <x:c r="K195" s="14" t="str">
        <x:v>W4</x:v>
      </x:c>
      <x:c r="L195" s="14" t="str">
        <x:v>docs/BACKLOG.md#bk-55-phase-e-scenarios-proportionality-the-decision-record-and-candour</x:v>
      </x:c>
    </x:row>
    <x:row r="196" ht="55" customHeight="1">
      <x:c r="A196" s="3" t="str">
        <x:v>E</x:v>
      </x:c>
      <x:c r="B196" s="3" t="str">
        <x:v>STEP-E-04</x:v>
      </x:c>
      <x:c r="C196" s="3" t="str">
        <x:v>Record what the advocate decided</x:v>
      </x:c>
      <x:c r="D196" s="3" t="str">
        <x:v>E4</x:v>
      </x:c>
      <x:c r="E196" s="3" t="str">
        <x:v>BK-62</x:v>
      </x:c>
      <x:c r="F196" s="3" t="str">
        <x:v>none</x:v>
      </x:c>
      <x:c r="G196" s="3" t="str">
        <x:v>BK-62-AC1</x:v>
      </x:c>
      <x:c r="H196" s="3" t="str">
        <x:v>every substantive task has a versioned commission naming who instructs, who decides, the objective, scope, forum, deadline and required work product and reopens when a material instruction changes</x:v>
      </x:c>
      <x:c r="I196" s="3" t="str">
        <x:v>domain_test, integration_test, counsel_review</x:v>
      </x:c>
      <x:c r="J196" s="3" t="str">
        <x:v>NOT_RUN</x:v>
      </x:c>
      <x:c r="K196" s="3" t="str">
        <x:v>W1</x:v>
      </x:c>
      <x:c r="L196" s="3" t="str">
        <x:v>docs/BACKLOG.md#bk-62-commission-and-task-authority-record</x:v>
      </x:c>
    </x:row>
    <x:row r="197" ht="40" customHeight="1">
      <x:c r="A197" s="14" t="str">
        <x:v>E</x:v>
      </x:c>
      <x:c r="B197" s="14" t="str">
        <x:v>STEP-E-04</x:v>
      </x:c>
      <x:c r="C197" s="14" t="str">
        <x:v>Record what the advocate decided</x:v>
      </x:c>
      <x:c r="D197" s="14" t="str">
        <x:v>E4</x:v>
      </x:c>
      <x:c r="E197" s="14" t="str">
        <x:v>BK-63</x:v>
      </x:c>
      <x:c r="F197" s="14" t="str">
        <x:v>none</x:v>
      </x:c>
      <x:c r="G197" s="14" t="str">
        <x:v>BK-63-AC1</x:v>
      </x:c>
      <x:c r="H197" s="14" t="str">
        <x:v>every material instruction, decision and external action is attributable to an allowed role and authority scope, and unauthorised operations are refused and recorded</x:v>
      </x:c>
      <x:c r="I197" s="14" t="str">
        <x:v>domain_test, integration_test, adversarial_test, counsel_review</x:v>
      </x:c>
      <x:c r="J197" s="14" t="str">
        <x:v>NOT_RUN</x:v>
      </x:c>
      <x:c r="K197" s="14" t="str">
        <x:v>W1</x:v>
      </x:c>
      <x:c r="L197" s="14" t="str">
        <x:v>docs/BACKLOG.md#bk-63-professional-role-and-authority-control</x:v>
      </x:c>
    </x:row>
    <x:row r="198" ht="40" customHeight="1">
      <x:c r="A198" s="3" t="str">
        <x:v>E</x:v>
      </x:c>
      <x:c r="B198" s="3" t="str">
        <x:v>STEP-E-05</x:v>
      </x:c>
      <x:c r="C198" s="3" t="str">
        <x:v>Disagree, and say why</x:v>
      </x:c>
      <x:c r="D198" s="3" t="str">
        <x:v>E5</x:v>
      </x:c>
      <x:c r="E198" s="3" t="str">
        <x:v>BK-55</x:v>
      </x:c>
      <x:c r="F198" s="3" t="str">
        <x:v>none</x:v>
      </x:c>
      <x:c r="G198" s="3" t="str">
        <x:v>BK-55-AC1</x:v>
      </x:c>
      <x:c r="H198" s="3" t="str">
        <x:v>advice declares its maturity and compares remedy, enforceability, cost, time, proportionality, strategy, settlement and doing nothing against the client's objective</x:v>
      </x:c>
      <x:c r="I198" s="3" t="str">
        <x:v>model_eval, counsel_review</x:v>
      </x:c>
      <x:c r="J198" s="3" t="str">
        <x:v>NOT_RUN</x:v>
      </x:c>
      <x:c r="K198" s="3" t="str">
        <x:v>W4</x:v>
      </x:c>
      <x:c r="L198" s="3" t="str">
        <x:v>docs/BACKLOG.md#bk-55-phase-e-scenarios-proportionality-the-decision-record-and-candour</x:v>
      </x:c>
    </x:row>
    <x:row r="199" ht="40" customHeight="1">
      <x:c r="A199" s="14" t="str">
        <x:v>E</x:v>
      </x:c>
      <x:c r="B199" s="14" t="str">
        <x:v>STEP-E-05</x:v>
      </x:c>
      <x:c r="C199" s="14" t="str">
        <x:v>Disagree, and say why</x:v>
      </x:c>
      <x:c r="D199" s="14" t="str">
        <x:v>E5</x:v>
      </x:c>
      <x:c r="E199" s="14" t="str">
        <x:v>BK-55</x:v>
      </x:c>
      <x:c r="F199" s="14" t="str">
        <x:v>none</x:v>
      </x:c>
      <x:c r="G199" s="14" t="str">
        <x:v>BK-55-AC2</x:v>
      </x:c>
      <x:c r="H199" s="14" t="str">
        <x:v>proportionality compares useful recovery, remedy availability, cost, time and disruption against the client's recorded objective and changes when those constraints materially change</x:v>
      </x:c>
      <x:c r="I199" s="14" t="str">
        <x:v>model_eval, counsel_review</x:v>
      </x:c>
      <x:c r="J199" s="14" t="str">
        <x:v>NOT_RUN</x:v>
      </x:c>
      <x:c r="K199" s="14" t="str">
        <x:v>W4</x:v>
      </x:c>
      <x:c r="L199" s="14" t="str">
        <x:v>docs/BACKLOG.md#bk-55-phase-e-scenarios-proportionality-the-decision-record-and-candour</x:v>
      </x:c>
    </x:row>
    <x:row r="200" ht="55" customHeight="1">
      <x:c r="A200" s="3" t="str">
        <x:v>E</x:v>
      </x:c>
      <x:c r="B200" s="3" t="str">
        <x:v>STEP-E-05</x:v>
      </x:c>
      <x:c r="C200" s="3" t="str">
        <x:v>Disagree, and say why</x:v>
      </x:c>
      <x:c r="D200" s="3" t="str">
        <x:v>E5</x:v>
      </x:c>
      <x:c r="E200" s="3" t="str">
        <x:v>BK-55</x:v>
      </x:c>
      <x:c r="F200" s="3" t="str">
        <x:v>none</x:v>
      </x:c>
      <x:c r="G200" s="3" t="str">
        <x:v>BK-55-AC3</x:v>
      </x:c>
      <x:c r="H200" s="3" t="str">
        <x:v>a decision to accept, reject, narrow or defer advice records the authorised actor, advice version, scope, owner and review trigger and never turns a recommendation into action authority</x:v>
      </x:c>
      <x:c r="I200" s="3" t="str">
        <x:v>integration_test, browser_journey, counsel_review</x:v>
      </x:c>
      <x:c r="J200" s="3" t="str">
        <x:v>NOT_RUN</x:v>
      </x:c>
      <x:c r="K200" s="3" t="str">
        <x:v>W4</x:v>
      </x:c>
      <x:c r="L200" s="3" t="str">
        <x:v>docs/BACKLOG.md#bk-55-phase-e-scenarios-proportionality-the-decision-record-and-candour</x:v>
      </x:c>
    </x:row>
    <x:row r="201" ht="40" customHeight="1">
      <x:c r="A201" s="14" t="str">
        <x:v>E</x:v>
      </x:c>
      <x:c r="B201" s="14" t="str">
        <x:v>STEP-E-05</x:v>
      </x:c>
      <x:c r="C201" s="14" t="str">
        <x:v>Disagree, and say why</x:v>
      </x:c>
      <x:c r="D201" s="14" t="str">
        <x:v>E5</x:v>
      </x:c>
      <x:c r="E201" s="14" t="str">
        <x:v>BK-55</x:v>
      </x:c>
      <x:c r="F201" s="14" t="str">
        <x:v>none</x:v>
      </x:c>
      <x:c r="G201" s="14" t="str">
        <x:v>BK-55-AC4</x:v>
      </x:c>
      <x:c r="H201" s="14" t="str">
        <x:v>NM states justified disagreement respectfully, identifies material adverse law or evidence and offers only supportable alternatives without coercing the advocate</x:v>
      </x:c>
      <x:c r="I201" s="14" t="str">
        <x:v>model_eval, counsel_review</x:v>
      </x:c>
      <x:c r="J201" s="14" t="str">
        <x:v>NOT_RUN</x:v>
      </x:c>
      <x:c r="K201" s="14" t="str">
        <x:v>W4</x:v>
      </x:c>
      <x:c r="L201" s="14" t="str">
        <x:v>docs/BACKLOG.md#bk-55-phase-e-scenarios-proportionality-the-decision-record-and-candour</x:v>
      </x:c>
    </x:row>
    <x:row r="202" ht="40" customHeight="1">
      <x:c r="A202" s="3" t="str">
        <x:v>E</x:v>
      </x:c>
      <x:c r="B202" s="3" t="str">
        <x:v>STEP-E-05</x:v>
      </x:c>
      <x:c r="C202" s="3" t="str">
        <x:v>Disagree, and say why</x:v>
      </x:c>
      <x:c r="D202" s="3" t="str">
        <x:v>E5</x:v>
      </x:c>
      <x:c r="E202" s="3" t="str">
        <x:v>BK-55</x:v>
      </x:c>
      <x:c r="F202" s="3" t="str">
        <x:v>none</x:v>
      </x:c>
      <x:c r="G202" s="3" t="str">
        <x:v>BK-55-AC5</x:v>
      </x:c>
      <x:c r="H202" s="3" t="str">
        <x:v>a corrected premise or withdrawn instruction makes dependent advice and decisions stale and visibly reopens only the work needed for a current recommendation</x:v>
      </x:c>
      <x:c r="I202" s="3" t="str">
        <x:v>integration_test, browser_journey, model_eval</x:v>
      </x:c>
      <x:c r="J202" s="3" t="str">
        <x:v>NOT_RUN</x:v>
      </x:c>
      <x:c r="K202" s="3" t="str">
        <x:v>W4</x:v>
      </x:c>
      <x:c r="L202" s="3" t="str">
        <x:v>docs/BACKLOG.md#bk-55-phase-e-scenarios-proportionality-the-decision-record-and-candour</x:v>
      </x:c>
    </x:row>
    <x:row r="203" ht="40" customHeight="1">
      <x:c r="A203" s="14" t="str">
        <x:v>E</x:v>
      </x:c>
      <x:c r="B203" s="14" t="str">
        <x:v>STEP-E-05</x:v>
      </x:c>
      <x:c r="C203" s="14" t="str">
        <x:v>Disagree, and say why</x:v>
      </x:c>
      <x:c r="D203" s="14" t="str">
        <x:v>E5</x:v>
      </x:c>
      <x:c r="E203" s="14" t="str">
        <x:v>BK-63</x:v>
      </x:c>
      <x:c r="F203" s="14" t="str">
        <x:v>none</x:v>
      </x:c>
      <x:c r="G203" s="14" t="str">
        <x:v>BK-63-AC1</x:v>
      </x:c>
      <x:c r="H203" s="14" t="str">
        <x:v>every material instruction, decision and external action is attributable to an allowed role and authority scope, and unauthorised operations are refused and recorded</x:v>
      </x:c>
      <x:c r="I203" s="14" t="str">
        <x:v>domain_test, integration_test, adversarial_test, counsel_review</x:v>
      </x:c>
      <x:c r="J203" s="14" t="str">
        <x:v>NOT_RUN</x:v>
      </x:c>
      <x:c r="K203" s="14" t="str">
        <x:v>W1</x:v>
      </x:c>
      <x:c r="L203" s="14" t="str">
        <x:v>docs/BACKLOG.md#bk-63-professional-role-and-authority-control</x:v>
      </x:c>
    </x:row>
    <x:row r="204" ht="40" customHeight="1">
      <x:c r="A204" s="3" t="str">
        <x:v>E</x:v>
      </x:c>
      <x:c r="B204" s="3" t="str">
        <x:v>STEP-E-05</x:v>
      </x:c>
      <x:c r="C204" s="3" t="str">
        <x:v>Disagree, and say why</x:v>
      </x:c>
      <x:c r="D204" s="3" t="str">
        <x:v>E5</x:v>
      </x:c>
      <x:c r="E204" s="3" t="str">
        <x:v>BK-67</x:v>
      </x:c>
      <x:c r="F204" s="3" t="str">
        <x:v>none</x:v>
      </x:c>
      <x:c r="G204" s="3" t="str">
        <x:v>BK-67-AC1</x:v>
      </x:c>
      <x:c r="H204" s="3" t="str">
        <x:v>no counsel-facing feature conforms without current representative-matter review against every applicable advocate standard, with material reservations kept visible</x:v>
      </x:c>
      <x:c r="I204" s="3" t="str">
        <x:v>model_eval, counsel_review</x:v>
      </x:c>
      <x:c r="J204" s="3" t="str">
        <x:v>NOT_RUN</x:v>
      </x:c>
      <x:c r="K204" s="3" t="str">
        <x:v>W3</x:v>
      </x:c>
      <x:c r="L204" s="3" t="str">
        <x:v>docs/BACKLOG.md#bk-67-expert-advocate-evaluation-gate</x:v>
      </x:c>
    </x:row>
    <x:row r="205" ht="55" customHeight="1">
      <x:c r="A205" s="14" t="str">
        <x:v>E</x:v>
      </x:c>
      <x:c r="B205" s="14" t="str">
        <x:v>STEP-E-05</x:v>
      </x:c>
      <x:c r="C205" s="14" t="str">
        <x:v>Disagree, and say why</x:v>
      </x:c>
      <x:c r="D205" s="14" t="str">
        <x:v>E5</x:v>
      </x:c>
      <x:c r="E205" s="14" t="str">
        <x:v>BK-67</x:v>
      </x:c>
      <x:c r="F205" s="14" t="str">
        <x:v>none</x:v>
      </x:c>
      <x:c r="G205" s="14" t="str">
        <x:v>BK-67-AC2</x:v>
      </x:c>
      <x:c r="H205" s="14" t="str">
        <x:v>the professional gate predeclares representative matter strata, applicable PA standards, qualified reviewers, scored rubric, critical failures and handling of disagreement before evaluation</x:v>
      </x:c>
      <x:c r="I205" s="14" t="str">
        <x:v>model_eval, counsel_review</x:v>
      </x:c>
      <x:c r="J205" s="14" t="str">
        <x:v>NOT_RUN</x:v>
      </x:c>
      <x:c r="K205" s="14" t="str">
        <x:v>W3</x:v>
      </x:c>
      <x:c r="L205" s="14" t="str">
        <x:v>docs/BACKLOG.md#bk-67-expert-advocate-evaluation-gate</x:v>
      </x:c>
    </x:row>
    <x:row r="206" ht="55" customHeight="1">
      <x:c r="A206" s="3" t="str">
        <x:v>E</x:v>
      </x:c>
      <x:c r="B206" s="3" t="str">
        <x:v>STEP-E-05</x:v>
      </x:c>
      <x:c r="C206" s="3" t="str">
        <x:v>Disagree, and say why</x:v>
      </x:c>
      <x:c r="D206" s="3" t="str">
        <x:v>E5</x:v>
      </x:c>
      <x:c r="E206" s="3" t="str">
        <x:v>BK-67</x:v>
      </x:c>
      <x:c r="F206" s="3" t="str">
        <x:v>none</x:v>
      </x:c>
      <x:c r="G206" s="3" t="str">
        <x:v>BK-67-AC3</x:v>
      </x:c>
      <x:c r="H206" s="3" t="str">
        <x:v>qualified review validates governing legal premises including applicable law, accrual, jurisdiction, binding authority and professional-role restrictions against identified current primary sources; arithmetic is assessed separately conditional on those premises</x:v>
      </x:c>
      <x:c r="I206" s="3" t="str">
        <x:v>model_eval, counsel_review</x:v>
      </x:c>
      <x:c r="J206" s="3" t="str">
        <x:v>NOT_RUN</x:v>
      </x:c>
      <x:c r="K206" s="3" t="str">
        <x:v>W3</x:v>
      </x:c>
      <x:c r="L206" s="3" t="str">
        <x:v>docs/BACKLOG.md#bk-67-expert-advocate-evaluation-gate</x:v>
      </x:c>
    </x:row>
    <x:row r="207" ht="40" customHeight="1">
      <x:c r="A207" s="14" t="str">
        <x:v>E</x:v>
      </x:c>
      <x:c r="B207" s="14" t="str">
        <x:v>STEP-E-05</x:v>
      </x:c>
      <x:c r="C207" s="14" t="str">
        <x:v>Disagree, and say why</x:v>
      </x:c>
      <x:c r="D207" s="14" t="str">
        <x:v>E5</x:v>
      </x:c>
      <x:c r="E207" s="14" t="str">
        <x:v>BK-67</x:v>
      </x:c>
      <x:c r="F207" s="14" t="str">
        <x:v>none</x:v>
      </x:c>
      <x:c r="G207" s="14" t="str">
        <x:v>BK-67-AC4</x:v>
      </x:c>
      <x:c r="H207" s="14" t="str">
        <x:v>new facts, changed legal premises, corpus or model configuration and material reservations trigger reassessment of affected professional approval on held-out scenarios</x:v>
      </x:c>
      <x:c r="I207" s="14" t="str">
        <x:v>model_eval, counsel_review</x:v>
      </x:c>
      <x:c r="J207" s="14" t="str">
        <x:v>NOT_RUN</x:v>
      </x:c>
      <x:c r="K207" s="14" t="str">
        <x:v>W3</x:v>
      </x:c>
      <x:c r="L207" s="14" t="str">
        <x:v>docs/BACKLOG.md#bk-67-expert-advocate-evaluation-gate</x:v>
      </x:c>
    </x:row>
    <x:row r="208" ht="40" customHeight="1">
      <x:c r="A208" s="3" t="str">
        <x:v>F</x:v>
      </x:c>
      <x:c r="B208" s="3" t="str">
        <x:v>STEP-F-01</x:v>
      </x:c>
      <x:c r="C208" s="3" t="str">
        <x:v>Negotiate within settlement authority</x:v>
      </x:c>
      <x:c r="D208" s="3" t="str">
        <x:v>F1</x:v>
      </x:c>
      <x:c r="E208" s="3" t="str">
        <x:v>BK-57</x:v>
      </x:c>
      <x:c r="F208" s="3" t="str">
        <x:v>none</x:v>
      </x:c>
      <x:c r="G208" s="3" t="str">
        <x:v>BK-57-AC1</x:v>
      </x:c>
      <x:c r="H208" s="3" t="str">
        <x:v>negotiation and court work preserve decision authority, settlement limits, the approved case theory and verified handoffs through completion</x:v>
      </x:c>
      <x:c r="I208" s="3" t="str">
        <x:v>browser_journey, counsel_review</x:v>
      </x:c>
      <x:c r="J208" s="3" t="str">
        <x:v>NOT_RUN</x:v>
      </x:c>
      <x:c r="K208" s="3" t="str">
        <x:v>W5</x:v>
      </x:c>
      <x:c r="L208" s="3" t="str">
        <x:v>docs/BACKLOG.md#bk-57-phase-f-negotiation-witnesses-hearing-readiness-and-court</x:v>
      </x:c>
    </x:row>
    <x:row r="209" ht="40" customHeight="1">
      <x:c r="A209" s="14" t="str">
        <x:v>F</x:v>
      </x:c>
      <x:c r="B209" s="14" t="str">
        <x:v>STEP-F-01</x:v>
      </x:c>
      <x:c r="C209" s="14" t="str">
        <x:v>Negotiate within settlement authority</x:v>
      </x:c>
      <x:c r="D209" s="14" t="str">
        <x:v>F1</x:v>
      </x:c>
      <x:c r="E209" s="14" t="str">
        <x:v>BK-57</x:v>
      </x:c>
      <x:c r="F209" s="14" t="str">
        <x:v>none</x:v>
      </x:c>
      <x:c r="G209" s="14" t="str">
        <x:v>BK-57-AC2</x:v>
      </x:c>
      <x:c r="H209" s="14" t="str">
        <x:v>witness and expert preparation links personal knowledge, expertise, source material, contradictions and availability to proof issues without inventing testimony or unauthorised contact</x:v>
      </x:c>
      <x:c r="I209" s="14" t="str">
        <x:v>model_eval, counsel_review</x:v>
      </x:c>
      <x:c r="J209" s="14" t="str">
        <x:v>NOT_RUN</x:v>
      </x:c>
      <x:c r="K209" s="14" t="str">
        <x:v>W5</x:v>
      </x:c>
      <x:c r="L209" s="14" t="str">
        <x:v>docs/BACKLOG.md#bk-57-phase-f-negotiation-witnesses-hearing-readiness-and-court</x:v>
      </x:c>
    </x:row>
    <x:row r="210" ht="40" customHeight="1">
      <x:c r="A210" s="3" t="str">
        <x:v>F</x:v>
      </x:c>
      <x:c r="B210" s="3" t="str">
        <x:v>STEP-F-01</x:v>
      </x:c>
      <x:c r="C210" s="3" t="str">
        <x:v>Negotiate within settlement authority</x:v>
      </x:c>
      <x:c r="D210" s="3" t="str">
        <x:v>F1</x:v>
      </x:c>
      <x:c r="E210" s="3" t="str">
        <x:v>BK-57</x:v>
      </x:c>
      <x:c r="F210" s="3" t="str">
        <x:v>none</x:v>
      </x:c>
      <x:c r="G210" s="3" t="str">
        <x:v>BK-57-AC3</x:v>
      </x:c>
      <x:c r="H210" s="3" t="str">
        <x:v>hearing readiness supplies a concise current theory, relief sought, propositions, record and authority locators, adverse case and answers to controlling hard questions</x:v>
      </x:c>
      <x:c r="I210" s="3" t="str">
        <x:v>browser_journey, model_eval, counsel_review</x:v>
      </x:c>
      <x:c r="J210" s="3" t="str">
        <x:v>NOT_RUN</x:v>
      </x:c>
      <x:c r="K210" s="3" t="str">
        <x:v>W5</x:v>
      </x:c>
      <x:c r="L210" s="3" t="str">
        <x:v>docs/BACKLOG.md#bk-57-phase-f-negotiation-witnesses-hearing-readiness-and-court</x:v>
      </x:c>
    </x:row>
    <x:row r="211" ht="40" customHeight="1">
      <x:c r="A211" s="14" t="str">
        <x:v>F</x:v>
      </x:c>
      <x:c r="B211" s="14" t="str">
        <x:v>STEP-F-01</x:v>
      </x:c>
      <x:c r="C211" s="14" t="str">
        <x:v>Negotiate within settlement authority</x:v>
      </x:c>
      <x:c r="D211" s="14" t="str">
        <x:v>F1</x:v>
      </x:c>
      <x:c r="E211" s="14" t="str">
        <x:v>BK-57</x:v>
      </x:c>
      <x:c r="F211" s="14" t="str">
        <x:v>none</x:v>
      </x:c>
      <x:c r="G211" s="14" t="str">
        <x:v>BK-57-AC4</x:v>
      </x:c>
      <x:c r="H211" s="14" t="str">
        <x:v>in-court assistance retrieves and distinguishes verified material, uncertain analysis and proposed action while preserving concession and instruction limits under time pressure</x:v>
      </x:c>
      <x:c r="I211" s="14" t="str">
        <x:v>browser_journey, model_eval, counsel_review</x:v>
      </x:c>
      <x:c r="J211" s="14" t="str">
        <x:v>NOT_RUN</x:v>
      </x:c>
      <x:c r="K211" s="14" t="str">
        <x:v>W5</x:v>
      </x:c>
      <x:c r="L211" s="14" t="str">
        <x:v>docs/BACKLOG.md#bk-57-phase-f-negotiation-witnesses-hearing-readiness-and-court</x:v>
      </x:c>
    </x:row>
    <x:row r="212" ht="40" customHeight="1">
      <x:c r="A212" s="3" t="str">
        <x:v>F</x:v>
      </x:c>
      <x:c r="B212" s="3" t="str">
        <x:v>STEP-F-01</x:v>
      </x:c>
      <x:c r="C212" s="3" t="str">
        <x:v>Negotiate within settlement authority</x:v>
      </x:c>
      <x:c r="D212" s="3" t="str">
        <x:v>F1</x:v>
      </x:c>
      <x:c r="E212" s="3" t="str">
        <x:v>BK-57</x:v>
      </x:c>
      <x:c r="F212" s="3" t="str">
        <x:v>none</x:v>
      </x:c>
      <x:c r="G212" s="3" t="str">
        <x:v>BK-57-AC5</x:v>
      </x:c>
      <x:c r="H212" s="3" t="str">
        <x:v>changed authority, failed communication or a new hearing event reopens affected preparation and preserves the prior record, responsible owner and next obligation</x:v>
      </x:c>
      <x:c r="I212" s="3" t="str">
        <x:v>integration_test, browser_journey</x:v>
      </x:c>
      <x:c r="J212" s="3" t="str">
        <x:v>NOT_RUN</x:v>
      </x:c>
      <x:c r="K212" s="3" t="str">
        <x:v>W5</x:v>
      </x:c>
      <x:c r="L212" s="3" t="str">
        <x:v>docs/BACKLOG.md#bk-57-phase-f-negotiation-witnesses-hearing-readiness-and-court</x:v>
      </x:c>
    </x:row>
    <x:row r="213" ht="40" customHeight="1">
      <x:c r="A213" s="14" t="str">
        <x:v>F</x:v>
      </x:c>
      <x:c r="B213" s="14" t="str">
        <x:v>STEP-F-01</x:v>
      </x:c>
      <x:c r="C213" s="14" t="str">
        <x:v>Negotiate within settlement authority</x:v>
      </x:c>
      <x:c r="D213" s="14" t="str">
        <x:v>F1</x:v>
      </x:c>
      <x:c r="E213" s="14" t="str">
        <x:v>BK-63</x:v>
      </x:c>
      <x:c r="F213" s="14" t="str">
        <x:v>none</x:v>
      </x:c>
      <x:c r="G213" s="14" t="str">
        <x:v>BK-63-AC1</x:v>
      </x:c>
      <x:c r="H213" s="14" t="str">
        <x:v>every material instruction, decision and external action is attributable to an allowed role and authority scope, and unauthorised operations are refused and recorded</x:v>
      </x:c>
      <x:c r="I213" s="14" t="str">
        <x:v>domain_test, integration_test, adversarial_test, counsel_review</x:v>
      </x:c>
      <x:c r="J213" s="14" t="str">
        <x:v>NOT_RUN</x:v>
      </x:c>
      <x:c r="K213" s="14" t="str">
        <x:v>W1</x:v>
      </x:c>
      <x:c r="L213" s="14" t="str">
        <x:v>docs/BACKLOG.md#bk-63-professional-role-and-authority-control</x:v>
      </x:c>
    </x:row>
    <x:row r="214" ht="40" customHeight="1">
      <x:c r="A214" s="3" t="str">
        <x:v>F</x:v>
      </x:c>
      <x:c r="B214" s="3" t="str">
        <x:v>STEP-F-02</x:v>
      </x:c>
      <x:c r="C214" s="3" t="str">
        <x:v>Hand the drafter its brief</x:v>
      </x:c>
      <x:c r="D214" s="3" t="str">
        <x:v>F2</x:v>
      </x:c>
      <x:c r="E214" s="3" t="str">
        <x:v>BK-56</x:v>
      </x:c>
      <x:c r="F214" s="3" t="str">
        <x:v>none</x:v>
      </x:c>
      <x:c r="G214" s="3" t="str">
        <x:v>BK-56-AC1</x:v>
      </x:c>
      <x:c r="H214" s="3" t="str">
        <x:v>drafting and filing use a recorded authorised role, approved scope and version, owner, deadline and receipt and refuse success when any required authority is absent</x:v>
      </x:c>
      <x:c r="I214" s="3" t="str">
        <x:v>integration_test, browser_journey, counsel_review</x:v>
      </x:c>
      <x:c r="J214" s="3" t="str">
        <x:v>NOT_RUN</x:v>
      </x:c>
      <x:c r="K214" s="3" t="str">
        <x:v>W5</x:v>
      </x:c>
      <x:c r="L214" s="3" t="str">
        <x:v>docs/BACKLOG.md#bk-56-phase-f-the-drafter-brief-drafting-and-filing-control</x:v>
      </x:c>
    </x:row>
    <x:row r="215" ht="40" customHeight="1">
      <x:c r="A215" s="14" t="str">
        <x:v>F</x:v>
      </x:c>
      <x:c r="B215" s="14" t="str">
        <x:v>STEP-F-02</x:v>
      </x:c>
      <x:c r="C215" s="14" t="str">
        <x:v>Hand the drafter its brief</x:v>
      </x:c>
      <x:c r="D215" s="14" t="str">
        <x:v>F2</x:v>
      </x:c>
      <x:c r="E215" s="14" t="str">
        <x:v>BK-56</x:v>
      </x:c>
      <x:c r="F215" s="14" t="str">
        <x:v>none</x:v>
      </x:c>
      <x:c r="G215" s="14" t="str">
        <x:v>BK-56-AC2</x:v>
      </x:c>
      <x:c r="H215" s="14" t="str">
        <x:v>the drafter brief is an approved versioned task package carrying objective, posture, theory, facts, source locators, relief, form, audience and explicit gaps</x:v>
      </x:c>
      <x:c r="I215" s="14" t="str">
        <x:v>integration_test, counsel_review</x:v>
      </x:c>
      <x:c r="J215" s="14" t="str">
        <x:v>NOT_RUN</x:v>
      </x:c>
      <x:c r="K215" s="14" t="str">
        <x:v>W5</x:v>
      </x:c>
      <x:c r="L215" s="14" t="str">
        <x:v>docs/BACKLOG.md#bk-56-phase-f-the-drafter-brief-drafting-and-filing-control</x:v>
      </x:c>
    </x:row>
    <x:row r="216" ht="40" customHeight="1">
      <x:c r="A216" s="3" t="str">
        <x:v>F</x:v>
      </x:c>
      <x:c r="B216" s="3" t="str">
        <x:v>STEP-F-02</x:v>
      </x:c>
      <x:c r="C216" s="3" t="str">
        <x:v>Hand the drafter its brief</x:v>
      </x:c>
      <x:c r="D216" s="3" t="str">
        <x:v>F2</x:v>
      </x:c>
      <x:c r="E216" s="3" t="str">
        <x:v>BK-56</x:v>
      </x:c>
      <x:c r="F216" s="3" t="str">
        <x:v>none</x:v>
      </x:c>
      <x:c r="G216" s="3" t="str">
        <x:v>BK-56-AC3</x:v>
      </x:c>
      <x:c r="H216" s="3" t="str">
        <x:v>draft verification checks every material assertion and authority against the approved brief and sources, preserves marked blanks and exposes substantive version changes</x:v>
      </x:c>
      <x:c r="I216" s="3" t="str">
        <x:v>integration_test, model_eval, counsel_review</x:v>
      </x:c>
      <x:c r="J216" s="3" t="str">
        <x:v>NOT_RUN</x:v>
      </x:c>
      <x:c r="K216" s="3" t="str">
        <x:v>W5</x:v>
      </x:c>
      <x:c r="L216" s="3" t="str">
        <x:v>docs/BACKLOG.md#bk-56-phase-f-the-drafter-brief-drafting-and-filing-control</x:v>
      </x:c>
    </x:row>
    <x:row r="217" ht="40" customHeight="1">
      <x:c r="A217" s="14" t="str">
        <x:v>F</x:v>
      </x:c>
      <x:c r="B217" s="14" t="str">
        <x:v>STEP-F-02</x:v>
      </x:c>
      <x:c r="C217" s="14" t="str">
        <x:v>Hand the drafter its brief</x:v>
      </x:c>
      <x:c r="D217" s="14" t="str">
        <x:v>F2</x:v>
      </x:c>
      <x:c r="E217" s="14" t="str">
        <x:v>BK-56</x:v>
      </x:c>
      <x:c r="F217" s="14" t="str">
        <x:v>none</x:v>
      </x:c>
      <x:c r="G217" s="14" t="str">
        <x:v>BK-56-AC4</x:v>
      </x:c>
      <x:c r="H217" s="14" t="str">
        <x:v>filing or service binds the approved package to authorised actor, recipient, deadline and verified receipt and reconciles uncertain delivery before retry</x:v>
      </x:c>
      <x:c r="I217" s="14" t="str">
        <x:v>integration_test, browser_journey, adversarial_test</x:v>
      </x:c>
      <x:c r="J217" s="14" t="str">
        <x:v>NOT_RUN</x:v>
      </x:c>
      <x:c r="K217" s="14" t="str">
        <x:v>W5</x:v>
      </x:c>
      <x:c r="L217" s="14" t="str">
        <x:v>docs/BACKLOG.md#bk-56-phase-f-the-drafter-brief-drafting-and-filing-control</x:v>
      </x:c>
    </x:row>
    <x:row r="218" ht="55" customHeight="1">
      <x:c r="A218" s="3" t="str">
        <x:v>F</x:v>
      </x:c>
      <x:c r="B218" s="3" t="str">
        <x:v>STEP-F-02</x:v>
      </x:c>
      <x:c r="C218" s="3" t="str">
        <x:v>Hand the drafter its brief</x:v>
      </x:c>
      <x:c r="D218" s="3" t="str">
        <x:v>F2</x:v>
      </x:c>
      <x:c r="E218" s="3" t="str">
        <x:v>BK-62</x:v>
      </x:c>
      <x:c r="F218" s="3" t="str">
        <x:v>none</x:v>
      </x:c>
      <x:c r="G218" s="3" t="str">
        <x:v>BK-62-AC1</x:v>
      </x:c>
      <x:c r="H218" s="3" t="str">
        <x:v>every substantive task has a versioned commission naming who instructs, who decides, the objective, scope, forum, deadline and required work product and reopens when a material instruction changes</x:v>
      </x:c>
      <x:c r="I218" s="3" t="str">
        <x:v>domain_test, integration_test, counsel_review</x:v>
      </x:c>
      <x:c r="J218" s="3" t="str">
        <x:v>NOT_RUN</x:v>
      </x:c>
      <x:c r="K218" s="3" t="str">
        <x:v>W1</x:v>
      </x:c>
      <x:c r="L218" s="3" t="str">
        <x:v>docs/BACKLOG.md#bk-62-commission-and-task-authority-record</x:v>
      </x:c>
    </x:row>
    <x:row r="219" ht="40" customHeight="1">
      <x:c r="A219" s="14" t="str">
        <x:v>F</x:v>
      </x:c>
      <x:c r="B219" s="14" t="str">
        <x:v>STEP-F-02</x:v>
      </x:c>
      <x:c r="C219" s="14" t="str">
        <x:v>Hand the drafter its brief</x:v>
      </x:c>
      <x:c r="D219" s="14" t="str">
        <x:v>F2</x:v>
      </x:c>
      <x:c r="E219" s="14" t="str">
        <x:v>BK-63</x:v>
      </x:c>
      <x:c r="F219" s="14" t="str">
        <x:v>none</x:v>
      </x:c>
      <x:c r="G219" s="14" t="str">
        <x:v>BK-63-AC1</x:v>
      </x:c>
      <x:c r="H219" s="14" t="str">
        <x:v>every material instruction, decision and external action is attributable to an allowed role and authority scope, and unauthorised operations are refused and recorded</x:v>
      </x:c>
      <x:c r="I219" s="14" t="str">
        <x:v>domain_test, integration_test, adversarial_test, counsel_review</x:v>
      </x:c>
      <x:c r="J219" s="14" t="str">
        <x:v>NOT_RUN</x:v>
      </x:c>
      <x:c r="K219" s="14" t="str">
        <x:v>W1</x:v>
      </x:c>
      <x:c r="L219" s="14" t="str">
        <x:v>docs/BACKLOG.md#bk-63-professional-role-and-authority-control</x:v>
      </x:c>
    </x:row>
    <x:row r="220" ht="40" customHeight="1">
      <x:c r="A220" s="3" t="str">
        <x:v>F</x:v>
      </x:c>
      <x:c r="B220" s="3" t="str">
        <x:v>STEP-F-03</x:v>
      </x:c>
      <x:c r="C220" s="3" t="str">
        <x:v>Draft, and verify the draft</x:v>
      </x:c>
      <x:c r="D220" s="3" t="str">
        <x:v>F3</x:v>
      </x:c>
      <x:c r="E220" s="3" t="str">
        <x:v>BK-56</x:v>
      </x:c>
      <x:c r="F220" s="3" t="str">
        <x:v>none</x:v>
      </x:c>
      <x:c r="G220" s="3" t="str">
        <x:v>BK-56-AC1</x:v>
      </x:c>
      <x:c r="H220" s="3" t="str">
        <x:v>drafting and filing use a recorded authorised role, approved scope and version, owner, deadline and receipt and refuse success when any required authority is absent</x:v>
      </x:c>
      <x:c r="I220" s="3" t="str">
        <x:v>integration_test, browser_journey, counsel_review</x:v>
      </x:c>
      <x:c r="J220" s="3" t="str">
        <x:v>NOT_RUN</x:v>
      </x:c>
      <x:c r="K220" s="3" t="str">
        <x:v>W5</x:v>
      </x:c>
      <x:c r="L220" s="3" t="str">
        <x:v>docs/BACKLOG.md#bk-56-phase-f-the-drafter-brief-drafting-and-filing-control</x:v>
      </x:c>
    </x:row>
    <x:row r="221" ht="40" customHeight="1">
      <x:c r="A221" s="14" t="str">
        <x:v>F</x:v>
      </x:c>
      <x:c r="B221" s="14" t="str">
        <x:v>STEP-F-03</x:v>
      </x:c>
      <x:c r="C221" s="14" t="str">
        <x:v>Draft, and verify the draft</x:v>
      </x:c>
      <x:c r="D221" s="14" t="str">
        <x:v>F3</x:v>
      </x:c>
      <x:c r="E221" s="14" t="str">
        <x:v>BK-56</x:v>
      </x:c>
      <x:c r="F221" s="14" t="str">
        <x:v>none</x:v>
      </x:c>
      <x:c r="G221" s="14" t="str">
        <x:v>BK-56-AC2</x:v>
      </x:c>
      <x:c r="H221" s="14" t="str">
        <x:v>the drafter brief is an approved versioned task package carrying objective, posture, theory, facts, source locators, relief, form, audience and explicit gaps</x:v>
      </x:c>
      <x:c r="I221" s="14" t="str">
        <x:v>integration_test, counsel_review</x:v>
      </x:c>
      <x:c r="J221" s="14" t="str">
        <x:v>NOT_RUN</x:v>
      </x:c>
      <x:c r="K221" s="14" t="str">
        <x:v>W5</x:v>
      </x:c>
      <x:c r="L221" s="14" t="str">
        <x:v>docs/BACKLOG.md#bk-56-phase-f-the-drafter-brief-drafting-and-filing-control</x:v>
      </x:c>
    </x:row>
    <x:row r="222" ht="40" customHeight="1">
      <x:c r="A222" s="3" t="str">
        <x:v>F</x:v>
      </x:c>
      <x:c r="B222" s="3" t="str">
        <x:v>STEP-F-03</x:v>
      </x:c>
      <x:c r="C222" s="3" t="str">
        <x:v>Draft, and verify the draft</x:v>
      </x:c>
      <x:c r="D222" s="3" t="str">
        <x:v>F3</x:v>
      </x:c>
      <x:c r="E222" s="3" t="str">
        <x:v>BK-56</x:v>
      </x:c>
      <x:c r="F222" s="3" t="str">
        <x:v>none</x:v>
      </x:c>
      <x:c r="G222" s="3" t="str">
        <x:v>BK-56-AC3</x:v>
      </x:c>
      <x:c r="H222" s="3" t="str">
        <x:v>draft verification checks every material assertion and authority against the approved brief and sources, preserves marked blanks and exposes substantive version changes</x:v>
      </x:c>
      <x:c r="I222" s="3" t="str">
        <x:v>integration_test, model_eval, counsel_review</x:v>
      </x:c>
      <x:c r="J222" s="3" t="str">
        <x:v>NOT_RUN</x:v>
      </x:c>
      <x:c r="K222" s="3" t="str">
        <x:v>W5</x:v>
      </x:c>
      <x:c r="L222" s="3" t="str">
        <x:v>docs/BACKLOG.md#bk-56-phase-f-the-drafter-brief-drafting-and-filing-control</x:v>
      </x:c>
    </x:row>
    <x:row r="223" ht="40" customHeight="1">
      <x:c r="A223" s="14" t="str">
        <x:v>F</x:v>
      </x:c>
      <x:c r="B223" s="14" t="str">
        <x:v>STEP-F-03</x:v>
      </x:c>
      <x:c r="C223" s="14" t="str">
        <x:v>Draft, and verify the draft</x:v>
      </x:c>
      <x:c r="D223" s="14" t="str">
        <x:v>F3</x:v>
      </x:c>
      <x:c r="E223" s="14" t="str">
        <x:v>BK-56</x:v>
      </x:c>
      <x:c r="F223" s="14" t="str">
        <x:v>none</x:v>
      </x:c>
      <x:c r="G223" s="14" t="str">
        <x:v>BK-56-AC4</x:v>
      </x:c>
      <x:c r="H223" s="14" t="str">
        <x:v>filing or service binds the approved package to authorised actor, recipient, deadline and verified receipt and reconciles uncertain delivery before retry</x:v>
      </x:c>
      <x:c r="I223" s="14" t="str">
        <x:v>integration_test, browser_journey, adversarial_test</x:v>
      </x:c>
      <x:c r="J223" s="14" t="str">
        <x:v>NOT_RUN</x:v>
      </x:c>
      <x:c r="K223" s="14" t="str">
        <x:v>W5</x:v>
      </x:c>
      <x:c r="L223" s="14" t="str">
        <x:v>docs/BACKLOG.md#bk-56-phase-f-the-drafter-brief-drafting-and-filing-control</x:v>
      </x:c>
    </x:row>
    <x:row r="224" ht="40" customHeight="1">
      <x:c r="A224" s="3" t="str">
        <x:v>F</x:v>
      </x:c>
      <x:c r="B224" s="3" t="str">
        <x:v>STEP-F-03</x:v>
      </x:c>
      <x:c r="C224" s="3" t="str">
        <x:v>Draft, and verify the draft</x:v>
      </x:c>
      <x:c r="D224" s="3" t="str">
        <x:v>F3</x:v>
      </x:c>
      <x:c r="E224" s="3" t="str">
        <x:v>BK-63</x:v>
      </x:c>
      <x:c r="F224" s="3" t="str">
        <x:v>none</x:v>
      </x:c>
      <x:c r="G224" s="3" t="str">
        <x:v>BK-63-AC1</x:v>
      </x:c>
      <x:c r="H224" s="3" t="str">
        <x:v>every material instruction, decision and external action is attributable to an allowed role and authority scope, and unauthorised operations are refused and recorded</x:v>
      </x:c>
      <x:c r="I224" s="3" t="str">
        <x:v>domain_test, integration_test, adversarial_test, counsel_review</x:v>
      </x:c>
      <x:c r="J224" s="3" t="str">
        <x:v>NOT_RUN</x:v>
      </x:c>
      <x:c r="K224" s="3" t="str">
        <x:v>W1</x:v>
      </x:c>
      <x:c r="L224" s="3" t="str">
        <x:v>docs/BACKLOG.md#bk-63-professional-role-and-authority-control</x:v>
      </x:c>
    </x:row>
    <x:row r="225" ht="40" customHeight="1">
      <x:c r="A225" s="14" t="str">
        <x:v>F</x:v>
      </x:c>
      <x:c r="B225" s="14" t="str">
        <x:v>STEP-F-04</x:v>
      </x:c>
      <x:c r="C225" s="14" t="str">
        <x:v>Filing control</x:v>
      </x:c>
      <x:c r="D225" s="14" t="str">
        <x:v>F4</x:v>
      </x:c>
      <x:c r="E225" s="14" t="str">
        <x:v>BK-56</x:v>
      </x:c>
      <x:c r="F225" s="14" t="str">
        <x:v>none</x:v>
      </x:c>
      <x:c r="G225" s="14" t="str">
        <x:v>BK-56-AC1</x:v>
      </x:c>
      <x:c r="H225" s="14" t="str">
        <x:v>drafting and filing use a recorded authorised role, approved scope and version, owner, deadline and receipt and refuse success when any required authority is absent</x:v>
      </x:c>
      <x:c r="I225" s="14" t="str">
        <x:v>integration_test, browser_journey, counsel_review</x:v>
      </x:c>
      <x:c r="J225" s="14" t="str">
        <x:v>NOT_RUN</x:v>
      </x:c>
      <x:c r="K225" s="14" t="str">
        <x:v>W5</x:v>
      </x:c>
      <x:c r="L225" s="14" t="str">
        <x:v>docs/BACKLOG.md#bk-56-phase-f-the-drafter-brief-drafting-and-filing-control</x:v>
      </x:c>
    </x:row>
    <x:row r="226" ht="40" customHeight="1">
      <x:c r="A226" s="3" t="str">
        <x:v>F</x:v>
      </x:c>
      <x:c r="B226" s="3" t="str">
        <x:v>STEP-F-04</x:v>
      </x:c>
      <x:c r="C226" s="3" t="str">
        <x:v>Filing control</x:v>
      </x:c>
      <x:c r="D226" s="3" t="str">
        <x:v>F4</x:v>
      </x:c>
      <x:c r="E226" s="3" t="str">
        <x:v>BK-56</x:v>
      </x:c>
      <x:c r="F226" s="3" t="str">
        <x:v>none</x:v>
      </x:c>
      <x:c r="G226" s="3" t="str">
        <x:v>BK-56-AC2</x:v>
      </x:c>
      <x:c r="H226" s="3" t="str">
        <x:v>the drafter brief is an approved versioned task package carrying objective, posture, theory, facts, source locators, relief, form, audience and explicit gaps</x:v>
      </x:c>
      <x:c r="I226" s="3" t="str">
        <x:v>integration_test, counsel_review</x:v>
      </x:c>
      <x:c r="J226" s="3" t="str">
        <x:v>NOT_RUN</x:v>
      </x:c>
      <x:c r="K226" s="3" t="str">
        <x:v>W5</x:v>
      </x:c>
      <x:c r="L226" s="3" t="str">
        <x:v>docs/BACKLOG.md#bk-56-phase-f-the-drafter-brief-drafting-and-filing-control</x:v>
      </x:c>
    </x:row>
    <x:row r="227" ht="40" customHeight="1">
      <x:c r="A227" s="14" t="str">
        <x:v>F</x:v>
      </x:c>
      <x:c r="B227" s="14" t="str">
        <x:v>STEP-F-04</x:v>
      </x:c>
      <x:c r="C227" s="14" t="str">
        <x:v>Filing control</x:v>
      </x:c>
      <x:c r="D227" s="14" t="str">
        <x:v>F4</x:v>
      </x:c>
      <x:c r="E227" s="14" t="str">
        <x:v>BK-56</x:v>
      </x:c>
      <x:c r="F227" s="14" t="str">
        <x:v>none</x:v>
      </x:c>
      <x:c r="G227" s="14" t="str">
        <x:v>BK-56-AC3</x:v>
      </x:c>
      <x:c r="H227" s="14" t="str">
        <x:v>draft verification checks every material assertion and authority against the approved brief and sources, preserves marked blanks and exposes substantive version changes</x:v>
      </x:c>
      <x:c r="I227" s="14" t="str">
        <x:v>integration_test, model_eval, counsel_review</x:v>
      </x:c>
      <x:c r="J227" s="14" t="str">
        <x:v>NOT_RUN</x:v>
      </x:c>
      <x:c r="K227" s="14" t="str">
        <x:v>W5</x:v>
      </x:c>
      <x:c r="L227" s="14" t="str">
        <x:v>docs/BACKLOG.md#bk-56-phase-f-the-drafter-brief-drafting-and-filing-control</x:v>
      </x:c>
    </x:row>
    <x:row r="228" ht="40" customHeight="1">
      <x:c r="A228" s="3" t="str">
        <x:v>F</x:v>
      </x:c>
      <x:c r="B228" s="3" t="str">
        <x:v>STEP-F-04</x:v>
      </x:c>
      <x:c r="C228" s="3" t="str">
        <x:v>Filing control</x:v>
      </x:c>
      <x:c r="D228" s="3" t="str">
        <x:v>F4</x:v>
      </x:c>
      <x:c r="E228" s="3" t="str">
        <x:v>BK-56</x:v>
      </x:c>
      <x:c r="F228" s="3" t="str">
        <x:v>none</x:v>
      </x:c>
      <x:c r="G228" s="3" t="str">
        <x:v>BK-56-AC4</x:v>
      </x:c>
      <x:c r="H228" s="3" t="str">
        <x:v>filing or service binds the approved package to authorised actor, recipient, deadline and verified receipt and reconciles uncertain delivery before retry</x:v>
      </x:c>
      <x:c r="I228" s="3" t="str">
        <x:v>integration_test, browser_journey, adversarial_test</x:v>
      </x:c>
      <x:c r="J228" s="3" t="str">
        <x:v>NOT_RUN</x:v>
      </x:c>
      <x:c r="K228" s="3" t="str">
        <x:v>W5</x:v>
      </x:c>
      <x:c r="L228" s="3" t="str">
        <x:v>docs/BACKLOG.md#bk-56-phase-f-the-drafter-brief-drafting-and-filing-control</x:v>
      </x:c>
    </x:row>
    <x:row r="229" ht="40" customHeight="1">
      <x:c r="A229" s="14" t="str">
        <x:v>F</x:v>
      </x:c>
      <x:c r="B229" s="14" t="str">
        <x:v>STEP-F-04</x:v>
      </x:c>
      <x:c r="C229" s="14" t="str">
        <x:v>Filing control</x:v>
      </x:c>
      <x:c r="D229" s="14" t="str">
        <x:v>F4</x:v>
      </x:c>
      <x:c r="E229" s="14" t="str">
        <x:v>BK-63</x:v>
      </x:c>
      <x:c r="F229" s="14" t="str">
        <x:v>none</x:v>
      </x:c>
      <x:c r="G229" s="14" t="str">
        <x:v>BK-63-AC1</x:v>
      </x:c>
      <x:c r="H229" s="14" t="str">
        <x:v>every material instruction, decision and external action is attributable to an allowed role and authority scope, and unauthorised operations are refused and recorded</x:v>
      </x:c>
      <x:c r="I229" s="14" t="str">
        <x:v>domain_test, integration_test, adversarial_test, counsel_review</x:v>
      </x:c>
      <x:c r="J229" s="14" t="str">
        <x:v>NOT_RUN</x:v>
      </x:c>
      <x:c r="K229" s="14" t="str">
        <x:v>W1</x:v>
      </x:c>
      <x:c r="L229" s="14" t="str">
        <x:v>docs/BACKLOG.md#bk-63-professional-role-and-authority-control</x:v>
      </x:c>
    </x:row>
    <x:row r="230" ht="40" customHeight="1">
      <x:c r="A230" s="3" t="str">
        <x:v>F</x:v>
      </x:c>
      <x:c r="B230" s="3" t="str">
        <x:v>STEP-F-05</x:v>
      </x:c>
      <x:c r="C230" s="3" t="str">
        <x:v>Witnesses and experts</x:v>
      </x:c>
      <x:c r="D230" s="3" t="str">
        <x:v>F5</x:v>
      </x:c>
      <x:c r="E230" s="3" t="str">
        <x:v>BK-57</x:v>
      </x:c>
      <x:c r="F230" s="3" t="str">
        <x:v>none</x:v>
      </x:c>
      <x:c r="G230" s="3" t="str">
        <x:v>BK-57-AC1</x:v>
      </x:c>
      <x:c r="H230" s="3" t="str">
        <x:v>negotiation and court work preserve decision authority, settlement limits, the approved case theory and verified handoffs through completion</x:v>
      </x:c>
      <x:c r="I230" s="3" t="str">
        <x:v>browser_journey, counsel_review</x:v>
      </x:c>
      <x:c r="J230" s="3" t="str">
        <x:v>NOT_RUN</x:v>
      </x:c>
      <x:c r="K230" s="3" t="str">
        <x:v>W5</x:v>
      </x:c>
      <x:c r="L230" s="3" t="str">
        <x:v>docs/BACKLOG.md#bk-57-phase-f-negotiation-witnesses-hearing-readiness-and-court</x:v>
      </x:c>
    </x:row>
    <x:row r="231" ht="40" customHeight="1">
      <x:c r="A231" s="14" t="str">
        <x:v>F</x:v>
      </x:c>
      <x:c r="B231" s="14" t="str">
        <x:v>STEP-F-05</x:v>
      </x:c>
      <x:c r="C231" s="14" t="str">
        <x:v>Witnesses and experts</x:v>
      </x:c>
      <x:c r="D231" s="14" t="str">
        <x:v>F5</x:v>
      </x:c>
      <x:c r="E231" s="14" t="str">
        <x:v>BK-57</x:v>
      </x:c>
      <x:c r="F231" s="14" t="str">
        <x:v>none</x:v>
      </x:c>
      <x:c r="G231" s="14" t="str">
        <x:v>BK-57-AC2</x:v>
      </x:c>
      <x:c r="H231" s="14" t="str">
        <x:v>witness and expert preparation links personal knowledge, expertise, source material, contradictions and availability to proof issues without inventing testimony or unauthorised contact</x:v>
      </x:c>
      <x:c r="I231" s="14" t="str">
        <x:v>model_eval, counsel_review</x:v>
      </x:c>
      <x:c r="J231" s="14" t="str">
        <x:v>NOT_RUN</x:v>
      </x:c>
      <x:c r="K231" s="14" t="str">
        <x:v>W5</x:v>
      </x:c>
      <x:c r="L231" s="14" t="str">
        <x:v>docs/BACKLOG.md#bk-57-phase-f-negotiation-witnesses-hearing-readiness-and-court</x:v>
      </x:c>
    </x:row>
    <x:row r="232" ht="40" customHeight="1">
      <x:c r="A232" s="3" t="str">
        <x:v>F</x:v>
      </x:c>
      <x:c r="B232" s="3" t="str">
        <x:v>STEP-F-05</x:v>
      </x:c>
      <x:c r="C232" s="3" t="str">
        <x:v>Witnesses and experts</x:v>
      </x:c>
      <x:c r="D232" s="3" t="str">
        <x:v>F5</x:v>
      </x:c>
      <x:c r="E232" s="3" t="str">
        <x:v>BK-57</x:v>
      </x:c>
      <x:c r="F232" s="3" t="str">
        <x:v>none</x:v>
      </x:c>
      <x:c r="G232" s="3" t="str">
        <x:v>BK-57-AC3</x:v>
      </x:c>
      <x:c r="H232" s="3" t="str">
        <x:v>hearing readiness supplies a concise current theory, relief sought, propositions, record and authority locators, adverse case and answers to controlling hard questions</x:v>
      </x:c>
      <x:c r="I232" s="3" t="str">
        <x:v>browser_journey, model_eval, counsel_review</x:v>
      </x:c>
      <x:c r="J232" s="3" t="str">
        <x:v>NOT_RUN</x:v>
      </x:c>
      <x:c r="K232" s="3" t="str">
        <x:v>W5</x:v>
      </x:c>
      <x:c r="L232" s="3" t="str">
        <x:v>docs/BACKLOG.md#bk-57-phase-f-negotiation-witnesses-hearing-readiness-and-court</x:v>
      </x:c>
    </x:row>
    <x:row r="233" ht="40" customHeight="1">
      <x:c r="A233" s="14" t="str">
        <x:v>F</x:v>
      </x:c>
      <x:c r="B233" s="14" t="str">
        <x:v>STEP-F-05</x:v>
      </x:c>
      <x:c r="C233" s="14" t="str">
        <x:v>Witnesses and experts</x:v>
      </x:c>
      <x:c r="D233" s="14" t="str">
        <x:v>F5</x:v>
      </x:c>
      <x:c r="E233" s="14" t="str">
        <x:v>BK-57</x:v>
      </x:c>
      <x:c r="F233" s="14" t="str">
        <x:v>none</x:v>
      </x:c>
      <x:c r="G233" s="14" t="str">
        <x:v>BK-57-AC4</x:v>
      </x:c>
      <x:c r="H233" s="14" t="str">
        <x:v>in-court assistance retrieves and distinguishes verified material, uncertain analysis and proposed action while preserving concession and instruction limits under time pressure</x:v>
      </x:c>
      <x:c r="I233" s="14" t="str">
        <x:v>browser_journey, model_eval, counsel_review</x:v>
      </x:c>
      <x:c r="J233" s="14" t="str">
        <x:v>NOT_RUN</x:v>
      </x:c>
      <x:c r="K233" s="14" t="str">
        <x:v>W5</x:v>
      </x:c>
      <x:c r="L233" s="14" t="str">
        <x:v>docs/BACKLOG.md#bk-57-phase-f-negotiation-witnesses-hearing-readiness-and-court</x:v>
      </x:c>
    </x:row>
    <x:row r="234" ht="40" customHeight="1">
      <x:c r="A234" s="3" t="str">
        <x:v>F</x:v>
      </x:c>
      <x:c r="B234" s="3" t="str">
        <x:v>STEP-F-05</x:v>
      </x:c>
      <x:c r="C234" s="3" t="str">
        <x:v>Witnesses and experts</x:v>
      </x:c>
      <x:c r="D234" s="3" t="str">
        <x:v>F5</x:v>
      </x:c>
      <x:c r="E234" s="3" t="str">
        <x:v>BK-57</x:v>
      </x:c>
      <x:c r="F234" s="3" t="str">
        <x:v>none</x:v>
      </x:c>
      <x:c r="G234" s="3" t="str">
        <x:v>BK-57-AC5</x:v>
      </x:c>
      <x:c r="H234" s="3" t="str">
        <x:v>changed authority, failed communication or a new hearing event reopens affected preparation and preserves the prior record, responsible owner and next obligation</x:v>
      </x:c>
      <x:c r="I234" s="3" t="str">
        <x:v>integration_test, browser_journey</x:v>
      </x:c>
      <x:c r="J234" s="3" t="str">
        <x:v>NOT_RUN</x:v>
      </x:c>
      <x:c r="K234" s="3" t="str">
        <x:v>W5</x:v>
      </x:c>
      <x:c r="L234" s="3" t="str">
        <x:v>docs/BACKLOG.md#bk-57-phase-f-negotiation-witnesses-hearing-readiness-and-court</x:v>
      </x:c>
    </x:row>
    <x:row r="235" ht="40" customHeight="1">
      <x:c r="A235" s="14" t="str">
        <x:v>F</x:v>
      </x:c>
      <x:c r="B235" s="14" t="str">
        <x:v>STEP-F-06</x:v>
      </x:c>
      <x:c r="C235" s="14" t="str">
        <x:v>Hearing readiness</x:v>
      </x:c>
      <x:c r="D235" s="14" t="str">
        <x:v>F6</x:v>
      </x:c>
      <x:c r="E235" s="14" t="str">
        <x:v>BK-57</x:v>
      </x:c>
      <x:c r="F235" s="14" t="str">
        <x:v>none</x:v>
      </x:c>
      <x:c r="G235" s="14" t="str">
        <x:v>BK-57-AC1</x:v>
      </x:c>
      <x:c r="H235" s="14" t="str">
        <x:v>negotiation and court work preserve decision authority, settlement limits, the approved case theory and verified handoffs through completion</x:v>
      </x:c>
      <x:c r="I235" s="14" t="str">
        <x:v>browser_journey, counsel_review</x:v>
      </x:c>
      <x:c r="J235" s="14" t="str">
        <x:v>NOT_RUN</x:v>
      </x:c>
      <x:c r="K235" s="14" t="str">
        <x:v>W5</x:v>
      </x:c>
      <x:c r="L235" s="14" t="str">
        <x:v>docs/BACKLOG.md#bk-57-phase-f-negotiation-witnesses-hearing-readiness-and-court</x:v>
      </x:c>
    </x:row>
    <x:row r="236" ht="40" customHeight="1">
      <x:c r="A236" s="3" t="str">
        <x:v>F</x:v>
      </x:c>
      <x:c r="B236" s="3" t="str">
        <x:v>STEP-F-06</x:v>
      </x:c>
      <x:c r="C236" s="3" t="str">
        <x:v>Hearing readiness</x:v>
      </x:c>
      <x:c r="D236" s="3" t="str">
        <x:v>F6</x:v>
      </x:c>
      <x:c r="E236" s="3" t="str">
        <x:v>BK-57</x:v>
      </x:c>
      <x:c r="F236" s="3" t="str">
        <x:v>none</x:v>
      </x:c>
      <x:c r="G236" s="3" t="str">
        <x:v>BK-57-AC2</x:v>
      </x:c>
      <x:c r="H236" s="3" t="str">
        <x:v>witness and expert preparation links personal knowledge, expertise, source material, contradictions and availability to proof issues without inventing testimony or unauthorised contact</x:v>
      </x:c>
      <x:c r="I236" s="3" t="str">
        <x:v>model_eval, counsel_review</x:v>
      </x:c>
      <x:c r="J236" s="3" t="str">
        <x:v>NOT_RUN</x:v>
      </x:c>
      <x:c r="K236" s="3" t="str">
        <x:v>W5</x:v>
      </x:c>
      <x:c r="L236" s="3" t="str">
        <x:v>docs/BACKLOG.md#bk-57-phase-f-negotiation-witnesses-hearing-readiness-and-court</x:v>
      </x:c>
    </x:row>
    <x:row r="237" ht="40" customHeight="1">
      <x:c r="A237" s="14" t="str">
        <x:v>F</x:v>
      </x:c>
      <x:c r="B237" s="14" t="str">
        <x:v>STEP-F-06</x:v>
      </x:c>
      <x:c r="C237" s="14" t="str">
        <x:v>Hearing readiness</x:v>
      </x:c>
      <x:c r="D237" s="14" t="str">
        <x:v>F6</x:v>
      </x:c>
      <x:c r="E237" s="14" t="str">
        <x:v>BK-57</x:v>
      </x:c>
      <x:c r="F237" s="14" t="str">
        <x:v>none</x:v>
      </x:c>
      <x:c r="G237" s="14" t="str">
        <x:v>BK-57-AC3</x:v>
      </x:c>
      <x:c r="H237" s="14" t="str">
        <x:v>hearing readiness supplies a concise current theory, relief sought, propositions, record and authority locators, adverse case and answers to controlling hard questions</x:v>
      </x:c>
      <x:c r="I237" s="14" t="str">
        <x:v>browser_journey, model_eval, counsel_review</x:v>
      </x:c>
      <x:c r="J237" s="14" t="str">
        <x:v>NOT_RUN</x:v>
      </x:c>
      <x:c r="K237" s="14" t="str">
        <x:v>W5</x:v>
      </x:c>
      <x:c r="L237" s="14" t="str">
        <x:v>docs/BACKLOG.md#bk-57-phase-f-negotiation-witnesses-hearing-readiness-and-court</x:v>
      </x:c>
    </x:row>
    <x:row r="238" ht="40" customHeight="1">
      <x:c r="A238" s="3" t="str">
        <x:v>F</x:v>
      </x:c>
      <x:c r="B238" s="3" t="str">
        <x:v>STEP-F-06</x:v>
      </x:c>
      <x:c r="C238" s="3" t="str">
        <x:v>Hearing readiness</x:v>
      </x:c>
      <x:c r="D238" s="3" t="str">
        <x:v>F6</x:v>
      </x:c>
      <x:c r="E238" s="3" t="str">
        <x:v>BK-57</x:v>
      </x:c>
      <x:c r="F238" s="3" t="str">
        <x:v>none</x:v>
      </x:c>
      <x:c r="G238" s="3" t="str">
        <x:v>BK-57-AC4</x:v>
      </x:c>
      <x:c r="H238" s="3" t="str">
        <x:v>in-court assistance retrieves and distinguishes verified material, uncertain analysis and proposed action while preserving concession and instruction limits under time pressure</x:v>
      </x:c>
      <x:c r="I238" s="3" t="str">
        <x:v>browser_journey, model_eval, counsel_review</x:v>
      </x:c>
      <x:c r="J238" s="3" t="str">
        <x:v>NOT_RUN</x:v>
      </x:c>
      <x:c r="K238" s="3" t="str">
        <x:v>W5</x:v>
      </x:c>
      <x:c r="L238" s="3" t="str">
        <x:v>docs/BACKLOG.md#bk-57-phase-f-negotiation-witnesses-hearing-readiness-and-court</x:v>
      </x:c>
    </x:row>
    <x:row r="239" ht="40" customHeight="1">
      <x:c r="A239" s="14" t="str">
        <x:v>F</x:v>
      </x:c>
      <x:c r="B239" s="14" t="str">
        <x:v>STEP-F-06</x:v>
      </x:c>
      <x:c r="C239" s="14" t="str">
        <x:v>Hearing readiness</x:v>
      </x:c>
      <x:c r="D239" s="14" t="str">
        <x:v>F6</x:v>
      </x:c>
      <x:c r="E239" s="14" t="str">
        <x:v>BK-57</x:v>
      </x:c>
      <x:c r="F239" s="14" t="str">
        <x:v>none</x:v>
      </x:c>
      <x:c r="G239" s="14" t="str">
        <x:v>BK-57-AC5</x:v>
      </x:c>
      <x:c r="H239" s="14" t="str">
        <x:v>changed authority, failed communication or a new hearing event reopens affected preparation and preserves the prior record, responsible owner and next obligation</x:v>
      </x:c>
      <x:c r="I239" s="14" t="str">
        <x:v>integration_test, browser_journey</x:v>
      </x:c>
      <x:c r="J239" s="14" t="str">
        <x:v>NOT_RUN</x:v>
      </x:c>
      <x:c r="K239" s="14" t="str">
        <x:v>W5</x:v>
      </x:c>
      <x:c r="L239" s="14" t="str">
        <x:v>docs/BACKLOG.md#bk-57-phase-f-negotiation-witnesses-hearing-readiness-and-court</x:v>
      </x:c>
    </x:row>
    <x:row r="240" ht="40" customHeight="1">
      <x:c r="A240" s="3" t="str">
        <x:v>F</x:v>
      </x:c>
      <x:c r="B240" s="3" t="str">
        <x:v>STEP-F-07</x:v>
      </x:c>
      <x:c r="C240" s="3" t="str">
        <x:v>In court</x:v>
      </x:c>
      <x:c r="D240" s="3" t="str">
        <x:v>F7</x:v>
      </x:c>
      <x:c r="E240" s="3" t="str">
        <x:v>BK-57</x:v>
      </x:c>
      <x:c r="F240" s="3" t="str">
        <x:v>none</x:v>
      </x:c>
      <x:c r="G240" s="3" t="str">
        <x:v>BK-57-AC1</x:v>
      </x:c>
      <x:c r="H240" s="3" t="str">
        <x:v>negotiation and court work preserve decision authority, settlement limits, the approved case theory and verified handoffs through completion</x:v>
      </x:c>
      <x:c r="I240" s="3" t="str">
        <x:v>browser_journey, counsel_review</x:v>
      </x:c>
      <x:c r="J240" s="3" t="str">
        <x:v>NOT_RUN</x:v>
      </x:c>
      <x:c r="K240" s="3" t="str">
        <x:v>W5</x:v>
      </x:c>
      <x:c r="L240" s="3" t="str">
        <x:v>docs/BACKLOG.md#bk-57-phase-f-negotiation-witnesses-hearing-readiness-and-court</x:v>
      </x:c>
    </x:row>
    <x:row r="241" ht="40" customHeight="1">
      <x:c r="A241" s="14" t="str">
        <x:v>F</x:v>
      </x:c>
      <x:c r="B241" s="14" t="str">
        <x:v>STEP-F-07</x:v>
      </x:c>
      <x:c r="C241" s="14" t="str">
        <x:v>In court</x:v>
      </x:c>
      <x:c r="D241" s="14" t="str">
        <x:v>F7</x:v>
      </x:c>
      <x:c r="E241" s="14" t="str">
        <x:v>BK-57</x:v>
      </x:c>
      <x:c r="F241" s="14" t="str">
        <x:v>none</x:v>
      </x:c>
      <x:c r="G241" s="14" t="str">
        <x:v>BK-57-AC2</x:v>
      </x:c>
      <x:c r="H241" s="14" t="str">
        <x:v>witness and expert preparation links personal knowledge, expertise, source material, contradictions and availability to proof issues without inventing testimony or unauthorised contact</x:v>
      </x:c>
      <x:c r="I241" s="14" t="str">
        <x:v>model_eval, counsel_review</x:v>
      </x:c>
      <x:c r="J241" s="14" t="str">
        <x:v>NOT_RUN</x:v>
      </x:c>
      <x:c r="K241" s="14" t="str">
        <x:v>W5</x:v>
      </x:c>
      <x:c r="L241" s="14" t="str">
        <x:v>docs/BACKLOG.md#bk-57-phase-f-negotiation-witnesses-hearing-readiness-and-court</x:v>
      </x:c>
    </x:row>
    <x:row r="242" ht="40" customHeight="1">
      <x:c r="A242" s="3" t="str">
        <x:v>F</x:v>
      </x:c>
      <x:c r="B242" s="3" t="str">
        <x:v>STEP-F-07</x:v>
      </x:c>
      <x:c r="C242" s="3" t="str">
        <x:v>In court</x:v>
      </x:c>
      <x:c r="D242" s="3" t="str">
        <x:v>F7</x:v>
      </x:c>
      <x:c r="E242" s="3" t="str">
        <x:v>BK-57</x:v>
      </x:c>
      <x:c r="F242" s="3" t="str">
        <x:v>none</x:v>
      </x:c>
      <x:c r="G242" s="3" t="str">
        <x:v>BK-57-AC3</x:v>
      </x:c>
      <x:c r="H242" s="3" t="str">
        <x:v>hearing readiness supplies a concise current theory, relief sought, propositions, record and authority locators, adverse case and answers to controlling hard questions</x:v>
      </x:c>
      <x:c r="I242" s="3" t="str">
        <x:v>browser_journey, model_eval, counsel_review</x:v>
      </x:c>
      <x:c r="J242" s="3" t="str">
        <x:v>NOT_RUN</x:v>
      </x:c>
      <x:c r="K242" s="3" t="str">
        <x:v>W5</x:v>
      </x:c>
      <x:c r="L242" s="3" t="str">
        <x:v>docs/BACKLOG.md#bk-57-phase-f-negotiation-witnesses-hearing-readiness-and-court</x:v>
      </x:c>
    </x:row>
    <x:row r="243" ht="40" customHeight="1">
      <x:c r="A243" s="14" t="str">
        <x:v>F</x:v>
      </x:c>
      <x:c r="B243" s="14" t="str">
        <x:v>STEP-F-07</x:v>
      </x:c>
      <x:c r="C243" s="14" t="str">
        <x:v>In court</x:v>
      </x:c>
      <x:c r="D243" s="14" t="str">
        <x:v>F7</x:v>
      </x:c>
      <x:c r="E243" s="14" t="str">
        <x:v>BK-57</x:v>
      </x:c>
      <x:c r="F243" s="14" t="str">
        <x:v>none</x:v>
      </x:c>
      <x:c r="G243" s="14" t="str">
        <x:v>BK-57-AC4</x:v>
      </x:c>
      <x:c r="H243" s="14" t="str">
        <x:v>in-court assistance retrieves and distinguishes verified material, uncertain analysis and proposed action while preserving concession and instruction limits under time pressure</x:v>
      </x:c>
      <x:c r="I243" s="14" t="str">
        <x:v>browser_journey, model_eval, counsel_review</x:v>
      </x:c>
      <x:c r="J243" s="14" t="str">
        <x:v>NOT_RUN</x:v>
      </x:c>
      <x:c r="K243" s="14" t="str">
        <x:v>W5</x:v>
      </x:c>
      <x:c r="L243" s="14" t="str">
        <x:v>docs/BACKLOG.md#bk-57-phase-f-negotiation-witnesses-hearing-readiness-and-court</x:v>
      </x:c>
    </x:row>
    <x:row r="244" ht="40" customHeight="1">
      <x:c r="A244" s="3" t="str">
        <x:v>F</x:v>
      </x:c>
      <x:c r="B244" s="3" t="str">
        <x:v>STEP-F-07</x:v>
      </x:c>
      <x:c r="C244" s="3" t="str">
        <x:v>In court</x:v>
      </x:c>
      <x:c r="D244" s="3" t="str">
        <x:v>F7</x:v>
      </x:c>
      <x:c r="E244" s="3" t="str">
        <x:v>BK-57</x:v>
      </x:c>
      <x:c r="F244" s="3" t="str">
        <x:v>none</x:v>
      </x:c>
      <x:c r="G244" s="3" t="str">
        <x:v>BK-57-AC5</x:v>
      </x:c>
      <x:c r="H244" s="3" t="str">
        <x:v>changed authority, failed communication or a new hearing event reopens affected preparation and preserves the prior record, responsible owner and next obligation</x:v>
      </x:c>
      <x:c r="I244" s="3" t="str">
        <x:v>integration_test, browser_journey</x:v>
      </x:c>
      <x:c r="J244" s="3" t="str">
        <x:v>NOT_RUN</x:v>
      </x:c>
      <x:c r="K244" s="3" t="str">
        <x:v>W5</x:v>
      </x:c>
      <x:c r="L244" s="3" t="str">
        <x:v>docs/BACKLOG.md#bk-57-phase-f-negotiation-witnesses-hearing-readiness-and-court</x:v>
      </x:c>
    </x:row>
    <x:row r="245" ht="40" customHeight="1">
      <x:c r="A245" s="14" t="str">
        <x:v>G</x:v>
      </x:c>
      <x:c r="B245" s="14" t="str">
        <x:v>STEP-G-01</x:v>
      </x:c>
      <x:c r="C245" s="14" t="str">
        <x:v>Proactive service</x:v>
      </x:c>
      <x:c r="D245" s="14" t="str">
        <x:v>G1</x:v>
      </x:c>
      <x:c r="E245" s="14" t="str">
        <x:v>BK-58</x:v>
      </x:c>
      <x:c r="F245" s="14" t="str">
        <x:v>none</x:v>
      </x:c>
      <x:c r="G245" s="14" t="str">
        <x:v>BK-58-AC1</x:v>
      </x:c>
      <x:c r="H245" s="14" t="str">
        <x:v>Proactive work and reminders require recorded service authority, owner, trigger, cadence and notification preference, with cancellation and no duplicate consequential notifications</x:v>
      </x:c>
      <x:c r="I245" s="14" t="str">
        <x:v>integration_test, browser_journey</x:v>
      </x:c>
      <x:c r="J245" s="14" t="str">
        <x:v>NOT_RUN</x:v>
      </x:c>
      <x:c r="K245" s="14" t="str">
        <x:v>W6</x:v>
      </x:c>
      <x:c r="L245" s="14" t="str">
        <x:v>docs/BACKLOG.md#bk-58-phase-g-proactive-service-the-conflict-watch-and-handover</x:v>
      </x:c>
    </x:row>
    <x:row r="246" ht="40" customHeight="1">
      <x:c r="A246" s="3" t="str">
        <x:v>G</x:v>
      </x:c>
      <x:c r="B246" s="3" t="str">
        <x:v>STEP-G-01</x:v>
      </x:c>
      <x:c r="C246" s="3" t="str">
        <x:v>Proactive service</x:v>
      </x:c>
      <x:c r="D246" s="3" t="str">
        <x:v>G1</x:v>
      </x:c>
      <x:c r="E246" s="3" t="str">
        <x:v>BK-58</x:v>
      </x:c>
      <x:c r="F246" s="3" t="str">
        <x:v>none</x:v>
      </x:c>
      <x:c r="G246" s="3" t="str">
        <x:v>BK-58-AC2</x:v>
      </x:c>
      <x:c r="H246" s="3" t="str">
        <x:v>New parties and material changes reopen the continuing conflict assessment across affected authorised matters without exposing another client's protected details</x:v>
      </x:c>
      <x:c r="I246" s="3" t="str">
        <x:v>integration_test, adversarial_test, counsel_review</x:v>
      </x:c>
      <x:c r="J246" s="3" t="str">
        <x:v>NOT_RUN</x:v>
      </x:c>
      <x:c r="K246" s="3" t="str">
        <x:v>W6</x:v>
      </x:c>
      <x:c r="L246" s="3" t="str">
        <x:v>docs/BACKLOG.md#bk-58-phase-g-proactive-service-the-conflict-watch-and-handover</x:v>
      </x:c>
    </x:row>
    <x:row r="247" ht="40" customHeight="1">
      <x:c r="A247" s="14" t="str">
        <x:v>G</x:v>
      </x:c>
      <x:c r="B247" s="14" t="str">
        <x:v>STEP-G-01</x:v>
      </x:c>
      <x:c r="C247" s="14" t="str">
        <x:v>Proactive service</x:v>
      </x:c>
      <x:c r="D247" s="14" t="str">
        <x:v>G1</x:v>
      </x:c>
      <x:c r="E247" s="14" t="str">
        <x:v>BK-58</x:v>
      </x:c>
      <x:c r="F247" s="14" t="str">
        <x:v>none</x:v>
      </x:c>
      <x:c r="G247" s="14" t="str">
        <x:v>BK-58-AC3</x:v>
      </x:c>
      <x:c r="H247" s="14" t="str">
        <x:v>Handover transfers a versioned current file and outstanding responsibilities only with an authorised recipient acknowledgement and preserves who owns unresolved work</x:v>
      </x:c>
      <x:c r="I247" s="14" t="str">
        <x:v>integration_test, browser_journey, counsel_review</x:v>
      </x:c>
      <x:c r="J247" s="14" t="str">
        <x:v>NOT_RUN</x:v>
      </x:c>
      <x:c r="K247" s="14" t="str">
        <x:v>W6</x:v>
      </x:c>
      <x:c r="L247" s="14" t="str">
        <x:v>docs/BACKLOG.md#bk-58-phase-g-proactive-service-the-conflict-watch-and-handover</x:v>
      </x:c>
    </x:row>
    <x:row r="248" ht="40" customHeight="1">
      <x:c r="A248" s="3" t="str">
        <x:v>G</x:v>
      </x:c>
      <x:c r="B248" s="3" t="str">
        <x:v>STEP-G-02</x:v>
      </x:c>
      <x:c r="C248" s="3" t="str">
        <x:v>The continuing conflict watch</x:v>
      </x:c>
      <x:c r="D248" s="3" t="str">
        <x:v>G2</x:v>
      </x:c>
      <x:c r="E248" s="3" t="str">
        <x:v>BK-58</x:v>
      </x:c>
      <x:c r="F248" s="3" t="str">
        <x:v>none</x:v>
      </x:c>
      <x:c r="G248" s="3" t="str">
        <x:v>BK-58-AC1</x:v>
      </x:c>
      <x:c r="H248" s="3" t="str">
        <x:v>Proactive work and reminders require recorded service authority, owner, trigger, cadence and notification preference, with cancellation and no duplicate consequential notifications</x:v>
      </x:c>
      <x:c r="I248" s="3" t="str">
        <x:v>integration_test, browser_journey</x:v>
      </x:c>
      <x:c r="J248" s="3" t="str">
        <x:v>NOT_RUN</x:v>
      </x:c>
      <x:c r="K248" s="3" t="str">
        <x:v>W6</x:v>
      </x:c>
      <x:c r="L248" s="3" t="str">
        <x:v>docs/BACKLOG.md#bk-58-phase-g-proactive-service-the-conflict-watch-and-handover</x:v>
      </x:c>
    </x:row>
    <x:row r="249" ht="40" customHeight="1">
      <x:c r="A249" s="14" t="str">
        <x:v>G</x:v>
      </x:c>
      <x:c r="B249" s="14" t="str">
        <x:v>STEP-G-02</x:v>
      </x:c>
      <x:c r="C249" s="14" t="str">
        <x:v>The continuing conflict watch</x:v>
      </x:c>
      <x:c r="D249" s="14" t="str">
        <x:v>G2</x:v>
      </x:c>
      <x:c r="E249" s="14" t="str">
        <x:v>BK-58</x:v>
      </x:c>
      <x:c r="F249" s="14" t="str">
        <x:v>none</x:v>
      </x:c>
      <x:c r="G249" s="14" t="str">
        <x:v>BK-58-AC2</x:v>
      </x:c>
      <x:c r="H249" s="14" t="str">
        <x:v>New parties and material changes reopen the continuing conflict assessment across affected authorised matters without exposing another client's protected details</x:v>
      </x:c>
      <x:c r="I249" s="14" t="str">
        <x:v>integration_test, adversarial_test, counsel_review</x:v>
      </x:c>
      <x:c r="J249" s="14" t="str">
        <x:v>NOT_RUN</x:v>
      </x:c>
      <x:c r="K249" s="14" t="str">
        <x:v>W6</x:v>
      </x:c>
      <x:c r="L249" s="14" t="str">
        <x:v>docs/BACKLOG.md#bk-58-phase-g-proactive-service-the-conflict-watch-and-handover</x:v>
      </x:c>
    </x:row>
    <x:row r="250" ht="40" customHeight="1">
      <x:c r="A250" s="3" t="str">
        <x:v>G</x:v>
      </x:c>
      <x:c r="B250" s="3" t="str">
        <x:v>STEP-G-02</x:v>
      </x:c>
      <x:c r="C250" s="3" t="str">
        <x:v>The continuing conflict watch</x:v>
      </x:c>
      <x:c r="D250" s="3" t="str">
        <x:v>G2</x:v>
      </x:c>
      <x:c r="E250" s="3" t="str">
        <x:v>BK-58</x:v>
      </x:c>
      <x:c r="F250" s="3" t="str">
        <x:v>none</x:v>
      </x:c>
      <x:c r="G250" s="3" t="str">
        <x:v>BK-58-AC3</x:v>
      </x:c>
      <x:c r="H250" s="3" t="str">
        <x:v>Handover transfers a versioned current file and outstanding responsibilities only with an authorised recipient acknowledgement and preserves who owns unresolved work</x:v>
      </x:c>
      <x:c r="I250" s="3" t="str">
        <x:v>integration_test, browser_journey, counsel_review</x:v>
      </x:c>
      <x:c r="J250" s="3" t="str">
        <x:v>NOT_RUN</x:v>
      </x:c>
      <x:c r="K250" s="3" t="str">
        <x:v>W6</x:v>
      </x:c>
      <x:c r="L250" s="3" t="str">
        <x:v>docs/BACKLOG.md#bk-58-phase-g-proactive-service-the-conflict-watch-and-handover</x:v>
      </x:c>
    </x:row>
    <x:row r="251" ht="40" customHeight="1">
      <x:c r="A251" s="14" t="str">
        <x:v>G</x:v>
      </x:c>
      <x:c r="B251" s="14" t="str">
        <x:v>STEP-G-03</x:v>
      </x:c>
      <x:c r="C251" s="14" t="str">
        <x:v>Handover and continuity</x:v>
      </x:c>
      <x:c r="D251" s="14" t="str">
        <x:v>G3</x:v>
      </x:c>
      <x:c r="E251" s="14" t="str">
        <x:v>BK-39</x:v>
      </x:c>
      <x:c r="F251" s="14" t="str">
        <x:v>partial</x:v>
      </x:c>
      <x:c r="G251" s="14" t="str">
        <x:v>BK-39-AC1</x:v>
      </x:c>
      <x:c r="H251" s="14" t="str">
        <x:v>History renders the actual served advice and chronological corrections with source and version linkage rather than raw internal model and transport diagnostics</x:v>
      </x:c>
      <x:c r="I251" s="14" t="str">
        <x:v>integration_test, browser_journey</x:v>
      </x:c>
      <x:c r="J251" s="14" t="str">
        <x:v>NOT_RUN</x:v>
      </x:c>
      <x:c r="K251" s="14" t="str">
        <x:v>W6</x:v>
      </x:c>
      <x:c r="L251" s="14" t="str">
        <x:v>docs/BACKLOG.md#bk-39-readable-history-correction-record-and-handover</x:v>
      </x:c>
    </x:row>
    <x:row r="252" ht="40" customHeight="1">
      <x:c r="A252" s="3" t="str">
        <x:v>G</x:v>
      </x:c>
      <x:c r="B252" s="3" t="str">
        <x:v>STEP-G-03</x:v>
      </x:c>
      <x:c r="C252" s="3" t="str">
        <x:v>Handover and continuity</x:v>
      </x:c>
      <x:c r="D252" s="3" t="str">
        <x:v>G3</x:v>
      </x:c>
      <x:c r="E252" s="3" t="str">
        <x:v>BK-39</x:v>
      </x:c>
      <x:c r="F252" s="3" t="str">
        <x:v>partial</x:v>
      </x:c>
      <x:c r="G252" s="3" t="str">
        <x:v>BK-39-AC2</x:v>
      </x:c>
      <x:c r="H252" s="3" t="str">
        <x:v>A handover snapshot includes current instruction, material facts, authorities, decisions, reservations and next responsibility with unassessed sections explicit</x:v>
      </x:c>
      <x:c r="I252" s="3" t="str">
        <x:v>integration_test, browser_journey, counsel_review</x:v>
      </x:c>
      <x:c r="J252" s="3" t="str">
        <x:v>NOT_RUN</x:v>
      </x:c>
      <x:c r="K252" s="3" t="str">
        <x:v>W6</x:v>
      </x:c>
      <x:c r="L252" s="3" t="str">
        <x:v>docs/BACKLOG.md#bk-39-readable-history-correction-record-and-handover</x:v>
      </x:c>
    </x:row>
    <x:row r="253" ht="40" customHeight="1">
      <x:c r="A253" s="14" t="str">
        <x:v>G</x:v>
      </x:c>
      <x:c r="B253" s="14" t="str">
        <x:v>STEP-G-03</x:v>
      </x:c>
      <x:c r="C253" s="14" t="str">
        <x:v>Handover and continuity</x:v>
      </x:c>
      <x:c r="D253" s="14" t="str">
        <x:v>G3</x:v>
      </x:c>
      <x:c r="E253" s="14" t="str">
        <x:v>BK-10</x:v>
      </x:c>
      <x:c r="F253" s="14" t="str">
        <x:v>complete</x:v>
      </x:c>
      <x:c r="G253" s="14" t="str">
        <x:v>No atomic criterion</x:v>
      </x:c>
      <x:c r="H253" s="14" t="str">
        <x:v>No atomic requirement registered</x:v>
      </x:c>
      <x:c r="I253" s="14" t="str"/>
      <x:c r="J253" s="14" t="str">
        <x:v>NOT_PROVEN</x:v>
      </x:c>
      <x:c r="K253" s="14" t="str">
        <x:v>W6</x:v>
      </x:c>
      <x:c r="L253" s="14" t="str">
        <x:v>docs/BACKLOG.md#bk-10-the-handover-contract-was-4-of-16</x:v>
      </x:c>
    </x:row>
    <x:row r="254" ht="40" customHeight="1">
      <x:c r="A254" s="3" t="str">
        <x:v>G</x:v>
      </x:c>
      <x:c r="B254" s="3" t="str">
        <x:v>STEP-G-03</x:v>
      </x:c>
      <x:c r="C254" s="3" t="str">
        <x:v>Handover and continuity</x:v>
      </x:c>
      <x:c r="D254" s="3" t="str">
        <x:v>G3</x:v>
      </x:c>
      <x:c r="E254" s="3" t="str">
        <x:v>BK-58</x:v>
      </x:c>
      <x:c r="F254" s="3" t="str">
        <x:v>none</x:v>
      </x:c>
      <x:c r="G254" s="3" t="str">
        <x:v>BK-58-AC1</x:v>
      </x:c>
      <x:c r="H254" s="3" t="str">
        <x:v>Proactive work and reminders require recorded service authority, owner, trigger, cadence and notification preference, with cancellation and no duplicate consequential notifications</x:v>
      </x:c>
      <x:c r="I254" s="3" t="str">
        <x:v>integration_test, browser_journey</x:v>
      </x:c>
      <x:c r="J254" s="3" t="str">
        <x:v>NOT_RUN</x:v>
      </x:c>
      <x:c r="K254" s="3" t="str">
        <x:v>W6</x:v>
      </x:c>
      <x:c r="L254" s="3" t="str">
        <x:v>docs/BACKLOG.md#bk-58-phase-g-proactive-service-the-conflict-watch-and-handover</x:v>
      </x:c>
    </x:row>
    <x:row r="255" ht="40" customHeight="1">
      <x:c r="A255" s="14" t="str">
        <x:v>G</x:v>
      </x:c>
      <x:c r="B255" s="14" t="str">
        <x:v>STEP-G-03</x:v>
      </x:c>
      <x:c r="C255" s="14" t="str">
        <x:v>Handover and continuity</x:v>
      </x:c>
      <x:c r="D255" s="14" t="str">
        <x:v>G3</x:v>
      </x:c>
      <x:c r="E255" s="14" t="str">
        <x:v>BK-58</x:v>
      </x:c>
      <x:c r="F255" s="14" t="str">
        <x:v>none</x:v>
      </x:c>
      <x:c r="G255" s="14" t="str">
        <x:v>BK-58-AC2</x:v>
      </x:c>
      <x:c r="H255" s="14" t="str">
        <x:v>New parties and material changes reopen the continuing conflict assessment across affected authorised matters without exposing another client's protected details</x:v>
      </x:c>
      <x:c r="I255" s="14" t="str">
        <x:v>integration_test, adversarial_test, counsel_review</x:v>
      </x:c>
      <x:c r="J255" s="14" t="str">
        <x:v>NOT_RUN</x:v>
      </x:c>
      <x:c r="K255" s="14" t="str">
        <x:v>W6</x:v>
      </x:c>
      <x:c r="L255" s="14" t="str">
        <x:v>docs/BACKLOG.md#bk-58-phase-g-proactive-service-the-conflict-watch-and-handover</x:v>
      </x:c>
    </x:row>
    <x:row r="256" ht="40" customHeight="1">
      <x:c r="A256" s="3" t="str">
        <x:v>G</x:v>
      </x:c>
      <x:c r="B256" s="3" t="str">
        <x:v>STEP-G-03</x:v>
      </x:c>
      <x:c r="C256" s="3" t="str">
        <x:v>Handover and continuity</x:v>
      </x:c>
      <x:c r="D256" s="3" t="str">
        <x:v>G3</x:v>
      </x:c>
      <x:c r="E256" s="3" t="str">
        <x:v>BK-58</x:v>
      </x:c>
      <x:c r="F256" s="3" t="str">
        <x:v>none</x:v>
      </x:c>
      <x:c r="G256" s="3" t="str">
        <x:v>BK-58-AC3</x:v>
      </x:c>
      <x:c r="H256" s="3" t="str">
        <x:v>Handover transfers a versioned current file and outstanding responsibilities only with an authorised recipient acknowledgement and preserves who owns unresolved work</x:v>
      </x:c>
      <x:c r="I256" s="3" t="str">
        <x:v>integration_test, browser_journey, counsel_review</x:v>
      </x:c>
      <x:c r="J256" s="3" t="str">
        <x:v>NOT_RUN</x:v>
      </x:c>
      <x:c r="K256" s="3" t="str">
        <x:v>W6</x:v>
      </x:c>
      <x:c r="L256" s="3" t="str">
        <x:v>docs/BACKLOG.md#bk-58-phase-g-proactive-service-the-conflict-watch-and-handover</x:v>
      </x:c>
    </x:row>
    <x:row r="257" ht="55" customHeight="1">
      <x:c r="A257" s="14" t="str">
        <x:v>G</x:v>
      </x:c>
      <x:c r="B257" s="14" t="str">
        <x:v>STEP-G-03</x:v>
      </x:c>
      <x:c r="C257" s="14" t="str">
        <x:v>Handover and continuity</x:v>
      </x:c>
      <x:c r="D257" s="14" t="str">
        <x:v>G3</x:v>
      </x:c>
      <x:c r="E257" s="14" t="str">
        <x:v>BK-62</x:v>
      </x:c>
      <x:c r="F257" s="14" t="str">
        <x:v>none</x:v>
      </x:c>
      <x:c r="G257" s="14" t="str">
        <x:v>BK-62-AC1</x:v>
      </x:c>
      <x:c r="H257" s="14" t="str">
        <x:v>every substantive task has a versioned commission naming who instructs, who decides, the objective, scope, forum, deadline and required work product and reopens when a material instruction changes</x:v>
      </x:c>
      <x:c r="I257" s="14" t="str">
        <x:v>domain_test, integration_test, counsel_review</x:v>
      </x:c>
      <x:c r="J257" s="14" t="str">
        <x:v>NOT_RUN</x:v>
      </x:c>
      <x:c r="K257" s="14" t="str">
        <x:v>W1</x:v>
      </x:c>
      <x:c r="L257" s="14" t="str">
        <x:v>docs/BACKLOG.md#bk-62-commission-and-task-authority-record</x:v>
      </x:c>
    </x:row>
    <x:row r="258" ht="40" customHeight="1">
      <x:c r="A258" s="3" t="str">
        <x:v>G</x:v>
      </x:c>
      <x:c r="B258" s="3" t="str">
        <x:v>STEP-G-03</x:v>
      </x:c>
      <x:c r="C258" s="3" t="str">
        <x:v>Handover and continuity</x:v>
      </x:c>
      <x:c r="D258" s="3" t="str">
        <x:v>G3</x:v>
      </x:c>
      <x:c r="E258" s="3" t="str">
        <x:v>BK-63</x:v>
      </x:c>
      <x:c r="F258" s="3" t="str">
        <x:v>none</x:v>
      </x:c>
      <x:c r="G258" s="3" t="str">
        <x:v>BK-63-AC1</x:v>
      </x:c>
      <x:c r="H258" s="3" t="str">
        <x:v>every material instruction, decision and external action is attributable to an allowed role and authority scope, and unauthorised operations are refused and recorded</x:v>
      </x:c>
      <x:c r="I258" s="3" t="str">
        <x:v>domain_test, integration_test, adversarial_test, counsel_review</x:v>
      </x:c>
      <x:c r="J258" s="3" t="str">
        <x:v>NOT_RUN</x:v>
      </x:c>
      <x:c r="K258" s="3" t="str">
        <x:v>W1</x:v>
      </x:c>
      <x:c r="L258" s="3" t="str">
        <x:v>docs/BACKLOG.md#bk-63-professional-role-and-authority-control</x:v>
      </x:c>
    </x:row>
    <x:row r="259" ht="40" customHeight="1">
      <x:c r="A259" s="14" t="str">
        <x:v>H</x:v>
      </x:c>
      <x:c r="B259" s="14" t="str">
        <x:v>STEP-H-01</x:v>
      </x:c>
      <x:c r="C259" s="14" t="str">
        <x:v>Capture the events</x:v>
      </x:c>
      <x:c r="D259" s="14" t="str">
        <x:v>H1</x:v>
      </x:c>
      <x:c r="E259" s="14" t="str">
        <x:v>BK-59</x:v>
      </x:c>
      <x:c r="F259" s="14" t="str">
        <x:v>none</x:v>
      </x:c>
      <x:c r="G259" s="14" t="str">
        <x:v>BK-59-AC1</x:v>
      </x:c>
      <x:c r="H259" s="14" t="str">
        <x:v>A material order, hearing, payment or instruction event is attributed and versioned and invalidates or recomputes affected obligations without rewriting past issued records</x:v>
      </x:c>
      <x:c r="I259" s="14" t="str">
        <x:v>integration_test, browser_journey, counsel_review</x:v>
      </x:c>
      <x:c r="J259" s="14" t="str">
        <x:v>NOT_RUN</x:v>
      </x:c>
      <x:c r="K259" s="14" t="str">
        <x:v>W6</x:v>
      </x:c>
      <x:c r="L259" s="14" t="str">
        <x:v>docs/BACKLOG.md#bk-59-phase-h-event-capture-and-closure</x:v>
      </x:c>
    </x:row>
    <x:row r="260" ht="40" customHeight="1">
      <x:c r="A260" s="3" t="str">
        <x:v>H</x:v>
      </x:c>
      <x:c r="B260" s="3" t="str">
        <x:v>STEP-H-01</x:v>
      </x:c>
      <x:c r="C260" s="3" t="str">
        <x:v>Capture the events</x:v>
      </x:c>
      <x:c r="D260" s="3" t="str">
        <x:v>H1</x:v>
      </x:c>
      <x:c r="E260" s="3" t="str">
        <x:v>BK-59</x:v>
      </x:c>
      <x:c r="F260" s="3" t="str">
        <x:v>none</x:v>
      </x:c>
      <x:c r="G260" s="3" t="str">
        <x:v>BK-59-AC2</x:v>
      </x:c>
      <x:c r="H260" s="3" t="str">
        <x:v>Closure refuses unresolved live obligations unless lawfully resolved or explicitly transferred and records custody, retention, authority and surviving responsibility</x:v>
      </x:c>
      <x:c r="I260" s="3" t="str">
        <x:v>integration_test, browser_journey, counsel_review</x:v>
      </x:c>
      <x:c r="J260" s="3" t="str">
        <x:v>NOT_RUN</x:v>
      </x:c>
      <x:c r="K260" s="3" t="str">
        <x:v>W6</x:v>
      </x:c>
      <x:c r="L260" s="3" t="str">
        <x:v>docs/BACKLOG.md#bk-59-phase-h-event-capture-and-closure</x:v>
      </x:c>
    </x:row>
    <x:row r="261" ht="40" customHeight="1">
      <x:c r="A261" s="14" t="str">
        <x:v>H</x:v>
      </x:c>
      <x:c r="B261" s="14" t="str">
        <x:v>STEP-H-01</x:v>
      </x:c>
      <x:c r="C261" s="14" t="str">
        <x:v>Capture the events</x:v>
      </x:c>
      <x:c r="D261" s="14" t="str">
        <x:v>H1</x:v>
      </x:c>
      <x:c r="E261" s="14" t="str">
        <x:v>BK-59</x:v>
      </x:c>
      <x:c r="F261" s="14" t="str">
        <x:v>none</x:v>
      </x:c>
      <x:c r="G261" s="14" t="str">
        <x:v>BK-59-AC3</x:v>
      </x:c>
      <x:c r="H261" s="14" t="str">
        <x:v>Reopening a closed matter rechecks permissions, current instruction, legal freshness and retained material; archive, closure and deletion remain distinct</x:v>
      </x:c>
      <x:c r="I261" s="14" t="str">
        <x:v>integration_test, browser_journey</x:v>
      </x:c>
      <x:c r="J261" s="14" t="str">
        <x:v>NOT_RUN</x:v>
      </x:c>
      <x:c r="K261" s="14" t="str">
        <x:v>W6</x:v>
      </x:c>
      <x:c r="L261" s="14" t="str">
        <x:v>docs/BACKLOG.md#bk-59-phase-h-event-capture-and-closure</x:v>
      </x:c>
    </x:row>
    <x:row r="262" ht="40" customHeight="1">
      <x:c r="A262" s="3" t="str">
        <x:v>H</x:v>
      </x:c>
      <x:c r="B262" s="3" t="str">
        <x:v>STEP-H-02</x:v>
      </x:c>
      <x:c r="C262" s="3" t="str">
        <x:v>Close the matter</x:v>
      </x:c>
      <x:c r="D262" s="3" t="str">
        <x:v>H2</x:v>
      </x:c>
      <x:c r="E262" s="3" t="str">
        <x:v>BK-59</x:v>
      </x:c>
      <x:c r="F262" s="3" t="str">
        <x:v>none</x:v>
      </x:c>
      <x:c r="G262" s="3" t="str">
        <x:v>BK-59-AC1</x:v>
      </x:c>
      <x:c r="H262" s="3" t="str">
        <x:v>A material order, hearing, payment or instruction event is attributed and versioned and invalidates or recomputes affected obligations without rewriting past issued records</x:v>
      </x:c>
      <x:c r="I262" s="3" t="str">
        <x:v>integration_test, browser_journey, counsel_review</x:v>
      </x:c>
      <x:c r="J262" s="3" t="str">
        <x:v>NOT_RUN</x:v>
      </x:c>
      <x:c r="K262" s="3" t="str">
        <x:v>W6</x:v>
      </x:c>
      <x:c r="L262" s="3" t="str">
        <x:v>docs/BACKLOG.md#bk-59-phase-h-event-capture-and-closure</x:v>
      </x:c>
    </x:row>
    <x:row r="263" ht="40" customHeight="1">
      <x:c r="A263" s="14" t="str">
        <x:v>H</x:v>
      </x:c>
      <x:c r="B263" s="14" t="str">
        <x:v>STEP-H-02</x:v>
      </x:c>
      <x:c r="C263" s="14" t="str">
        <x:v>Close the matter</x:v>
      </x:c>
      <x:c r="D263" s="14" t="str">
        <x:v>H2</x:v>
      </x:c>
      <x:c r="E263" s="14" t="str">
        <x:v>BK-59</x:v>
      </x:c>
      <x:c r="F263" s="14" t="str">
        <x:v>none</x:v>
      </x:c>
      <x:c r="G263" s="14" t="str">
        <x:v>BK-59-AC2</x:v>
      </x:c>
      <x:c r="H263" s="14" t="str">
        <x:v>Closure refuses unresolved live obligations unless lawfully resolved or explicitly transferred and records custody, retention, authority and surviving responsibility</x:v>
      </x:c>
      <x:c r="I263" s="14" t="str">
        <x:v>integration_test, browser_journey, counsel_review</x:v>
      </x:c>
      <x:c r="J263" s="14" t="str">
        <x:v>NOT_RUN</x:v>
      </x:c>
      <x:c r="K263" s="14" t="str">
        <x:v>W6</x:v>
      </x:c>
      <x:c r="L263" s="14" t="str">
        <x:v>docs/BACKLOG.md#bk-59-phase-h-event-capture-and-closure</x:v>
      </x:c>
    </x:row>
    <x:row r="264" ht="40" customHeight="1">
      <x:c r="A264" s="3" t="str">
        <x:v>H</x:v>
      </x:c>
      <x:c r="B264" s="3" t="str">
        <x:v>STEP-H-02</x:v>
      </x:c>
      <x:c r="C264" s="3" t="str">
        <x:v>Close the matter</x:v>
      </x:c>
      <x:c r="D264" s="3" t="str">
        <x:v>H2</x:v>
      </x:c>
      <x:c r="E264" s="3" t="str">
        <x:v>BK-59</x:v>
      </x:c>
      <x:c r="F264" s="3" t="str">
        <x:v>none</x:v>
      </x:c>
      <x:c r="G264" s="3" t="str">
        <x:v>BK-59-AC3</x:v>
      </x:c>
      <x:c r="H264" s="3" t="str">
        <x:v>Reopening a closed matter rechecks permissions, current instruction, legal freshness and retained material; archive, closure and deletion remain distinct</x:v>
      </x:c>
      <x:c r="I264" s="3" t="str">
        <x:v>integration_test, browser_journey</x:v>
      </x:c>
      <x:c r="J264" s="3" t="str">
        <x:v>NOT_RUN</x:v>
      </x:c>
      <x:c r="K264" s="3" t="str">
        <x:v>W6</x:v>
      </x:c>
      <x:c r="L264" s="3" t="str">
        <x:v>docs/BACKLOG.md#bk-59-phase-h-event-capture-and-closure</x:v>
      </x:c>
    </x:row>
    <x:row r="265" ht="40" customHeight="1">
      <x:c r="A265" s="14" t="str">
        <x:v>I</x:v>
      </x:c>
      <x:c r="B265" s="14" t="str">
        <x:v>STEP-I-01</x:v>
      </x:c>
      <x:c r="C265" s="14" t="str">
        <x:v>End the session and leave nothing behind</x:v>
      </x:c>
      <x:c r="D265" s="14" t="str">
        <x:v>I1</x:v>
      </x:c>
      <x:c r="E265" s="14" t="str">
        <x:v>BK-40</x:v>
      </x:c>
      <x:c r="F265" s="14" t="str">
        <x:v>partial</x:v>
      </x:c>
      <x:c r="G265" s="14" t="str">
        <x:v>BK-40-AC1</x:v>
      </x:c>
      <x:c r="H265" s="14" t="str">
        <x:v>Server-side session expiry freezes protected work, removes unauthorised views and allows only same-identity explicitly confirmed recovery of a safely held draft</x:v>
      </x:c>
      <x:c r="I265" s="14" t="str">
        <x:v>integration_test, browser_journey</x:v>
      </x:c>
      <x:c r="J265" s="14" t="str">
        <x:v>NOT_RUN</x:v>
      </x:c>
      <x:c r="K265" s="14" t="str">
        <x:v>W2</x:v>
      </x:c>
      <x:c r="L265" s="14" t="str">
        <x:v>docs/BACKLOG.md#bk-40-session-expiry-and-confirmed-logout</x:v>
      </x:c>
    </x:row>
    <x:row r="266" ht="55" customHeight="1">
      <x:c r="A266" s="3" t="str">
        <x:v>I</x:v>
      </x:c>
      <x:c r="B266" s="3" t="str">
        <x:v>STEP-I-01</x:v>
      </x:c>
      <x:c r="C266" s="3" t="str">
        <x:v>End the session and leave nothing behind</x:v>
      </x:c>
      <x:c r="D266" s="3" t="str">
        <x:v>I1</x:v>
      </x:c>
      <x:c r="E266" s="3" t="str">
        <x:v>BK-40</x:v>
      </x:c>
      <x:c r="F266" s="3" t="str">
        <x:v>partial</x:v>
      </x:c>
      <x:c r="G266" s="3" t="str">
        <x:v>BK-40-AC2</x:v>
      </x:c>
      <x:c r="H266" s="3" t="str">
        <x:v>Logout is confirmed only after server revocation; failure remains visibly unconfirmed and successful logout clears protected views and pending intake without affecting another session incorrectly</x:v>
      </x:c>
      <x:c r="I266" s="3" t="str">
        <x:v>integration_test, browser_journey</x:v>
      </x:c>
      <x:c r="J266" s="3" t="str">
        <x:v>NOT_RUN</x:v>
      </x:c>
      <x:c r="K266" s="3" t="str">
        <x:v>W2</x:v>
      </x:c>
      <x:c r="L266" s="3" t="str">
        <x:v>docs/BACKLOG.md#bk-40-session-expiry-and-confirmed-logout</x:v>
      </x:c>
    </x:row>
    <x:row r="267" ht="40" customHeight="1">
      <x:c r="A267" s="14" t="str">
        <x:v>I</x:v>
      </x:c>
      <x:c r="B267" s="14" t="str">
        <x:v>STEP-I-01</x:v>
      </x:c>
      <x:c r="C267" s="14" t="str">
        <x:v>End the session and leave nothing behind</x:v>
      </x:c>
      <x:c r="D267" s="14" t="str">
        <x:v>I1</x:v>
      </x:c>
      <x:c r="E267" s="14" t="str">
        <x:v>BK-46</x:v>
      </x:c>
      <x:c r="F267" s="14" t="str">
        <x:v>complete</x:v>
      </x:c>
      <x:c r="G267" s="14" t="str">
        <x:v>BK-46-AC1</x:v>
      </x:c>
      <x:c r="H267" s="14" t="str">
        <x:v>Session-expiry proof revokes or expires the server session and exercises advice, research and protected-draft recovery rather than merely removing a browser cookie</x:v>
      </x:c>
      <x:c r="I267" s="14" t="str">
        <x:v>domain_test, browser_journey</x:v>
      </x:c>
      <x:c r="J267" s="14" t="str">
        <x:v>NOT_RUN</x:v>
      </x:c>
      <x:c r="K267" s="14" t="str">
        <x:v>W0</x:v>
      </x:c>
      <x:c r="L267" s="14" t="str">
        <x:v>docs/BACKLOG.md#bk-46-session-expiry-is-simulated-by-clearing-the-browser-s-cookie</x:v>
      </x:c>
    </x:row>
    <x:row r="268" ht="40" customHeight="1">
      <x:c r="A268" s="3" t="str">
        <x:v>I</x:v>
      </x:c>
      <x:c r="B268" s="3" t="str">
        <x:v>STEP-I-01</x:v>
      </x:c>
      <x:c r="C268" s="3" t="str">
        <x:v>End the session and leave nothing behind</x:v>
      </x:c>
      <x:c r="D268" s="3" t="str">
        <x:v>I1</x:v>
      </x:c>
      <x:c r="E268" s="3" t="str">
        <x:v>BK-31</x:v>
      </x:c>
      <x:c r="F268" s="3" t="str">
        <x:v>partial</x:v>
      </x:c>
      <x:c r="G268" s="3" t="str">
        <x:v>BK-31-AC1</x:v>
      </x:c>
      <x:c r="H268" s="3" t="str">
        <x:v>enrolment is refused without an operator-issued invitation, with no deployment setting whose absence can open the door</x:v>
      </x:c>
      <x:c r="I268" s="3" t="str">
        <x:v>integration_test</x:v>
      </x:c>
      <x:c r="J268" s="3" t="str">
        <x:v>STALE</x:v>
      </x:c>
      <x:c r="K268" s="3" t="str">
        <x:v>W1</x:v>
      </x:c>
      <x:c r="L268" s="3" t="str">
        <x:v>docs/BACKLOG.md#bk-31-account-access-recovery-and-workspace-identity</x:v>
      </x:c>
    </x:row>
    <x:row r="269" ht="40" customHeight="1">
      <x:c r="A269" s="14" t="str">
        <x:v>I</x:v>
      </x:c>
      <x:c r="B269" s="14" t="str">
        <x:v>STEP-I-01</x:v>
      </x:c>
      <x:c r="C269" s="14" t="str">
        <x:v>End the session and leave nothing behind</x:v>
      </x:c>
      <x:c r="D269" s="14" t="str">
        <x:v>I1</x:v>
      </x:c>
      <x:c r="E269" s="14" t="str">
        <x:v>BK-31</x:v>
      </x:c>
      <x:c r="F269" s="14" t="str">
        <x:v>partial</x:v>
      </x:c>
      <x:c r="G269" s="14" t="str">
        <x:v>BK-31-AC2</x:v>
      </x:c>
      <x:c r="H269" s="14" t="str">
        <x:v>a refused enrolment leaves no record behind</x:v>
      </x:c>
      <x:c r="I269" s="14" t="str">
        <x:v>integration_test</x:v>
      </x:c>
      <x:c r="J269" s="14" t="str">
        <x:v>STALE</x:v>
      </x:c>
      <x:c r="K269" s="14" t="str">
        <x:v>W1</x:v>
      </x:c>
      <x:c r="L269" s="14" t="str">
        <x:v>docs/BACKLOG.md#bk-31-account-access-recovery-and-workspace-identity</x:v>
      </x:c>
    </x:row>
    <x:row r="270" ht="40" customHeight="1">
      <x:c r="A270" s="3" t="str">
        <x:v>I</x:v>
      </x:c>
      <x:c r="B270" s="3" t="str">
        <x:v>STEP-I-01</x:v>
      </x:c>
      <x:c r="C270" s="3" t="str">
        <x:v>End the session and leave nothing behind</x:v>
      </x:c>
      <x:c r="D270" s="3" t="str">
        <x:v>I1</x:v>
      </x:c>
      <x:c r="E270" s="3" t="str">
        <x:v>BK-31</x:v>
      </x:c>
      <x:c r="F270" s="3" t="str">
        <x:v>partial</x:v>
      </x:c>
      <x:c r="G270" s="3" t="str">
        <x:v>BK-31-AC3</x:v>
      </x:c>
      <x:c r="H270" s="3" t="str">
        <x:v>an advocate can recover without an operator using a one-time code that changes the password, consumes exactly that code and revokes every existing session</x:v>
      </x:c>
      <x:c r="I270" s="3" t="str">
        <x:v>integration_test, browser_journey</x:v>
      </x:c>
      <x:c r="J270" s="3" t="str">
        <x:v>STALE</x:v>
      </x:c>
      <x:c r="K270" s="3" t="str">
        <x:v>W1</x:v>
      </x:c>
      <x:c r="L270" s="3" t="str">
        <x:v>docs/BACKLOG.md#bk-31-account-access-recovery-and-workspace-identity</x:v>
      </x:c>
    </x:row>
    <x:row r="271" ht="40" customHeight="1">
      <x:c r="A271" s="14" t="str">
        <x:v>I</x:v>
      </x:c>
      <x:c r="B271" s="14" t="str">
        <x:v>STEP-I-01</x:v>
      </x:c>
      <x:c r="C271" s="14" t="str">
        <x:v>End the session and leave nothing behind</x:v>
      </x:c>
      <x:c r="D271" s="14" t="str">
        <x:v>I1</x:v>
      </x:c>
      <x:c r="E271" s="14" t="str">
        <x:v>BK-31</x:v>
      </x:c>
      <x:c r="F271" s="14" t="str">
        <x:v>partial</x:v>
      </x:c>
      <x:c r="G271" s="14" t="str">
        <x:v>BK-31-AC4</x:v>
      </x:c>
      <x:c r="H271" s="14" t="str">
        <x:v>an invitation is consumed exactly once and cannot be replayed</x:v>
      </x:c>
      <x:c r="I271" s="14" t="str">
        <x:v>integration_test</x:v>
      </x:c>
      <x:c r="J271" s="14" t="str">
        <x:v>STALE</x:v>
      </x:c>
      <x:c r="K271" s="14" t="str">
        <x:v>W1</x:v>
      </x:c>
      <x:c r="L271" s="14" t="str">
        <x:v>docs/BACKLOG.md#bk-31-account-access-recovery-and-workspace-identity</x:v>
      </x:c>
    </x:row>
    <x:row r="272" ht="40" customHeight="1">
      <x:c r="A272" s="3" t="str">
        <x:v>I</x:v>
      </x:c>
      <x:c r="B272" s="3" t="str">
        <x:v>STEP-I-01</x:v>
      </x:c>
      <x:c r="C272" s="3" t="str">
        <x:v>End the session and leave nothing behind</x:v>
      </x:c>
      <x:c r="D272" s="3" t="str">
        <x:v>I1</x:v>
      </x:c>
      <x:c r="E272" s="3" t="str">
        <x:v>BK-31</x:v>
      </x:c>
      <x:c r="F272" s="3" t="str">
        <x:v>partial</x:v>
      </x:c>
      <x:c r="G272" s="3" t="str">
        <x:v>BK-31-AC5</x:v>
      </x:c>
      <x:c r="H272" s="3" t="str">
        <x:v>failed enrolment attempts are rate-limited and audited without recording the invitation value</x:v>
      </x:c>
      <x:c r="I272" s="3" t="str">
        <x:v>integration_test</x:v>
      </x:c>
      <x:c r="J272" s="3" t="str">
        <x:v>STALE</x:v>
      </x:c>
      <x:c r="K272" s="3" t="str">
        <x:v>W1</x:v>
      </x:c>
      <x:c r="L272" s="3" t="str">
        <x:v>docs/BACKLOG.md#bk-31-account-access-recovery-and-workspace-identity</x:v>
      </x:c>
    </x:row>
    <x:row r="273" ht="40" customHeight="1">
      <x:c r="A273" s="14" t="str">
        <x:v>I</x:v>
      </x:c>
      <x:c r="B273" s="14" t="str">
        <x:v>STEP-I-01</x:v>
      </x:c>
      <x:c r="C273" s="14" t="str">
        <x:v>End the session and leave nothing behind</x:v>
      </x:c>
      <x:c r="D273" s="14" t="str">
        <x:v>I1</x:v>
      </x:c>
      <x:c r="E273" s="14" t="str">
        <x:v>BK-31</x:v>
      </x:c>
      <x:c r="F273" s="14" t="str">
        <x:v>partial</x:v>
      </x:c>
      <x:c r="G273" s="14" t="str">
        <x:v>BK-31-AC6</x:v>
      </x:c>
      <x:c r="H273" s="14" t="str">
        <x:v>an invitation expires and cannot enrol after its fixed lifetime</x:v>
      </x:c>
      <x:c r="I273" s="14" t="str">
        <x:v>integration_test</x:v>
      </x:c>
      <x:c r="J273" s="14" t="str">
        <x:v>STALE</x:v>
      </x:c>
      <x:c r="K273" s="14" t="str">
        <x:v>W1</x:v>
      </x:c>
      <x:c r="L273" s="14" t="str">
        <x:v>docs/BACKLOG.md#bk-31-account-access-recovery-and-workspace-identity</x:v>
      </x:c>
    </x:row>
    <x:row r="274" ht="40" customHeight="1">
      <x:c r="A274" s="3" t="str">
        <x:v>I</x:v>
      </x:c>
      <x:c r="B274" s="3" t="str">
        <x:v>STEP-I-01</x:v>
      </x:c>
      <x:c r="C274" s="3" t="str">
        <x:v>End the session and leave nothing behind</x:v>
      </x:c>
      <x:c r="D274" s="3" t="str">
        <x:v>I1</x:v>
      </x:c>
      <x:c r="E274" s="3" t="str">
        <x:v>BK-31</x:v>
      </x:c>
      <x:c r="F274" s="3" t="str">
        <x:v>partial</x:v>
      </x:c>
      <x:c r="G274" s="3" t="str">
        <x:v>BK-31-AC7</x:v>
      </x:c>
      <x:c r="H274" s="3" t="str">
        <x:v>active and used invitation records use the sealed .nm format; the raw invitation and roster identity are not readable at rest and only the token fingerprint appears in their filenames</x:v>
      </x:c>
      <x:c r="I274" s="3" t="str">
        <x:v>domain_test</x:v>
      </x:c>
      <x:c r="J274" s="3" t="str">
        <x:v>STALE</x:v>
      </x:c>
      <x:c r="K274" s="3" t="str">
        <x:v>W1</x:v>
      </x:c>
      <x:c r="L274" s="3" t="str">
        <x:v>docs/BACKLOG.md#bk-31-account-access-recovery-and-workspace-identity</x:v>
      </x:c>
    </x:row>
    <x:row r="275" ht="55" customHeight="1">
      <x:c r="A275" s="14" t="str">
        <x:v>I</x:v>
      </x:c>
      <x:c r="B275" s="14" t="str">
        <x:v>STEP-I-01</x:v>
      </x:c>
      <x:c r="C275" s="14" t="str">
        <x:v>End the session and leave nothing behind</x:v>
      </x:c>
      <x:c r="D275" s="14" t="str">
        <x:v>I1</x:v>
      </x:c>
      <x:c r="E275" s="14" t="str">
        <x:v>BK-31</x:v>
      </x:c>
      <x:c r="F275" s="14" t="str">
        <x:v>partial</x:v>
      </x:c>
      <x:c r="G275" s="14" t="str">
        <x:v>BK-31-AC8</x:v>
      </x:c>
      <x:c r="H275" s="14" t="str">
        <x:v>the invitation exclusively owns the canonical email, named advocate, professional profile and server-owned workspace; registration accepts only the invitation and the advocate's chosen password</x:v>
      </x:c>
      <x:c r="I275" s="14" t="str">
        <x:v>integration_test</x:v>
      </x:c>
      <x:c r="J275" s="14" t="str">
        <x:v>STALE</x:v>
      </x:c>
      <x:c r="K275" s="14" t="str">
        <x:v>W1</x:v>
      </x:c>
      <x:c r="L275" s="14" t="str">
        <x:v>docs/BACKLOG.md#bk-31-account-access-recovery-and-workspace-identity</x:v>
      </x:c>
    </x:row>
    <x:row r="276" ht="40" customHeight="1">
      <x:c r="A276" s="3" t="str">
        <x:v>I</x:v>
      </x:c>
      <x:c r="B276" s="3" t="str">
        <x:v>STEP-I-01</x:v>
      </x:c>
      <x:c r="C276" s="3" t="str">
        <x:v>End the session and leave nothing behind</x:v>
      </x:c>
      <x:c r="D276" s="3" t="str">
        <x:v>I1</x:v>
      </x:c>
      <x:c r="E276" s="3" t="str">
        <x:v>BK-31</x:v>
      </x:c>
      <x:c r="F276" s="3" t="str">
        <x:v>partial</x:v>
      </x:c>
      <x:c r="G276" s="3" t="str">
        <x:v>BK-31-AC9</x:v>
      </x:c>
      <x:c r="H276" s="3" t="str">
        <x:v>two concurrent claimants cannot both spend the same invitation</x:v>
      </x:c>
      <x:c r="I276" s="3" t="str">
        <x:v>adversarial_test</x:v>
      </x:c>
      <x:c r="J276" s="3" t="str">
        <x:v>STALE</x:v>
      </x:c>
      <x:c r="K276" s="3" t="str">
        <x:v>W1</x:v>
      </x:c>
      <x:c r="L276" s="3" t="str">
        <x:v>docs/BACKLOG.md#bk-31-account-access-recovery-and-workspace-identity</x:v>
      </x:c>
    </x:row>
    <x:row r="277" ht="40" customHeight="1">
      <x:c r="A277" s="14" t="str">
        <x:v>I</x:v>
      </x:c>
      <x:c r="B277" s="14" t="str">
        <x:v>STEP-I-01</x:v>
      </x:c>
      <x:c r="C277" s="14" t="str">
        <x:v>End the session and leave nothing behind</x:v>
      </x:c>
      <x:c r="D277" s="14" t="str">
        <x:v>I1</x:v>
      </x:c>
      <x:c r="E277" s="14" t="str">
        <x:v>BK-31</x:v>
      </x:c>
      <x:c r="F277" s="14" t="str">
        <x:v>partial</x:v>
      </x:c>
      <x:c r="G277" s="14" t="str">
        <x:v>BK-31-AC10</x:v>
      </x:c>
      <x:c r="H277" s="14" t="str">
        <x:v>the browser sends the route's invitation header, conceals its value and clears it from the DOM before waiting on the network</x:v>
      </x:c>
      <x:c r="I277" s="14" t="str">
        <x:v>integration_test, browser_journey</x:v>
      </x:c>
      <x:c r="J277" s="14" t="str">
        <x:v>STALE</x:v>
      </x:c>
      <x:c r="K277" s="14" t="str">
        <x:v>W1</x:v>
      </x:c>
      <x:c r="L277" s="14" t="str">
        <x:v>docs/BACKLOG.md#bk-31-account-access-recovery-and-workspace-identity</x:v>
      </x:c>
    </x:row>
    <x:row r="278" ht="40" customHeight="1">
      <x:c r="A278" s="3" t="str">
        <x:v>I</x:v>
      </x:c>
      <x:c r="B278" s="3" t="str">
        <x:v>STEP-I-01</x:v>
      </x:c>
      <x:c r="C278" s="3" t="str">
        <x:v>End the session and leave nothing behind</x:v>
      </x:c>
      <x:c r="D278" s="3" t="str">
        <x:v>I1</x:v>
      </x:c>
      <x:c r="E278" s="3" t="str">
        <x:v>BK-31</x:v>
      </x:c>
      <x:c r="F278" s="3" t="str">
        <x:v>partial</x:v>
      </x:c>
      <x:c r="G278" s="3" t="str">
        <x:v>BK-31-AC11</x:v>
      </x:c>
      <x:c r="H278" s="3" t="str">
        <x:v>two different valid invitations for one advocate cannot race to replace that advocate's credential or both report enrolment</x:v>
      </x:c>
      <x:c r="I278" s="3" t="str">
        <x:v>adversarial_test</x:v>
      </x:c>
      <x:c r="J278" s="3" t="str">
        <x:v>STALE</x:v>
      </x:c>
      <x:c r="K278" s="3" t="str">
        <x:v>W1</x:v>
      </x:c>
      <x:c r="L278" s="3" t="str">
        <x:v>docs/BACKLOG.md#bk-31-account-access-recovery-and-workspace-identity</x:v>
      </x:c>
    </x:row>
    <x:row r="279" ht="40" customHeight="1">
      <x:c r="A279" s="14" t="str">
        <x:v>I</x:v>
      </x:c>
      <x:c r="B279" s="14" t="str">
        <x:v>STEP-I-01</x:v>
      </x:c>
      <x:c r="C279" s="14" t="str">
        <x:v>End the session and leave nothing behind</x:v>
      </x:c>
      <x:c r="D279" s="14" t="str">
        <x:v>I1</x:v>
      </x:c>
      <x:c r="E279" s="14" t="str">
        <x:v>BK-31</x:v>
      </x:c>
      <x:c r="F279" s="14" t="str">
        <x:v>partial</x:v>
      </x:c>
      <x:c r="G279" s="14" t="str">
        <x:v>BK-31-AC12</x:v>
      </x:c>
      <x:c r="H279" s="14" t="str">
        <x:v>the browser registration form does not ask the advocate to retype identity or workspace facts already fixed by the invitation</x:v>
      </x:c>
      <x:c r="I279" s="14" t="str">
        <x:v>integration_test</x:v>
      </x:c>
      <x:c r="J279" s="14" t="str">
        <x:v>STALE</x:v>
      </x:c>
      <x:c r="K279" s="14" t="str">
        <x:v>W1</x:v>
      </x:c>
      <x:c r="L279" s="14" t="str">
        <x:v>docs/BACKLOG.md#bk-31-account-access-recovery-and-workspace-identity</x:v>
      </x:c>
    </x:row>
    <x:row r="280" ht="55" customHeight="1">
      <x:c r="A280" s="3" t="str">
        <x:v>I</x:v>
      </x:c>
      <x:c r="B280" s="3" t="str">
        <x:v>STEP-I-01</x:v>
      </x:c>
      <x:c r="C280" s="3" t="str">
        <x:v>End the session and leave nothing behind</x:v>
      </x:c>
      <x:c r="D280" s="3" t="str">
        <x:v>I1</x:v>
      </x:c>
      <x:c r="E280" s="3" t="str">
        <x:v>BK-31</x:v>
      </x:c>
      <x:c r="F280" s="3" t="str">
        <x:v>partial</x:v>
      </x:c>
      <x:c r="G280" s="3" t="str">
        <x:v>BK-31-AC13</x:v>
      </x:c>
      <x:c r="H280" s="3" t="str">
        <x:v>before matter content appears, the served application names the active server-owned workspace distinctly from the advocate's professional profile and offers no false selector when only one workspace is available</x:v>
      </x:c>
      <x:c r="I280" s="3" t="str">
        <x:v>integration_test, browser_journey</x:v>
      </x:c>
      <x:c r="J280" s="3" t="str">
        <x:v>STALE</x:v>
      </x:c>
      <x:c r="K280" s="3" t="str">
        <x:v>W1</x:v>
      </x:c>
      <x:c r="L280" s="3" t="str">
        <x:v>docs/BACKLOG.md#bk-31-account-access-recovery-and-workspace-identity</x:v>
      </x:c>
    </x:row>
    <x:row r="281" ht="40" customHeight="1">
      <x:c r="A281" s="14" t="str">
        <x:v>I</x:v>
      </x:c>
      <x:c r="B281" s="14" t="str">
        <x:v>STEP-I-01</x:v>
      </x:c>
      <x:c r="C281" s="14" t="str">
        <x:v>End the session and leave nothing behind</x:v>
      </x:c>
      <x:c r="D281" s="14" t="str">
        <x:v>I1</x:v>
      </x:c>
      <x:c r="E281" s="14" t="str">
        <x:v>BK-31</x:v>
      </x:c>
      <x:c r="F281" s="14" t="str">
        <x:v>partial</x:v>
      </x:c>
      <x:c r="G281" s="14" t="str">
        <x:v>BK-31-AC14</x:v>
      </x:c>
      <x:c r="H281" s="14" t="str">
        <x:v>every advocate receives at least eight high-entropy typeable one-time recovery codes while the server stores only distinct salted hashes and returns complete codes only once</x:v>
      </x:c>
      <x:c r="I281" s="14" t="str">
        <x:v>domain_test, integration_test</x:v>
      </x:c>
      <x:c r="J281" s="14" t="str">
        <x:v>STALE</x:v>
      </x:c>
      <x:c r="K281" s="14" t="str">
        <x:v>W1</x:v>
      </x:c>
      <x:c r="L281" s="14" t="str">
        <x:v>docs/BACKLOG.md#bk-31-account-access-recovery-and-workspace-identity</x:v>
      </x:c>
    </x:row>
    <x:row r="282" ht="40" customHeight="1">
      <x:c r="A282" s="3" t="str">
        <x:v>I</x:v>
      </x:c>
      <x:c r="B282" s="3" t="str">
        <x:v>STEP-I-01</x:v>
      </x:c>
      <x:c r="C282" s="3" t="str">
        <x:v>End the session and leave nothing behind</x:v>
      </x:c>
      <x:c r="D282" s="3" t="str">
        <x:v>I1</x:v>
      </x:c>
      <x:c r="E282" s="3" t="str">
        <x:v>BK-31</x:v>
      </x:c>
      <x:c r="F282" s="3" t="str">
        <x:v>partial</x:v>
      </x:c>
      <x:c r="G282" s="3" t="str">
        <x:v>BK-31-AC15</x:v>
      </x:c>
      <x:c r="H282" s="3" t="str">
        <x:v>unknown, wrong and used recovery codes receive one neutral response while failed attempts are rate-limited and audited without recording any presented code</x:v>
      </x:c>
      <x:c r="I282" s="3" t="str">
        <x:v>integration_test, adversarial_test</x:v>
      </x:c>
      <x:c r="J282" s="3" t="str">
        <x:v>STALE</x:v>
      </x:c>
      <x:c r="K282" s="3" t="str">
        <x:v>W1</x:v>
      </x:c>
      <x:c r="L282" s="3" t="str">
        <x:v>docs/BACKLOG.md#bk-31-account-access-recovery-and-workspace-identity</x:v>
      </x:c>
    </x:row>
    <x:row r="283" ht="40" customHeight="1">
      <x:c r="A283" s="14" t="str">
        <x:v>I</x:v>
      </x:c>
      <x:c r="B283" s="14" t="str">
        <x:v>STEP-I-01</x:v>
      </x:c>
      <x:c r="C283" s="14" t="str">
        <x:v>End the session and leave nothing behind</x:v>
      </x:c>
      <x:c r="D283" s="14" t="str">
        <x:v>I1</x:v>
      </x:c>
      <x:c r="E283" s="14" t="str">
        <x:v>BK-31</x:v>
      </x:c>
      <x:c r="F283" s="14" t="str">
        <x:v>partial</x:v>
      </x:c>
      <x:c r="G283" s="14" t="str">
        <x:v>BK-31-AC16</x:v>
      </x:c>
      <x:c r="H283" s="14" t="str">
        <x:v>two workers cannot consume the same recovery code successfully</x:v>
      </x:c>
      <x:c r="I283" s="14" t="str">
        <x:v>adversarial_test</x:v>
      </x:c>
      <x:c r="J283" s="14" t="str">
        <x:v>STALE</x:v>
      </x:c>
      <x:c r="K283" s="14" t="str">
        <x:v>W1</x:v>
      </x:c>
      <x:c r="L283" s="14" t="str">
        <x:v>docs/BACKLOG.md#bk-31-account-access-recovery-and-workspace-identity</x:v>
      </x:c>
    </x:row>
    <x:row r="284" ht="40" customHeight="1">
      <x:c r="A284" s="3" t="str">
        <x:v>I</x:v>
      </x:c>
      <x:c r="B284" s="3" t="str">
        <x:v>STEP-I-01</x:v>
      </x:c>
      <x:c r="C284" s="3" t="str">
        <x:v>End the session and leave nothing behind</x:v>
      </x:c>
      <x:c r="D284" s="3" t="str">
        <x:v>I1</x:v>
      </x:c>
      <x:c r="E284" s="3" t="str">
        <x:v>BK-31</x:v>
      </x:c>
      <x:c r="F284" s="3" t="str">
        <x:v>partial</x:v>
      </x:c>
      <x:c r="G284" s="3" t="str">
        <x:v>BK-31-AC17</x:v>
      </x:c>
      <x:c r="H284" s="3" t="str">
        <x:v>sign-in authentication and session issue cannot cross a concurrent recovery generation, and an abandoned worker claim cannot leave the account permanently locked</x:v>
      </x:c>
      <x:c r="I284" s="3" t="str">
        <x:v>adversarial_test</x:v>
      </x:c>
      <x:c r="J284" s="3" t="str">
        <x:v>STALE</x:v>
      </x:c>
      <x:c r="K284" s="3" t="str">
        <x:v>W1</x:v>
      </x:c>
      <x:c r="L284" s="3" t="str">
        <x:v>docs/BACKLOG.md#bk-31-account-access-recovery-and-workspace-identity</x:v>
      </x:c>
    </x:row>
    <x:row r="285" ht="55" customHeight="1">
      <x:c r="A285" s="14" t="str">
        <x:v>I</x:v>
      </x:c>
      <x:c r="B285" s="14" t="str">
        <x:v>STEP-I-01</x:v>
      </x:c>
      <x:c r="C285" s="14" t="str">
        <x:v>End the session and leave nothing behind</x:v>
      </x:c>
      <x:c r="D285" s="14" t="str">
        <x:v>I1</x:v>
      </x:c>
      <x:c r="E285" s="14" t="str">
        <x:v>BK-31</x:v>
      </x:c>
      <x:c r="F285" s="14" t="str">
        <x:v>partial</x:v>
      </x:c>
      <x:c r="G285" s="14" t="str">
        <x:v>BK-31-AC18</x:v>
      </x:c>
      <x:c r="H285" s="14" t="str">
        <x:v>an untrusted sign-in or recovery identifier cannot escape the advocate-record directory, alias a platform-reserved filename or create an enrolled identity that cannot be addressed portably</x:v>
      </x:c>
      <x:c r="I285" s="14" t="str">
        <x:v>adversarial_test</x:v>
      </x:c>
      <x:c r="J285" s="14" t="str">
        <x:v>STALE</x:v>
      </x:c>
      <x:c r="K285" s="14" t="str">
        <x:v>W1</x:v>
      </x:c>
      <x:c r="L285" s="14" t="str">
        <x:v>docs/BACKLOG.md#bk-31-account-access-recovery-and-workspace-identity</x:v>
      </x:c>
    </x:row>
    <x:row r="286" ht="40" customHeight="1">
      <x:c r="A286" s="3" t="str">
        <x:v>I</x:v>
      </x:c>
      <x:c r="B286" s="3" t="str">
        <x:v>STEP-I-01</x:v>
      </x:c>
      <x:c r="C286" s="3" t="str">
        <x:v>End the session and leave nothing behind</x:v>
      </x:c>
      <x:c r="D286" s="3" t="str">
        <x:v>I1</x:v>
      </x:c>
      <x:c r="E286" s="3" t="str">
        <x:v>BK-31</x:v>
      </x:c>
      <x:c r="F286" s="3" t="str">
        <x:v>partial</x:v>
      </x:c>
      <x:c r="G286" s="3" t="str">
        <x:v>BK-31-AC19</x:v>
      </x:c>
      <x:c r="H286" s="3" t="str">
        <x:v>concurrent sign-in failures cannot exchange their diagnostic state and tell one advocate that another request's account is unknown, wrong or unreadable</x:v>
      </x:c>
      <x:c r="I286" s="3" t="str">
        <x:v>adversarial_test</x:v>
      </x:c>
      <x:c r="J286" s="3" t="str">
        <x:v>STALE</x:v>
      </x:c>
      <x:c r="K286" s="3" t="str">
        <x:v>W1</x:v>
      </x:c>
      <x:c r="L286" s="3" t="str">
        <x:v>docs/BACKLOG.md#bk-31-account-access-recovery-and-workspace-identity</x:v>
      </x:c>
    </x:row>
    <x:row r="287" ht="55" customHeight="1">
      <x:c r="A287" s="14" t="str">
        <x:v>I</x:v>
      </x:c>
      <x:c r="B287" s="14" t="str">
        <x:v>STEP-I-01</x:v>
      </x:c>
      <x:c r="C287" s="14" t="str">
        <x:v>End the session and leave nothing behind</x:v>
      </x:c>
      <x:c r="D287" s="14" t="str">
        <x:v>I1</x:v>
      </x:c>
      <x:c r="E287" s="14" t="str">
        <x:v>BK-31</x:v>
      </x:c>
      <x:c r="F287" s="14" t="str">
        <x:v>partial</x:v>
      </x:c>
      <x:c r="G287" s="14" t="str">
        <x:v>BK-31-AC20</x:v>
      </x:c>
      <x:c r="H287" s="14" t="str">
        <x:v>an authenticated advocate can replace the recovery-code set after fresh authentication; replacement invalidates all prior unused codes atomically, returns new codes once and records the security event without recording the codes</x:v>
      </x:c>
      <x:c r="I287" s="14" t="str">
        <x:v>integration_test, adversarial_test, browser_journey</x:v>
      </x:c>
      <x:c r="J287" s="14" t="str">
        <x:v>NOT_RUN</x:v>
      </x:c>
      <x:c r="K287" s="14" t="str">
        <x:v>W1</x:v>
      </x:c>
      <x:c r="L287"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8d9af7bbd4144088"/>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27" customHeight="1">
      <x:c r="A22" s="3" t="str">
        <x:v>BG-019</x:v>
      </x:c>
      <x:c r="B22" s="3" t="str">
        <x:v>before</x:v>
      </x:c>
      <x:c r="C22" s="3" t="str">
        <x:v>ready</x:v>
      </x:c>
      <x:c r="D22" s="3" t="str">
        <x:v>A registered item and one delivery wave own it.</x:v>
      </x:c>
      <x:c r="E22" s="3" t="str">
        <x:v>runner</x:v>
      </x:c>
      <x:c r="F22" s="3" t="str">
        <x:v>tools/backlog.py lint -- active item has no delivery wave</x:v>
      </x:c>
      <x:c r="G22" s="3" t="str"/>
      <x:c r="H22" s="3" t="str"/>
      <x:c r="I22" s="3" t="str">
        <x:v>docs/playbooks/START_A_CHANGE.md</x:v>
      </x:c>
    </x:row>
    <x:row r="23" ht="27" customHeight="1">
      <x:c r="A23" s="14" t="str">
        <x:v>BG-020</x:v>
      </x:c>
      <x:c r="B23" s="14" t="str">
        <x:v>before</x:v>
      </x:c>
      <x:c r="C23" s="14" t="str">
        <x:v>ready</x:v>
      </x:c>
      <x:c r="D23" s="14" t="str">
        <x:v>Dependencies are known and do not run backward.</x:v>
      </x:c>
      <x:c r="E23" s="14" t="str">
        <x:v>runner</x:v>
      </x:c>
      <x:c r="F23" s="14" t="str">
        <x:v>tools/backlog.py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tools/backlog.py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tools/backlog.py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tools/backlog.py lint -- row not in the registry, or no wave</x:v>
      </x:c>
      <x:c r="G51" s="14" t="str"/>
      <x:c r="H51" s="14" t="str"/>
      <x:c r="I51" s="14" t="str">
        <x:v>docs/playbooks/START_A_CHANGE.md</x:v>
      </x:c>
    </x:row>
    <x:row r="52" ht="27" customHeight="1">
      <x:c r="A52" s="3" t="str">
        <x:v>BG-049</x:v>
      </x:c>
      <x:c r="B52" s="3" t="str">
        <x:v>before</x:v>
      </x:c>
      <x:c r="C52" s="3" t="str">
        <x:v>stop</x:v>
      </x:c>
      <x:c r="D52" s="3" t="str">
        <x:v>a hard dependency is later than its consumer</x:v>
      </x:c>
      <x:c r="E52" s="3" t="str">
        <x:v>runner</x:v>
      </x:c>
      <x:c r="F52" s="3" t="str">
        <x:v>tools/backlog.py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7df493981f59400e"/>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9b946c3b56f347c4"/>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Intended manual profiles until BK-80 enforces membership and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97" customHeight="1">
      <x:c r="A8" s="17" t="str">
        <x:v>prototype</x:v>
      </x:c>
      <x:c r="B8" s="17" t="str">
        <x:v>Conditional work</x:v>
      </x:c>
      <x:c r="C8" s="17"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9" ht="46" customHeight="1">
      <x:c r="A9" s="18" t="str">
        <x:v>prototype</x:v>
      </x:c>
      <x:c r="B9" s="18" t="str">
        <x:v>Required evidence</x:v>
      </x:c>
      <x:c r="C9" s="18" t="str">
        <x:v>Current local controls for every exercised path
Human inspection of known limitations and data authority</x:v>
      </x:c>
    </x:row>
    <x:row r="10" ht="80" customHeight="1">
      <x:c r="A10" s="17" t="str">
        <x:v>prototype</x:v>
      </x:c>
      <x:c r="B10" s="17" t="str">
        <x:v>Excluded claims</x:v>
      </x:c>
      <x:c r="C10" s="17" t="str">
        <x:v>Phase A completion before all Phase A contracts and served proof pass
Considered legal advice merely because a demonstration returns an answer
Permission to process real client material without explicit authority
Production MFA or deployment recovery</x:v>
      </x:c>
    </x:row>
    <x:row r="11" ht="46" customHeight="1">
      <x:c r="A11" s="18" t="str">
        <x:v>prototype</x:v>
      </x:c>
      <x:c r="B11" s="18" t="str">
        <x:v>Approval</x:v>
      </x:c>
      <x:c r="C11" s="18" t="str">
        <x:v>This is a scope definition, not approval to run a demonstration or use client data. Record the accountable authorisation for the intended use.</x:v>
      </x:c>
    </x:row>
    <x:row r="12" ht="30" customHeight="1">
      <x:c r="A12" s="17" t="str">
        <x:v>prototype</x:v>
      </x:c>
      <x:c r="B12" s="17" t="str">
        <x:v>Control</x:v>
      </x:c>
      <x:c r="C12" s="17" t="str">
        <x:v>manual_until_BK-80</x:v>
      </x:c>
    </x:row>
    <x:row r="13" ht="30" customHeight="1">
      <x:c r="A13" s="18" t="str">
        <x:v>pilot</x:v>
      </x:c>
      <x:c r="B13" s="18" t="str">
        <x:v>Profile name</x:v>
      </x:c>
      <x:c r="C13" s="18" t="str">
        <x:v>Bounded advocate pilot</x:v>
      </x:c>
    </x:row>
    <x:row r="14" ht="46" customHeight="1">
      <x:c r="A14" s="17" t="str">
        <x:v>pilot</x:v>
      </x:c>
      <x:c r="B14" s="17" t="str">
        <x:v>Scope</x:v>
      </x:c>
      <x:c r="C14" s="17" t="str">
        <x:v>A named invited advocate population, authorised materials, declared corpus/jurisdiction and enabled feature set; supervised decisions and no undeclared external action.</x:v>
      </x:c>
    </x:row>
    <x:row r="15" ht="46" customHeight="1">
      <x:c r="A15" s="18" t="str">
        <x:v>pilot</x:v>
      </x:c>
      <x:c r="B15" s="18" t="str">
        <x:v>Entry conditions</x:v>
      </x:c>
      <x:c r="C15" s="18" t="str">
        <x:v>Publish the exact enabled user journeys, supported media/languages and remaining limitations.
Name qualified reviewers, stop conditions, incident owner and the expiry/review date of pilot approval.</x:v>
      </x:c>
    </x:row>
    <x:row r="16" ht="30" customHeight="1">
      <x:c r="A16" s="17" t="str">
        <x:v>pilot</x:v>
      </x:c>
      <x:c r="B16" s="17" t="str">
        <x:v>Required work</x:v>
      </x:c>
      <x:c r="C16" s="17" t="str">
        <x:v>BK-21, BK-31, BK-32, BK-33, BK-34, BK-38, BK-40, BK-53, BK-62, BK-63, BK-66, BK-67, BK-78, BK-80, BK-85, BK-86, BK-88</x:v>
      </x:c>
    </x:row>
    <x:row r="17" ht="97" customHeight="1">
      <x:c r="A17" s="18" t="str">
        <x:v>pilot</x:v>
      </x:c>
      <x:c r="B17" s="18" t="str">
        <x:v>Conditional work</x:v>
      </x:c>
      <x:c r="C17"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18" ht="63" customHeight="1">
      <x:c r="A18" s="17" t="str">
        <x:v>pilot</x:v>
      </x:c>
      <x:c r="B18" s="17" t="str">
        <x:v>Required evidence</x:v>
      </x:c>
      <x:c r="C18" s="17" t="str">
        <x:v>Current served journey for enabled scope with expected populations
Current representative-matter model evaluation and qualified counsel review
Environment-specific security, privacy and recovery review</x:v>
      </x:c>
    </x:row>
    <x:row r="19" ht="63" customHeight="1">
      <x:c r="A19" s="18" t="str">
        <x:v>pilot</x:v>
      </x:c>
      <x:c r="B19" s="18" t="str">
        <x:v>Excluded claims</x:v>
      </x:c>
      <x:c r="C19" s="18" t="str">
        <x:v>Public or general production readiness
Support for untested courts, languages, media or external actions
Automatic waiver of MFA or other material security requirements</x:v>
      </x:c>
    </x:row>
    <x:row r="20" ht="46" customHeight="1">
      <x:c r="A20" s="17" t="str">
        <x:v>pilot</x:v>
      </x:c>
      <x:c r="B20" s="17" t="str">
        <x:v>Approval</x:v>
      </x:c>
      <x:c r="C20" s="17" t="str">
        <x:v>Pilot activation requires an explicit accountable, bounded approval naming material risks and compensating controls. No prototype decision or this plan grants it.</x:v>
      </x:c>
    </x:row>
    <x:row r="21" ht="30" customHeight="1">
      <x:c r="A21" s="18" t="str">
        <x:v>pilot</x:v>
      </x:c>
      <x:c r="B21" s="18" t="str">
        <x:v>Control</x:v>
      </x:c>
      <x:c r="C21" s="18" t="str">
        <x:v>manual_until_BK-80</x:v>
      </x:c>
    </x:row>
    <x:row r="22" ht="30" customHeight="1">
      <x:c r="A22" s="17" t="str">
        <x:v>production</x:v>
      </x:c>
      <x:c r="B22" s="17" t="str">
        <x:v>Profile name</x:v>
      </x:c>
      <x:c r="C22" s="17" t="str">
        <x:v>Named production release</x:v>
      </x:c>
    </x:row>
    <x:row r="23" ht="46" customHeight="1">
      <x:c r="A23" s="18" t="str">
        <x:v>production</x:v>
      </x:c>
      <x:c r="B23" s="18" t="str">
        <x:v>Scope</x:v>
      </x:c>
      <x:c r="C23" s="18" t="str">
        <x:v>A specific deployment and release manifest defining users, tenancy, legal coverage, enabled features, processing, service levels and operating responsibilities.</x:v>
      </x:c>
    </x:row>
    <x:row r="24" ht="46" customHeight="1">
      <x:c r="A24" s="17" t="str">
        <x:v>production</x:v>
      </x:c>
      <x:c r="B24" s="17" t="str">
        <x:v>Entry conditions</x:v>
      </x:c>
      <x:c r="C24" s="17" t="str">
        <x:v>Publish the exact release manifest and all applicable pilot and production obligations.
Obtain a current qualified legal review of relied-on governing premises and professional-role restrictions.</x:v>
      </x:c>
    </x:row>
    <x:row r="25" ht="30" customHeight="1">
      <x:c r="A25" s="18" t="str">
        <x:v>production</x:v>
      </x:c>
      <x:c r="B25" s="18" t="str">
        <x:v>Required work</x:v>
      </x:c>
      <x:c r="C25" s="18" t="str">
        <x:v>BK-21, BK-31, BK-34, BK-40, BK-41, BK-42, BK-62, BK-63, BK-66, BK-67, BK-80, BK-85, BK-86, BK-88</x:v>
      </x:c>
    </x:row>
    <x:row r="26" ht="97" customHeight="1">
      <x:c r="A26" s="17" t="str">
        <x:v>production</x:v>
      </x:c>
      <x:c r="B26" s="17" t="str">
        <x:v>Conditional work</x:v>
      </x:c>
      <x:c r="C26" s="17"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27" ht="63" customHeight="1">
      <x:c r="A27" s="18" t="str">
        <x:v>production</x:v>
      </x:c>
      <x:c r="B27" s="18" t="str">
        <x:v>Required evidence</x:v>
      </x:c>
      <x:c r="C27" s="18" t="str">
        <x:v>Current complete automated and served proof for the release manifest
Current representative professional-quality review
Measured security, restore, rollback, accessibility, capacity and service outcomes on the deployment shape</x:v>
      </x:c>
    </x:row>
    <x:row r="28" ht="46" customHeight="1">
      <x:c r="A28" s="17" t="str">
        <x:v>production</x:v>
      </x:c>
      <x:c r="B28" s="17" t="str">
        <x:v>Excluded claims</x:v>
      </x:c>
      <x:c r="C28" s="17" t="str">
        <x:v>Completion of disabled future features
Approval inferred from row counts, a test-only PASS or a generated workbook</x:v>
      </x:c>
    </x:row>
    <x:row r="29" ht="46" customHeight="1">
      <x:c r="A29" s="18" t="str">
        <x:v>production</x:v>
      </x:c>
      <x:c r="B29" s="18" t="str">
        <x:v>Approval</x:v>
      </x:c>
      <x:c r="C29" s="18" t="str">
        <x:v>No release is authorised by this plan. Accountable production sign-off is required; any material exception must be separately approved, owned, expiring and visible with compensating controls. D-013 does not grant a production MFA exception.</x:v>
      </x:c>
    </x:row>
    <x:row r="30" ht="30" customHeight="1">
      <x:c r="A30" s="17" t="str">
        <x:v>production</x:v>
      </x:c>
      <x:c r="B30" s="17" t="str">
        <x:v>Control</x:v>
      </x:c>
      <x:c r="C30" s="17" t="str">
        <x:v>manual_until_BK-80</x:v>
      </x:c>
    </x:row>
  </x:sheetData>
  <x:mergeCells>
    <x:mergeCell ref="A1:C1"/>
    <x:mergeCell ref="A2:C2"/>
  </x:mergeCells>
  <x:pageMargins left="0.7" right="0.7" top="0.75" bottom="0.75" header="0.3" footer="0.3"/>
  <x:tableParts count="1">
    <x:tablePart xmlns:r="http://schemas.openxmlformats.org/officeDocument/2006/relationships" r:id="Rbc76e981539a4272"/>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5324365b97544463"/>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e0bd62bc5b5a4ce1"/>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PLANNED</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PLANNED</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PLANNED</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PLANNED</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PLANNED</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PLANNED</x:v>
      </x:c>
    </x:row>
  </x:sheetData>
  <x:mergeCells>
    <x:mergeCell ref="A1:J1"/>
    <x:mergeCell ref="A2:J2"/>
  </x:mergeCells>
  <x:pageMargins left="0.7" right="0.7" top="0.75" bottom="0.75" header="0.3" footer="0.3"/>
  <x:tableParts count="1">
    <x:tablePart xmlns:r="http://schemas.openxmlformats.org/officeDocument/2006/relationships" r:id="R35dbdfb998c44e2e"/>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PLANNED</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PLANNED</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PLANNED</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PLANNED</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PLANNED</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PLANNED</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PLANNED</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0da42aa9c3a0414f"/>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PLANNED</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PLANNED</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PLANNED</x:v>
      </x:c>
    </x:row>
  </x:sheetData>
  <x:mergeCells>
    <x:mergeCell ref="A1:H1"/>
    <x:mergeCell ref="A2:H2"/>
  </x:mergeCells>
  <x:pageMargins left="0.7" right="0.7" top="0.75" bottom="0.75" header="0.3" footer="0.3"/>
  <x:tableParts count="1">
    <x:tablePart xmlns:r="http://schemas.openxmlformats.org/officeDocument/2006/relationships" r:id="R9b6ddfa2405b4b1a"/>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PLANNED</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PLANNED</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PLANNED</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PLANNED</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PLANNED</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3aee4621a80e4231"/>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PLANNED</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PLANNED</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PLANNED</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PLANNED</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PLANNED</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PLANNED</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PLANNED</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350f6fd66d294134"/>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a973a90366554dcb"/>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5</x:v>
      </x:c>
      <x:c r="H4" s="3" t="n">
        <x:v>5</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23</x:v>
      </x:c>
      <x:c r="H11" s="14" t="n">
        <x:v>21</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9</x:v>
      </x:c>
      <x:c r="H17" s="14" t="n">
        <x:v>9</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2</x:v>
      </x:c>
      <x:c r="H20" s="3" t="n">
        <x:v>2</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5</x:v>
      </x:c>
      <x:c r="H24" s="3" t="n">
        <x:v>5</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3</x:v>
      </x:c>
      <x:c r="H25" s="14" t="n">
        <x:v>3</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1</x:v>
      </x:c>
      <x:c r="H26" s="3" t="n">
        <x:v>1</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7</x:v>
      </x:c>
      <x:c r="H28" s="3" t="n">
        <x:v>4</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2</x:v>
      </x:c>
      <x:c r="H29" s="14" t="n">
        <x:v>2</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4</x:v>
      </x:c>
      <x:c r="H30" s="3" t="n">
        <x:v>4</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27</x:v>
      </x:c>
      <x:c r="H45" s="14" t="n">
        <x:v>27</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1f3c0ece75b342c5"/>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source fingerprint</x:v>
      </x:c>
    </x:row>
    <x:row r="6" ht="27" customHeight="1">
      <x:c r="A6" s="3" t="str">
        <x:v>P01</x:v>
      </x:c>
      <x:c r="B6" s="3" t="str">
        <x:v>Make current specification and evidence identity truthful</x:v>
      </x:c>
      <x:c r="C6" s="3" t="str">
        <x:v>outputs</x:v>
      </x:c>
      <x:c r="D6" s="3" t="n">
        <x:v>1</x:v>
      </x:c>
      <x:c r="E6" s="3" t="str">
        <x:v>Registry-backed current feature export; explicitly historical slice/eval fields</x:v>
      </x:c>
    </x:row>
    <x:row r="7" ht="27" customHeight="1">
      <x:c r="A7" s="14" t="str">
        <x:v>P01</x:v>
      </x:c>
      <x:c r="B7" s="14" t="str">
        <x:v>Make current specification and evidence identity truthful</x:v>
      </x:c>
      <x:c r="C7" s="14" t="str">
        <x:v>outputs</x:v>
      </x:c>
      <x:c r="D7" s="14" t="n">
        <x:v>2</x:v>
      </x:c>
      <x:c r="E7" s="14" t="str">
        <x:v>Fingerprint including applicable promises without including generated verdicts</x:v>
      </x:c>
    </x:row>
    <x:row r="8" ht="40" customHeight="1">
      <x:c r="A8" s="3" t="str">
        <x:v>P01</x:v>
      </x:c>
      <x:c r="B8" s="3" t="str">
        <x:v>Make current specification and evidence identity truthful</x:v>
      </x:c>
      <x:c r="C8" s="3" t="str">
        <x:v>steps</x:v>
      </x:c>
      <x:c r="D8" s="3" t="n">
        <x:v>1</x:v>
      </x:c>
      <x:c r="E8" s="3" t="str">
        <x:v>Read main() in export_spec.py: replace workbook Status authority with one registry-derived projection; preserve historical eval IDs and slice metadata explicitly.</x:v>
      </x:c>
    </x:row>
    <x:row r="9" ht="40" customHeight="1">
      <x:c r="A9" s="14" t="str">
        <x:v>P01</x:v>
      </x:c>
      <x:c r="B9" s="14" t="str">
        <x:v>Make current specification and evidence identity truthful</x:v>
      </x:c>
      <x:c r="C9" s="14" t="str">
        <x:v>steps</x:v>
      </x:c>
      <x:c r="D9" s="14" t="n">
        <x:v>2</x:v>
      </x:c>
      <x:c r="E9" s="14" t="str">
        <x:v>Reject missing, duplicate and unknown feature IDs before any generated output is published; compare all 44 current features, not a selected sample.</x:v>
      </x:c>
    </x:row>
    <x:row r="10" ht="40" customHeight="1">
      <x:c r="A10" s="3" t="str">
        <x:v>P01</x:v>
      </x:c>
      <x:c r="B10" s="3" t="str">
        <x:v>Make current specification and evidence identity truthful</x:v>
      </x:c>
      <x:c r="C10" s="3" t="str">
        <x:v>steps</x:v>
      </x:c>
      <x:c r="D10" s="3" t="n">
        <x:v>3</x:v>
      </x:c>
      <x:c r="E10" s="3" t="str">
        <x:v>Add a temporary-tree test changing one current feature while historical Status remains tested, and a fingerprint test changing one applicable promise; regenerate and compare only after the tests pass.</x:v>
      </x:c>
    </x:row>
    <x:row r="11" ht="55" customHeight="1">
      <x:c r="A11" s="14" t="str">
        <x:v>P01</x:v>
      </x:c>
      <x:c r="B11" s="14" t="str">
        <x:v>Make current specification and evidence identity truthful</x:v>
      </x:c>
      <x:c r="C11" s="14" t="str">
        <x:v>steps</x:v>
      </x:c>
      <x:c r="D11" s="14" t="n">
        <x:v>4</x:v>
      </x:c>
      <x:c r="E11"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2" ht="40" customHeight="1">
      <x:c r="A12" s="3" t="str">
        <x:v>P01</x:v>
      </x:c>
      <x:c r="B12" s="3" t="str">
        <x:v>Make current specification and evidence identity truthful</x:v>
      </x:c>
      <x:c r="C12" s="3" t="str">
        <x:v>steps</x:v>
      </x:c>
      <x:c r="D12" s="3" t="n">
        <x:v>5</x:v>
      </x:c>
      <x:c r="E12" s="3" t="str">
        <x:v>Mark the gate stamp scoped, carrying the waived ids and the registry digest, so a caller asking whether the FULL gate is green is refused and no acceptance criterion derives done from a scoped run.</x:v>
      </x:c>
    </x:row>
    <x:row r="13" ht="27" customHeight="1">
      <x:c r="A13" s="14" t="str">
        <x:v>P01</x:v>
      </x:c>
      <x:c r="B13" s="14" t="str">
        <x:v>Make current specification and evidence identity truthful</x:v>
      </x:c>
      <x:c r="C13" s="14" t="str">
        <x:v>expected</x:v>
      </x:c>
      <x:c r="D13" s="14" t="n">
        <x:v>1</x:v>
      </x:c>
      <x:c r="E13" s="14" t="str">
        <x:v>Historical tested cannot overwrite current partial/unproven.</x:v>
      </x:c>
    </x:row>
    <x:row r="14" ht="40" customHeight="1">
      <x:c r="A14" s="3" t="str">
        <x:v>P01</x:v>
      </x:c>
      <x:c r="B14" s="3" t="str">
        <x:v>Make current specification and evidence identity truthful</x:v>
      </x:c>
      <x:c r="C14" s="3" t="str">
        <x:v>expected</x:v>
      </x:c>
      <x:c r="D14" s="3" t="n">
        <x:v>2</x:v>
      </x:c>
      <x:c r="E14" s="3" t="str">
        <x:v>Promise mutation invalidates applicable proof; existing substantive trace failures remain visible until their implementation owners resolve them.</x:v>
      </x:c>
    </x:row>
    <x:row r="15" ht="27" customHeight="1">
      <x:c r="A15" s="14" t="str">
        <x:v>P01</x:v>
      </x:c>
      <x:c r="B15" s="14" t="str">
        <x:v>Make current specification and evidence identity truthful</x:v>
      </x:c>
      <x:c r="C15" s="14" t="str">
        <x:v>expected</x:v>
      </x:c>
      <x:c r="D15" s="14" t="n">
        <x:v>3</x:v>
      </x:c>
      <x:c r="E15" s="14" t="str">
        <x:v>A scoped build pass never prints a green, never satisfies --require-full, and blocks on any failure the registry does not name.</x:v>
      </x:c>
    </x:row>
    <x:row r="16" ht="40" customHeight="1">
      <x:c r="A16" s="3" t="str">
        <x:v>P01</x:v>
      </x:c>
      <x:c r="B16" s="3" t="str">
        <x:v>Make current specification and evidence identity truthful</x:v>
      </x:c>
      <x:c r="C16" s="3" t="str">
        <x:v>rollback</x:v>
      </x:c>
      <x:c r="D16" s="3" t="n">
        <x:v>1</x:v>
      </x:c>
      <x:c r="E16" s="3" t="str">
        <x:v>Restore the reviewed exporter/fingerprint change and regenerate from the retained source snapshot; do not restore historical status as current evidence.</x:v>
      </x:c>
    </x:row>
    <x:row r="17" ht="27" customHeight="1">
      <x:c r="A17" s="14" t="str">
        <x:v>P02</x:v>
      </x:c>
      <x:c r="B17" s="14" t="str">
        <x:v>Replace signed-in recovery codes safely</x:v>
      </x:c>
      <x:c r="C17" s="14" t="str">
        <x:v>inputs</x:v>
      </x:c>
      <x:c r="D17" s="14" t="n">
        <x:v>1</x:v>
      </x:c>
      <x:c r="E17" s="14" t="str">
        <x:v>Authenticated synthetic account with current password, session, current recovery generation and existing recovery-code hashes</x:v>
      </x:c>
    </x:row>
    <x:row r="18" ht="27" customHeight="1">
      <x:c r="A18" s="3" t="str">
        <x:v>P02</x:v>
      </x:c>
      <x:c r="B18" s="3" t="str">
        <x:v>Replace signed-in recovery codes safely</x:v>
      </x:c>
      <x:c r="C18" s="3" t="str">
        <x:v>inputs</x:v>
      </x:c>
      <x:c r="D18" s="3" t="n">
        <x:v>2</x:v>
      </x:c>
      <x:c r="E18" s="3" t="str">
        <x:v>Two sessions and a captured old code</x:v>
      </x:c>
    </x:row>
    <x:row r="19" ht="27" customHeight="1">
      <x:c r="A19" s="14" t="str">
        <x:v>P02</x:v>
      </x:c>
      <x:c r="B19" s="14" t="str">
        <x:v>Replace signed-in recovery codes safely</x:v>
      </x:c>
      <x:c r="C19" s="14" t="str">
        <x:v>outputs</x:v>
      </x:c>
      <x:c r="D19" s="14" t="n">
        <x:v>1</x:v>
      </x:c>
      <x:c r="E19" s="14" t="str">
        <x:v>One newly generated recovery-code set returned only in the successful response</x:v>
      </x:c>
    </x:row>
    <x:row r="20" ht="27" customHeight="1">
      <x:c r="A20" s="3" t="str">
        <x:v>P02</x:v>
      </x:c>
      <x:c r="B20" s="3" t="str">
        <x:v>Replace signed-in recovery codes safely</x:v>
      </x:c>
      <x:c r="C20" s="3" t="str">
        <x:v>outputs</x:v>
      </x:c>
      <x:c r="D20" s="3" t="n">
        <x:v>2</x:v>
      </x:c>
      <x:c r="E20" s="3" t="str">
        <x:v>Old hashes invalidated atomically and a content-free credential-change record</x:v>
      </x:c>
    </x:row>
    <x:row r="21" ht="55" customHeight="1">
      <x:c r="A21" s="14" t="str">
        <x:v>P02</x:v>
      </x:c>
      <x:c r="B21" s="14" t="str">
        <x:v>Replace signed-in recovery codes safely</x:v>
      </x:c>
      <x:c r="C21" s="14" t="str">
        <x:v>steps</x:v>
      </x:c>
      <x:c r="D21" s="14" t="n">
        <x:v>1</x:v>
      </x:c>
      <x:c r="E21" s="14"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2" ht="55" customHeight="1">
      <x:c r="A22" s="3" t="str">
        <x:v>P02</x:v>
      </x:c>
      <x:c r="B22" s="3" t="str">
        <x:v>Replace signed-in recovery codes safely</x:v>
      </x:c>
      <x:c r="C22" s="3" t="str">
        <x:v>steps</x:v>
      </x:c>
      <x:c r="D22" s="3" t="n">
        <x:v>2</x:v>
      </x:c>
      <x:c r="E22" s="3"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23" ht="40" customHeight="1">
      <x:c r="A23" s="14" t="str">
        <x:v>P02</x:v>
      </x:c>
      <x:c r="B23" s="14" t="str">
        <x:v>Replace signed-in recovery codes safely</x:v>
      </x:c>
      <x:c r="C23" s="14" t="str">
        <x:v>steps</x:v>
      </x:c>
      <x:c r="D23" s="14" t="n">
        <x:v>3</x:v>
      </x:c>
      <x:c r="E23" s="14" t="str">
        <x:v>Reuse one-time code display with a save acknowledgement; clear secrets on exit/logout, never persist them in browser storage. Test wrong password, stale/revoked session, two simultaneous rotations, interrupted response and old-code replay.</x:v>
      </x:c>
    </x:row>
    <x:row r="24" ht="27" customHeight="1">
      <x:c r="A24" s="3" t="str">
        <x:v>P02</x:v>
      </x:c>
      <x:c r="B24" s="3" t="str">
        <x:v>Replace signed-in recovery codes safely</x:v>
      </x:c>
      <x:c r="C24" s="3" t="str">
        <x:v>expected</x:v>
      </x:c>
      <x:c r="D24" s="3" t="n">
        <x:v>1</x:v>
      </x:c>
      <x:c r="E24" s="3" t="str">
        <x:v>One concurrent rotation wins; no replay redisplays secrets.</x:v>
      </x:c>
    </x:row>
    <x:row r="25" ht="40" customHeight="1">
      <x:c r="A25" s="14" t="str">
        <x:v>P02</x:v>
      </x:c>
      <x:c r="B25" s="14" t="str">
        <x:v>Replace signed-in recovery codes safely</x:v>
      </x:c>
      <x:c r="C25" s="14" t="str">
        <x:v>expected</x:v>
      </x:c>
      <x:c r="D25" s="14" t="n">
        <x:v>2</x:v>
      </x:c>
      <x:c r="E25" s="14" t="str">
        <x:v>Lost response instructs fresh reauthentication and replacement rather than recovering plaintext from storage; local rotation does not claim production MFA readiness.</x:v>
      </x:c>
    </x:row>
    <x:row r="26" ht="40" customHeight="1">
      <x:c r="A26" s="3" t="str">
        <x:v>P02</x:v>
      </x:c>
      <x:c r="B26" s="3" t="str">
        <x:v>Replace signed-in recovery codes safely</x:v>
      </x:c>
      <x:c r="C26" s="3" t="str">
        <x:v>rollback</x:v>
      </x:c>
      <x:c r="D26" s="3" t="n">
        <x:v>1</x:v>
      </x:c>
      <x:c r="E26" s="3" t="str">
        <x:v>Disable only the new rotation entry point; preserve the accepted new hashes and generation. Never reactivate old recovery codes to roll back UI.</x:v>
      </x:c>
    </x:row>
    <x:row r="27" ht="27" customHeight="1">
      <x:c r="A27" s="14" t="str">
        <x:v>P03</x:v>
      </x:c>
      <x:c r="B27" s="14" t="str">
        <x:v>Bind evidence runs to complete populations</x:v>
      </x:c>
      <x:c r="C27" s="14" t="str">
        <x:v>inputs</x:v>
      </x:c>
      <x:c r="D27" s="14" t="n">
        <x:v>1</x:v>
      </x:c>
      <x:c r="E27" s="14" t="str">
        <x:v>Declared browser/model/counsel/production method, scenario IDs and source/configuration identities</x:v>
      </x:c>
    </x:row>
    <x:row r="28" ht="27" customHeight="1">
      <x:c r="A28" s="3" t="str">
        <x:v>P03</x:v>
      </x:c>
      <x:c r="B28" s="3" t="str">
        <x:v>Bind evidence runs to complete populations</x:v>
      </x:c>
      <x:c r="C28" s="3" t="str">
        <x:v>inputs</x:v>
      </x:c>
      <x:c r="D28" s="3" t="n">
        <x:v>2</x:v>
      </x:c>
      <x:c r="E28" s="3" t="str">
        <x:v>APPROVALS.md and approvals.schema.json; scoped adoption attestations in approvals.json, distinct from measurement evidence</x:v>
      </x:c>
    </x:row>
    <x:row r="29" ht="27" customHeight="1">
      <x:c r="A29" s="14" t="str">
        <x:v>P03</x:v>
      </x:c>
      <x:c r="B29" s="14" t="str">
        <x:v>Bind evidence runs to complete populations</x:v>
      </x:c>
      <x:c r="C29" s="14" t="str">
        <x:v>outputs</x:v>
      </x:c>
      <x:c r="D29" s="14" t="n">
        <x:v>1</x:v>
      </x:c>
      <x:c r="E29" s="14" t="str">
        <x:v>Versioned evidence envelope and fail-closed population/identity validation</x:v>
      </x:c>
    </x:row>
    <x:row r="30" ht="27" customHeight="1">
      <x:c r="A30" s="3" t="str">
        <x:v>P03</x:v>
      </x:c>
      <x:c r="B30" s="3" t="str">
        <x:v>Bind evidence runs to complete populations</x:v>
      </x:c>
      <x:c r="C30" s="3" t="str">
        <x:v>outputs</x:v>
      </x:c>
      <x:c r="D30" s="3" t="n">
        <x:v>2</x:v>
      </x:c>
      <x:c r="E30" s="3" t="str">
        <x:v>Verified scoped adoption reader; explicit not-recorded, unverified, valid, stale, expired, revoked and out-of-scope results</x:v>
      </x:c>
    </x:row>
    <x:row r="31" ht="40" customHeight="1">
      <x:c r="A31" s="14" t="str">
        <x:v>P03</x:v>
      </x:c>
      <x:c r="B31" s="14" t="str">
        <x:v>Bind evidence runs to complete populations</x:v>
      </x:c>
      <x:c r="C31" s="14" t="str">
        <x:v>steps</x:v>
      </x:c>
      <x:c r="D31" s="14" t="n">
        <x:v>1</x:v>
      </x:c>
      <x:c r="E31" s="14" t="str">
        <x:v>Extend adapters with matching start/end identity, unique expected rows and explicit outcomes; keep source identity separate from generated results.</x:v>
      </x:c>
    </x:row>
    <x:row r="32" ht="27" customHeight="1">
      <x:c r="A32" s="3" t="str">
        <x:v>P03</x:v>
      </x:c>
      <x:c r="B32" s="3" t="str">
        <x:v>Bind evidence runs to complete populations</x:v>
      </x:c>
      <x:c r="C32" s="3" t="str">
        <x:v>steps</x:v>
      </x:c>
      <x:c r="D32" s="3" t="n">
        <x:v>2</x:v>
      </x:c>
      <x:c r="E32" s="3" t="str">
        <x:v>Validate reviewer authority, rubric, reservations and validity for professional proof; test-name existence cannot satisfy execution.</x:v>
      </x:c>
    </x:row>
    <x:row r="33" ht="40" customHeight="1">
      <x:c r="A33" s="14" t="str">
        <x:v>P03</x:v>
      </x:c>
      <x:c r="B33" s="14" t="str">
        <x:v>Bind evidence runs to complete populations</x:v>
      </x:c>
      <x:c r="C33" s="14" t="str">
        <x:v>steps</x:v>
      </x:c>
      <x:c r="D33" s="14" t="n">
        <x:v>3</x:v>
      </x:c>
      <x:c r="E33" s="14" t="str">
        <x:v>Plant missing/duplicate/unexpected rows, zero population, changed promise, wrong reviewer and cancelled-run mutations against fields that actually exist.</x:v>
      </x:c>
    </x:row>
    <x:row r="34" ht="40" customHeight="1">
      <x:c r="A34" s="3" t="str">
        <x:v>P03</x:v>
      </x:c>
      <x:c r="B34" s="3" t="str">
        <x:v>Bind evidence runs to complete populations</x:v>
      </x:c>
      <x:c r="C34" s="3" t="str">
        <x:v>steps</x:v>
      </x:c>
      <x:c r="D34" s="3" t="n">
        <x:v>4</x:v>
      </x:c>
      <x:c r="E34" s="3"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35" ht="55" customHeight="1">
      <x:c r="A35" s="14" t="str">
        <x:v>P03</x:v>
      </x:c>
      <x:c r="B35" s="14" t="str">
        <x:v>Bind evidence runs to complete populations</x:v>
      </x:c>
      <x:c r="C35" s="14" t="str">
        <x:v>steps</x:v>
      </x:c>
      <x:c r="D35" s="14" t="n">
        <x:v>5</x:v>
      </x:c>
      <x:c r="E35" s="14"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36" ht="27" customHeight="1">
      <x:c r="A36" s="3" t="str">
        <x:v>P03</x:v>
      </x:c>
      <x:c r="B36" s="3" t="str">
        <x:v>Bind evidence runs to complete populations</x:v>
      </x:c>
      <x:c r="C36" s="3" t="str">
        <x:v>expected</x:v>
      </x:c>
      <x:c r="D36" s="3" t="n">
        <x:v>1</x:v>
      </x:c>
      <x:c r="E36" s="3" t="str">
        <x:v>Incomplete, stale, cancelled or incompatible evidence is rejected for its named reason.</x:v>
      </x:c>
    </x:row>
    <x:row r="37" ht="27" customHeight="1">
      <x:c r="A37" s="14" t="str">
        <x:v>P03</x:v>
      </x:c>
      <x:c r="B37" s="14" t="str">
        <x:v>Bind evidence runs to complete populations</x:v>
      </x:c>
      <x:c r="C37" s="14" t="str">
        <x:v>expected</x:v>
      </x:c>
      <x:c r="D37" s="14" t="n">
        <x:v>2</x:v>
      </x:c>
      <x:c r="E37" s="14" t="str">
        <x:v>No model or browser execution is implied by validating an evidence envelope.</x:v>
      </x:c>
    </x:row>
    <x:row r="38" ht="27" customHeight="1">
      <x:c r="A38" s="3" t="str">
        <x:v>P03</x:v>
      </x:c>
      <x:c r="B38" s="3" t="str">
        <x:v>Bind evidence runs to complete populations</x:v>
      </x:c>
      <x:c r="C38" s="3" t="str">
        <x:v>rollback</x:v>
      </x:c>
      <x:c r="D38" s="3" t="n">
        <x:v>1</x:v>
      </x:c>
      <x:c r="E38" s="3" t="str">
        <x:v>Retain old artifacts as historical incompatible evidence; revert parser only with compatible readers or leave affected proof unavailable.</x:v>
      </x:c>
    </x:row>
    <x:row r="39" ht="27" customHeight="1">
      <x:c r="A39" s="14" t="str">
        <x:v>P04</x:v>
      </x:c>
      <x:c r="B39" s="14" t="str">
        <x:v>Expose isolated module proof with honest modes</x:v>
      </x:c>
      <x:c r="C39" s="14" t="str">
        <x:v>inputs</x:v>
      </x:c>
      <x:c r="D39" s="14" t="n">
        <x:v>1</x:v>
      </x:c>
      <x:c r="E39" s="14" t="str">
        <x:v>Synthetic environment allowlist, registry projection and EVAL catalog</x:v>
      </x:c>
    </x:row>
    <x:row r="40" ht="27" customHeight="1">
      <x:c r="A40" s="3" t="str">
        <x:v>P04</x:v>
      </x:c>
      <x:c r="B40" s="3" t="str">
        <x:v>Expose isolated module proof with honest modes</x:v>
      </x:c>
      <x:c r="C40" s="3" t="str">
        <x:v>outputs</x:v>
      </x:c>
      <x:c r="D40" s="3" t="n">
        <x:v>1</x:v>
      </x:c>
      <x:c r="E40" s="3" t="str">
        <x:v>Operator-only proof view with fixture identity, mode and current evidence links</x:v>
      </x:c>
    </x:row>
    <x:row r="41" ht="40" customHeight="1">
      <x:c r="A41" s="14" t="str">
        <x:v>P04</x:v>
      </x:c>
      <x:c r="B41" s="14" t="str">
        <x:v>Expose isolated module proof with honest modes</x:v>
      </x:c>
      <x:c r="C41" s="14" t="str">
        <x:v>steps</x:v>
      </x:c>
      <x:c r="D41" s="14" t="n">
        <x:v>1</x:v>
      </x:c>
      <x:c r="E41" s="14" t="str">
        <x:v>Add an isolated proof consumer at the edge, using registry-derived state and required scenario populations; no new authored completion field.</x:v>
      </x:c>
    </x:row>
    <x:row r="42" ht="27" customHeight="1">
      <x:c r="A42" s="3" t="str">
        <x:v>P04</x:v>
      </x:c>
      <x:c r="B42" s="3" t="str">
        <x:v>Expose isolated module proof with honest modes</x:v>
      </x:c>
      <x:c r="C42" s="3" t="str">
        <x:v>steps</x:v>
      </x:c>
      <x:c r="D42" s="3" t="n">
        <x:v>2</x:v>
      </x:c>
      <x:c r="E42" s="3" t="str">
        <x:v>Gate fixture setup and fault injection to the synthetic environment with an operator role; ordinary advocate routes cannot invoke them.</x:v>
      </x:c>
    </x:row>
    <x:row r="43" ht="40" customHeight="1">
      <x:c r="A43" s="14" t="str">
        <x:v>P04</x:v>
      </x:c>
      <x:c r="B43" s="14" t="str">
        <x:v>Expose isolated module proof with honest modes</x:v>
      </x:c>
      <x:c r="C43" s="14" t="str">
        <x:v>steps</x:v>
      </x:c>
      <x:c r="D43" s="14" t="n">
        <x:v>3</x:v>
      </x:c>
      <x:c r="E43" s="14" t="str">
        <x:v>Render missing/stale proof, scripted mode and blocked dependencies visibly; test wrong actor and forged production-mode reuse through the served path.</x:v>
      </x:c>
    </x:row>
    <x:row r="44" ht="40" customHeight="1">
      <x:c r="A44" s="3" t="str">
        <x:v>P04</x:v>
      </x:c>
      <x:c r="B44" s="3" t="str">
        <x:v>Expose isolated module proof with honest modes</x:v>
      </x:c>
      <x:c r="C44" s="3" t="str">
        <x:v>steps</x:v>
      </x:c>
      <x:c r="D44" s="3" t="n">
        <x:v>4</x:v>
      </x:c>
      <x:c r="E44" s="3" t="str">
        <x:v>Extend the browser harness through the real composition root and History's separate restricted run ledger; golden/evaluation records remain distinct from matter conversation and retain exact scope, identity and outcome.</x:v>
      </x:c>
    </x:row>
    <x:row r="45" ht="27" customHeight="1">
      <x:c r="A45" s="14" t="str">
        <x:v>P04</x:v>
      </x:c>
      <x:c r="B45" s="14" t="str">
        <x:v>Expose isolated module proof with honest modes</x:v>
      </x:c>
      <x:c r="C45" s="14" t="str">
        <x:v>expected</x:v>
      </x:c>
      <x:c r="D45" s="14" t="n">
        <x:v>1</x:v>
      </x:c>
      <x:c r="E45" s="14" t="str">
        <x:v>A failed scenario is visibly red and an unrun scenario is NOT_RUN.</x:v>
      </x:c>
    </x:row>
    <x:row r="46" ht="27" customHeight="1">
      <x:c r="A46" s="3" t="str">
        <x:v>P04</x:v>
      </x:c>
      <x:c r="B46" s="3" t="str">
        <x:v>Expose isolated module proof with honest modes</x:v>
      </x:c>
      <x:c r="C46" s="3" t="str">
        <x:v>expected</x:v>
      </x:c>
      <x:c r="D46" s="3" t="n">
        <x:v>2</x:v>
      </x:c>
      <x:c r="E46" s="3" t="str">
        <x:v>Production has no fixture-control surface; the console never confers legal or deployment approval.</x:v>
      </x:c>
    </x:row>
    <x:row r="47" ht="27" customHeight="1">
      <x:c r="A47" s="14" t="str">
        <x:v>P04</x:v>
      </x:c>
      <x:c r="B47" s="14" t="str">
        <x:v>Expose isolated module proof with honest modes</x:v>
      </x:c>
      <x:c r="C47" s="14" t="str">
        <x:v>rollback</x:v>
      </x:c>
      <x:c r="D47" s="14" t="n">
        <x:v>1</x:v>
      </x:c>
      <x:c r="E47" s="14" t="str">
        <x:v>Disable the proof surface and preserve restricted run records; reset only named synthetic fixture scope after explicit confirmation.</x:v>
      </x:c>
    </x:row>
    <x:row r="48" ht="40" customHeight="1">
      <x:c r="A48" s="3" t="str">
        <x:v>P05</x:v>
      </x:c>
      <x:c r="B48" s="3" t="str">
        <x:v>Record India applicability and processing responsibilities</x:v>
      </x:c>
      <x:c r="C48" s="3" t="str">
        <x:v>inputs</x:v>
      </x:c>
      <x:c r="D48" s="3" t="n">
        <x:v>1</x:v>
      </x:c>
      <x:c r="E48" s="3" t="str">
        <x:v>Processing inventory and dated primary instruments</x:v>
      </x:c>
    </x:row>
    <x:row r="49" ht="40" customHeight="1">
      <x:c r="A49" s="14" t="str">
        <x:v>P05</x:v>
      </x:c>
      <x:c r="B49" s="14" t="str">
        <x:v>Record India applicability and processing responsibilities</x:v>
      </x:c>
      <x:c r="C49" s="14" t="str">
        <x:v>inputs</x:v>
      </x:c>
      <x:c r="D49" s="14" t="n">
        <x:v>2</x:v>
      </x:c>
      <x:c r="E49" s="14" t="str">
        <x:v>Named accountable product/security and qualified legal reviewers</x:v>
      </x:c>
    </x:row>
    <x:row r="50" ht="40" customHeight="1">
      <x:c r="A50" s="3" t="str">
        <x:v>P05</x:v>
      </x:c>
      <x:c r="B50" s="3" t="str">
        <x:v>Record India applicability and processing responsibilities</x:v>
      </x:c>
      <x:c r="C50" s="3" t="str">
        <x:v>outputs</x:v>
      </x:c>
      <x:c r="D50" s="3" t="n">
        <x:v>1</x:v>
      </x:c>
      <x:c r="E50" s="3" t="str">
        <x:v>Qualified applicability record: duties, operative dates, roles, incidents, retention and reservations</x:v>
      </x:c>
    </x:row>
    <x:row r="51" ht="40" customHeight="1">
      <x:c r="A51" s="14" t="str">
        <x:v>P05</x:v>
      </x:c>
      <x:c r="B51" s="14" t="str">
        <x:v>Record India applicability and processing responsibilities</x:v>
      </x:c>
      <x:c r="C51" s="14" t="str">
        <x:v>steps</x:v>
      </x:c>
      <x:c r="D51" s="14" t="n">
        <x:v>1</x:v>
      </x:c>
      <x:c r="E51" s="14" t="str">
        <x:v>Review the actual India-only service, users and data flows against operative provisions; distinguish statutory duties from stricter product policy.</x:v>
      </x:c>
    </x:row>
    <x:row r="52" ht="40" customHeight="1">
      <x:c r="A52" s="3" t="str">
        <x:v>P05</x:v>
      </x:c>
      <x:c r="B52" s="3" t="str">
        <x:v>Record India applicability and processing responsibilities</x:v>
      </x:c>
      <x:c r="C52" s="3" t="str">
        <x:v>steps</x:v>
      </x:c>
      <x:c r="D52" s="3" t="n">
        <x:v>2</x:v>
      </x:c>
      <x:c r="E52" s="3" t="str">
        <x:v>Name legal/operational owners, review date and triggering changes; leave unanswered applicability questions explicit.</x:v>
      </x:c>
    </x:row>
    <x:row r="53" ht="40" customHeight="1">
      <x:c r="A53" s="14" t="str">
        <x:v>P05</x:v>
      </x:c>
      <x:c r="B53" s="14" t="str">
        <x:v>Record India applicability and processing responsibilities</x:v>
      </x:c>
      <x:c r="C53" s="14" t="str">
        <x:v>steps</x:v>
      </x:c>
      <x:c r="D53" s="14" t="n">
        <x:v>3</x:v>
      </x:c>
      <x:c r="E53" s="14" t="str">
        <x:v>Check a deliberately incorrect all-DPDP-effective-now claim and blanket-localisation claim; reject each using the reviewed instrument rather than a framework badge.</x:v>
      </x:c>
    </x:row>
    <x:row r="54" ht="40" customHeight="1">
      <x:c r="A54" s="3" t="str">
        <x:v>P05</x:v>
      </x:c>
      <x:c r="B54" s="3" t="str">
        <x:v>Record India applicability and processing responsibilities</x:v>
      </x:c>
      <x:c r="C54" s="3" t="str">
        <x:v>expected</x:v>
      </x:c>
      <x:c r="D54" s="3" t="n">
        <x:v>1</x:v>
      </x:c>
      <x:c r="E54" s="3" t="str">
        <x:v>No real-data release until applicable responsibilities are approved.</x:v>
      </x:c>
    </x:row>
    <x:row r="55" ht="40" customHeight="1">
      <x:c r="A55" s="14" t="str">
        <x:v>P05</x:v>
      </x:c>
      <x:c r="B55" s="14" t="str">
        <x:v>Record India applicability and processing responsibilities</x:v>
      </x:c>
      <x:c r="C55" s="14" t="str">
        <x:v>expected</x:v>
      </x:c>
      <x:c r="D55" s="14" t="n">
        <x:v>2</x:v>
      </x:c>
      <x:c r="E55" s="14" t="str">
        <x:v>The record is a qualified review artifact, not automatically generated legal advice or compliance certification.</x:v>
      </x:c>
    </x:row>
    <x:row r="56" ht="40" customHeight="1">
      <x:c r="A56" s="3" t="str">
        <x:v>P05</x:v>
      </x:c>
      <x:c r="B56" s="3" t="str">
        <x:v>Record India applicability and processing responsibilities</x:v>
      </x:c>
      <x:c r="C56" s="3" t="str">
        <x:v>rollback</x:v>
      </x:c>
      <x:c r="D56" s="3" t="n">
        <x:v>1</x:v>
      </x:c>
      <x:c r="E56" s="3" t="str">
        <x:v>Withdraw the affected processing permission and retain the superseded dated record; do not delete evidence of the earlier decision.</x:v>
      </x:c>
    </x:row>
    <x:row r="57" ht="27" customHeight="1">
      <x:c r="A57" s="14" t="str">
        <x:v>P06</x:v>
      </x:c>
      <x:c r="B57" s="14" t="str">
        <x:v>Enforce processor and egress policy before live data</x:v>
      </x:c>
      <x:c r="C57" s="14" t="str">
        <x:v>inputs</x:v>
      </x:c>
      <x:c r="D57" s="14" t="n">
        <x:v>1</x:v>
      </x:c>
      <x:c r="E57" s="14" t="str">
        <x:v>Approved processor identities, purposes, regions, retention and data classes</x:v>
      </x:c>
    </x:row>
    <x:row r="58" ht="27" customHeight="1">
      <x:c r="A58" s="3" t="str">
        <x:v>P06</x:v>
      </x:c>
      <x:c r="B58" s="3" t="str">
        <x:v>Enforce processor and egress policy before live data</x:v>
      </x:c>
      <x:c r="C58" s="3" t="str">
        <x:v>outputs</x:v>
      </x:c>
      <x:c r="D58" s="3" t="n">
        <x:v>1</x:v>
      </x:c>
      <x:c r="E58" s="3" t="str">
        <x:v>Central pre-dispatch policy covering model/media/storage/support/telemetry destinations</x:v>
      </x:c>
    </x:row>
    <x:row r="59" ht="27" customHeight="1">
      <x:c r="A59" s="14" t="str">
        <x:v>P06</x:v>
      </x:c>
      <x:c r="B59" s="14" t="str">
        <x:v>Enforce processor and egress policy before live data</x:v>
      </x:c>
      <x:c r="C59" s="14" t="str">
        <x:v>steps</x:v>
      </x:c>
      <x:c r="D59" s="14" t="n">
        <x:v>1</x:v>
      </x:c>
      <x:c r="E59" s="14" t="str">
        <x:v>Bind configured adapters to approved processor profiles; require purpose and data-class authorisation before every egress.</x:v>
      </x:c>
    </x:row>
    <x:row r="60" ht="27" customHeight="1">
      <x:c r="A60" s="3" t="str">
        <x:v>P06</x:v>
      </x:c>
      <x:c r="B60" s="3" t="str">
        <x:v>Enforce processor and egress policy before live data</x:v>
      </x:c>
      <x:c r="C60" s="3" t="str">
        <x:v>steps</x:v>
      </x:c>
      <x:c r="D60" s="3" t="n">
        <x:v>2</x:v>
      </x:c>
      <x:c r="E60" s="3" t="str">
        <x:v>Default-deny unknown destinations and redact operational diagnostics; include private indexes, temp files and retries in the inventory.</x:v>
      </x:c>
    </x:row>
    <x:row r="61" ht="40" customHeight="1">
      <x:c r="A61" s="14" t="str">
        <x:v>P06</x:v>
      </x:c>
      <x:c r="B61" s="14" t="str">
        <x:v>Enforce processor and egress policy before live data</x:v>
      </x:c>
      <x:c r="C61" s="14" t="str">
        <x:v>steps</x:v>
      </x:c>
      <x:c r="D61" s="14" t="n">
        <x:v>3</x:v>
      </x:c>
      <x:c r="E61" s="14" t="str">
        <x:v>Run synthetic denied-egress and diagnostic sentinel cases at every enumerated output sink; inspect actual destination logs without client content.</x:v>
      </x:c>
    </x:row>
    <x:row r="62" ht="27" customHeight="1">
      <x:c r="A62" s="3" t="str">
        <x:v>P06</x:v>
      </x:c>
      <x:c r="B62" s="3" t="str">
        <x:v>Enforce processor and egress policy before live data</x:v>
      </x:c>
      <x:c r="C62" s="3" t="str">
        <x:v>expected</x:v>
      </x:c>
      <x:c r="D62" s="3" t="n">
        <x:v>1</x:v>
      </x:c>
      <x:c r="E62" s="3" t="str">
        <x:v>An unapproved processor never receives the sentinel.</x:v>
      </x:c>
    </x:row>
    <x:row r="63" ht="27" customHeight="1">
      <x:c r="A63" s="14" t="str">
        <x:v>P06</x:v>
      </x:c>
      <x:c r="B63" s="14" t="str">
        <x:v>Enforce processor and egress policy before live data</x:v>
      </x:c>
      <x:c r="C63" s="14" t="str">
        <x:v>expected</x:v>
      </x:c>
      <x:c r="D63" s="14" t="n">
        <x:v>2</x:v>
      </x:c>
      <x:c r="E63" s="14" t="str">
        <x:v>Local adapter success is foundation proof only; deployed enforcement remains P39/P41.</x:v>
      </x:c>
    </x:row>
    <x:row r="64" ht="40" customHeight="1">
      <x:c r="A64" s="3" t="str">
        <x:v>P06</x:v>
      </x:c>
      <x:c r="B64" s="3" t="str">
        <x:v>Enforce processor and egress policy before live data</x:v>
      </x:c>
      <x:c r="C64" s="3" t="str">
        <x:v>rollback</x:v>
      </x:c>
      <x:c r="D64" s="3" t="n">
        <x:v>1</x:v>
      </x:c>
      <x:c r="E64" s="3" t="str">
        <x:v>Disable the processing route, drain or quarantine affected jobs and revoke destination credentials; accepted user input remains recoverable.</x:v>
      </x:c>
    </x:row>
    <x:row r="65" ht="27" customHeight="1">
      <x:c r="A65" s="14" t="str">
        <x:v>P07</x:v>
      </x:c>
      <x:c r="B65" s="14" t="str">
        <x:v>Use scoped envelope encryption with fail-closed keys</x:v>
      </x:c>
      <x:c r="C65" s="14" t="str">
        <x:v>inputs</x:v>
      </x:c>
      <x:c r="D65" s="14" t="n">
        <x:v>1</x:v>
      </x:c>
      <x:c r="E65" s="14" t="str">
        <x:v>Reviewed key hierarchy and permitted decrypt identities</x:v>
      </x:c>
    </x:row>
    <x:row r="66" ht="27" customHeight="1">
      <x:c r="A66" s="3" t="str">
        <x:v>P07</x:v>
      </x:c>
      <x:c r="B66" s="3" t="str">
        <x:v>Use scoped envelope encryption with fail-closed keys</x:v>
      </x:c>
      <x:c r="C66" s="3" t="str">
        <x:v>inputs</x:v>
      </x:c>
      <x:c r="D66" s="3" t="n">
        <x:v>2</x:v>
      </x:c>
      <x:c r="E66" s="3" t="str">
        <x:v>Synthetic encrypted originals and metadata</x:v>
      </x:c>
    </x:row>
    <x:row r="67" ht="27" customHeight="1">
      <x:c r="A67" s="14" t="str">
        <x:v>P07</x:v>
      </x:c>
      <x:c r="B67" s="14" t="str">
        <x:v>Use scoped envelope encryption with fail-closed keys</x:v>
      </x:c>
      <x:c r="C67" s="14" t="str">
        <x:v>outputs</x:v>
      </x:c>
      <x:c r="D67" s="14" t="n">
        <x:v>1</x:v>
      </x:c>
      <x:c r="E67" s="14" t="str">
        <x:v>Provider-independent key boundary, wrapped data-key references and audited rotation</x:v>
      </x:c>
    </x:row>
    <x:row r="68" ht="40" customHeight="1">
      <x:c r="A68" s="3" t="str">
        <x:v>P07</x:v>
      </x:c>
      <x:c r="B68" s="3" t="str">
        <x:v>Use scoped envelope encryption with fail-closed keys</x:v>
      </x:c>
      <x:c r="C68" s="3" t="str">
        <x:v>steps</x:v>
      </x:c>
      <x:c r="D68" s="3" t="n">
        <x:v>1</x:v>
      </x:c>
      <x:c r="E68" s="3" t="str">
        <x:v>Add a key-service port and envelope adapter as new files declared in the Start record; do not reuse authentication or provider credentials as data keys.</x:v>
      </x:c>
    </x:row>
    <x:row r="69" ht="27" customHeight="1">
      <x:c r="A69" s="14" t="str">
        <x:v>P07</x:v>
      </x:c>
      <x:c r="B69" s="14" t="str">
        <x:v>Use scoped envelope encryption with fail-closed keys</x:v>
      </x:c>
      <x:c r="C69" s="14" t="str">
        <x:v>steps</x:v>
      </x:c>
      <x:c r="D69" s="14" t="n">
        <x:v>2</x:v>
      </x:c>
      <x:c r="E69" s="14" t="str">
        <x:v>Implement key-versioned encrypt/decrypt with scoped policy and atomic rotation; no plaintext fallback or content in audit.</x:v>
      </x:c>
    </x:row>
    <x:row r="70" ht="40" customHeight="1">
      <x:c r="A70" s="3" t="str">
        <x:v>P07</x:v>
      </x:c>
      <x:c r="B70" s="3" t="str">
        <x:v>Use scoped envelope encryption with fail-closed keys</x:v>
      </x:c>
      <x:c r="C70" s="3" t="str">
        <x:v>steps</x:v>
      </x:c>
      <x:c r="D70" s="3" t="n">
        <x:v>3</x:v>
      </x:c>
      <x:c r="E70" s="3" t="str">
        <x:v>Exercise denied decrypt, wrong matter, rotation during a write and missing-key restart; retain old wrapping versions only under the approved policy.</x:v>
      </x:c>
    </x:row>
    <x:row r="71" ht="40" customHeight="1">
      <x:c r="A71" s="14" t="str">
        <x:v>P07</x:v>
      </x:c>
      <x:c r="B71" s="14" t="str">
        <x:v>Use scoped envelope encryption with fail-closed keys</x:v>
      </x:c>
      <x:c r="C71" s="14" t="str">
        <x:v>steps</x:v>
      </x:c>
      <x:c r="D71" s="14" t="n">
        <x:v>4</x:v>
      </x:c>
      <x:c r="E71" s="14" t="str">
        <x:v>Keep the existing credential-collision refusal across every credential and the re-key sealed/open/unreadable distinction; do not skip an unreadable file or print secret values.</x:v>
      </x:c>
    </x:row>
    <x:row r="72" ht="27" customHeight="1">
      <x:c r="A72" s="3" t="str">
        <x:v>P07</x:v>
      </x:c>
      <x:c r="B72" s="3" t="str">
        <x:v>Use scoped envelope encryption with fail-closed keys</x:v>
      </x:c>
      <x:c r="C72" s="3" t="str">
        <x:v>expected</x:v>
      </x:c>
      <x:c r="D72" s="3" t="n">
        <x:v>1</x:v>
      </x:c>
      <x:c r="E72" s="3" t="str">
        <x:v>Unauthorised decrypt and missing keys yield explicit safe unavailability.</x:v>
      </x:c>
    </x:row>
    <x:row r="73" ht="27" customHeight="1">
      <x:c r="A73" s="14" t="str">
        <x:v>P07</x:v>
      </x:c>
      <x:c r="B73" s="14" t="str">
        <x:v>Use scoped envelope encryption with fail-closed keys</x:v>
      </x:c>
      <x:c r="C73" s="14" t="str">
        <x:v>expected</x:v>
      </x:c>
      <x:c r="D73" s="14" t="n">
        <x:v>2</x:v>
      </x:c>
      <x:c r="E73" s="14" t="str">
        <x:v>Restore with target credentials remains a separate P38 proof, not inferred from encrypt/decrypt round trips.</x:v>
      </x:c>
    </x:row>
    <x:row r="74" ht="27" customHeight="1">
      <x:c r="A74" s="3" t="str">
        <x:v>P07</x:v>
      </x:c>
      <x:c r="B74" s="3" t="str">
        <x:v>Use scoped envelope encryption with fail-closed keys</x:v>
      </x:c>
      <x:c r="C74" s="3" t="str">
        <x:v>rollback</x:v>
      </x:c>
      <x:c r="D74" s="3" t="n">
        <x:v>1</x:v>
      </x:c>
      <x:c r="E74" s="3" t="str">
        <x:v>Stop new writes and retain encrypted versions; restore access through approved key recovery, never write a plaintext bypass.</x:v>
      </x:c>
    </x:row>
    <x:row r="75" ht="40" customHeight="1">
      <x:c r="A75" s="14" t="str">
        <x:v>P08</x:v>
      </x:c>
      <x:c r="B75" s="14" t="str">
        <x:v>Preserve access regressions and implement required assurance</x:v>
      </x:c>
      <x:c r="C75" s="14" t="str">
        <x:v>inputs</x:v>
      </x:c>
      <x:c r="D75" s="14" t="n">
        <x:v>1</x:v>
      </x:c>
      <x:c r="E75" s="14" t="str">
        <x:v>Approved authentication/recovery assurance model</x:v>
      </x:c>
    </x:row>
    <x:row r="76" ht="40" customHeight="1">
      <x:c r="A76" s="3" t="str">
        <x:v>P08</x:v>
      </x:c>
      <x:c r="B76" s="3" t="str">
        <x:v>Preserve access regressions and implement required assurance</x:v>
      </x:c>
      <x:c r="C76" s="3" t="str">
        <x:v>inputs</x:v>
      </x:c>
      <x:c r="D76" s="3" t="n">
        <x:v>2</x:v>
      </x:c>
      <x:c r="E76" s="3" t="str">
        <x:v>Existing invitation/session/recovery test population</x:v>
      </x:c>
    </x:row>
    <x:row r="77" ht="40" customHeight="1">
      <x:c r="A77" s="14" t="str">
        <x:v>P08</x:v>
      </x:c>
      <x:c r="B77" s="14" t="str">
        <x:v>Preserve access regressions and implement required assurance</x:v>
      </x:c>
      <x:c r="C77" s="14" t="str">
        <x:v>outputs</x:v>
      </x:c>
      <x:c r="D77" s="14" t="n">
        <x:v>1</x:v>
      </x:c>
      <x:c r="E77" s="14" t="str">
        <x:v>Protected-entry assurance enforcement and compatible session/recovery lifecycle</x:v>
      </x:c>
    </x:row>
    <x:row r="78" ht="40" customHeight="1">
      <x:c r="A78" s="3" t="str">
        <x:v>P08</x:v>
      </x:c>
      <x:c r="B78" s="3" t="str">
        <x:v>Preserve access regressions and implement required assurance</x:v>
      </x:c>
      <x:c r="C78" s="3" t="str">
        <x:v>steps</x:v>
      </x:c>
      <x:c r="D78" s="3" t="n">
        <x:v>1</x:v>
      </x:c>
      <x:c r="E78" s="3" t="str">
        <x:v>Retain invitation binding, replay/race controls, neutral public failures and server-owned workspace identity; first measure existing behaviour rather than rebuild it.</x:v>
      </x:c>
    </x:row>
    <x:row r="79" ht="40" customHeight="1">
      <x:c r="A79" s="14" t="str">
        <x:v>P08</x:v>
      </x:c>
      <x:c r="B79" s="14" t="str">
        <x:v>Preserve access regressions and implement required assurance</x:v>
      </x:c>
      <x:c r="C79" s="14" t="str">
        <x:v>steps</x:v>
      </x:c>
      <x:c r="D79" s="14" t="n">
        <x:v>2</x:v>
      </x:c>
      <x:c r="E79" s="14" t="str">
        <x:v>Enforce the approved factor/passkey assurance at every protected server entry and sensitive change; local password mode cannot activate the confidential profile.</x:v>
      </x:c>
    </x:row>
    <x:row r="80" ht="40" customHeight="1">
      <x:c r="A80" s="3" t="str">
        <x:v>P08</x:v>
      </x:c>
      <x:c r="B80" s="3" t="str">
        <x:v>Preserve access regressions and implement required assurance</x:v>
      </x:c>
      <x:c r="C80" s="3" t="str">
        <x:v>steps</x:v>
      </x:c>
      <x:c r="D80" s="3" t="n">
        <x:v>3</x:v>
      </x:c>
      <x:c r="E80" s="3" t="str">
        <x:v>Implement enrolment, replacement, loss, rate limits and recovery notifications with global revocation where required; sweep direct API, remembered session and concurrent credential changes.</x:v>
      </x:c>
    </x:row>
    <x:row r="81" ht="40" customHeight="1">
      <x:c r="A81" s="14" t="str">
        <x:v>P08</x:v>
      </x:c>
      <x:c r="B81" s="14" t="str">
        <x:v>Preserve access regressions and implement required assurance</x:v>
      </x:c>
      <x:c r="C81" s="14" t="str">
        <x:v>expected</x:v>
      </x:c>
      <x:c r="D81" s="14" t="n">
        <x:v>1</x:v>
      </x:c>
      <x:c r="E81" s="14" t="str">
        <x:v>A stolen password alone cannot enter the confidential profile.</x:v>
      </x:c>
    </x:row>
    <x:row r="82" ht="40" customHeight="1">
      <x:c r="A82" s="3" t="str">
        <x:v>P08</x:v>
      </x:c>
      <x:c r="B82" s="3" t="str">
        <x:v>Preserve access regressions and implement required assurance</x:v>
      </x:c>
      <x:c r="C82" s="3" t="str">
        <x:v>expected</x:v>
      </x:c>
      <x:c r="D82" s="3" t="n">
        <x:v>2</x:v>
      </x:c>
      <x:c r="E82" s="3" t="str">
        <x:v>Old recovery, invitation, account-generation and workspace tests remain in the cumulative population.</x:v>
      </x:c>
    </x:row>
    <x:row r="83" ht="40" customHeight="1">
      <x:c r="A83" s="14" t="str">
        <x:v>P08</x:v>
      </x:c>
      <x:c r="B83" s="14" t="str">
        <x:v>Preserve access regressions and implement required assurance</x:v>
      </x:c>
      <x:c r="C83" s="14" t="str">
        <x:v>rollback</x:v>
      </x:c>
      <x:c r="D83" s="14" t="n">
        <x:v>1</x:v>
      </x:c>
      <x:c r="E83" s="14" t="str">
        <x:v>Pause confidential access on assurance regression; revoke affected sessions and restore the previous compatible provider configuration without weakening factor requirements.</x:v>
      </x:c>
    </x:row>
    <x:row r="84" ht="27" customHeight="1">
      <x:c r="A84" s="3" t="str">
        <x:v>P09</x:v>
      </x:c>
      <x:c r="B84" s="3" t="str">
        <x:v>Prove access on the real configured device and provider</x:v>
      </x:c>
      <x:c r="C84" s="3" t="str">
        <x:v>inputs</x:v>
      </x:c>
      <x:c r="D84" s="3" t="n">
        <x:v>1</x:v>
      </x:c>
      <x:c r="E84" s="3" t="str">
        <x:v>Approved actual-device/provider bounded rehearsal and synthetic users</x:v>
      </x:c>
    </x:row>
    <x:row r="85" ht="27" customHeight="1">
      <x:c r="A85" s="14" t="str">
        <x:v>P09</x:v>
      </x:c>
      <x:c r="B85" s="14" t="str">
        <x:v>Prove access on the real configured device and provider</x:v>
      </x:c>
      <x:c r="C85" s="14" t="str">
        <x:v>outputs</x:v>
      </x:c>
      <x:c r="D85" s="14" t="n">
        <x:v>1</x:v>
      </x:c>
      <x:c r="E85" s="14" t="str">
        <x:v>Fresh access evidence covering enrolment, factor loss, recovery, revocation and logout</x:v>
      </x:c>
    </x:row>
    <x:row r="86" ht="27" customHeight="1">
      <x:c r="A86" s="3" t="str">
        <x:v>P09</x:v>
      </x:c>
      <x:c r="B86" s="3" t="str">
        <x:v>Prove access on the real configured device and provider</x:v>
      </x:c>
      <x:c r="C86" s="3" t="str">
        <x:v>steps</x:v>
      </x:c>
      <x:c r="D86" s="3" t="n">
        <x:v>1</x:v>
      </x:c>
      <x:c r="E86" s="3" t="str">
        <x:v>Record device, browser, provider/configuration and expected population before the run.</x:v>
      </x:c>
    </x:row>
    <x:row r="87" ht="27" customHeight="1">
      <x:c r="A87" s="14" t="str">
        <x:v>P09</x:v>
      </x:c>
      <x:c r="B87" s="14" t="str">
        <x:v>Prove access on the real configured device and provider</x:v>
      </x:c>
      <x:c r="C87" s="14" t="str">
        <x:v>steps</x:v>
      </x:c>
      <x:c r="D87" s="14" t="n">
        <x:v>2</x:v>
      </x:c>
      <x:c r="E87" s="14" t="str">
        <x:v>Use two real browser sessions; complete enrolment and recovery, revoke one, then test stale tab, browser back and reload.</x:v>
      </x:c>
    </x:row>
    <x:row r="88" ht="27" customHeight="1">
      <x:c r="A88" s="3" t="str">
        <x:v>P09</x:v>
      </x:c>
      <x:c r="B88" s="3" t="str">
        <x:v>Prove access on the real configured device and provider</x:v>
      </x:c>
      <x:c r="C88" s="3" t="str">
        <x:v>steps</x:v>
      </x:c>
      <x:c r="D88" s="3" t="n">
        <x:v>3</x:v>
      </x:c>
      <x:c r="E88" s="3" t="str">
        <x:v>Check API denial and cache clearing as well as screen text; reject scripted-factor artifacts supplied as actual-provider proof.</x:v>
      </x:c>
    </x:row>
    <x:row r="89" ht="40" customHeight="1">
      <x:c r="A89" s="14" t="str">
        <x:v>P09</x:v>
      </x:c>
      <x:c r="B89" s="14" t="str">
        <x:v>Prove access on the real configured device and provider</x:v>
      </x:c>
      <x:c r="C89" s="14" t="str">
        <x:v>steps</x:v>
      </x:c>
      <x:c r="D89" s="14" t="n">
        <x:v>4</x:v>
      </x:c>
      <x:c r="E89" s="14" t="str">
        <x:v>Expire/revoke the actual server session while advice and research are open; a cleared cookie alone is not expiry proof. Recover a draft only for the same reauthenticated identity with explicit confirmation; an offline logout remains unconfirmed.</x:v>
      </x:c>
    </x:row>
    <x:row r="90" ht="27" customHeight="1">
      <x:c r="A90" s="3" t="str">
        <x:v>P09</x:v>
      </x:c>
      <x:c r="B90" s="3" t="str">
        <x:v>Prove access on the real configured device and provider</x:v>
      </x:c>
      <x:c r="C90" s="3" t="str">
        <x:v>expected</x:v>
      </x:c>
      <x:c r="D90" s="3" t="n">
        <x:v>1</x:v>
      </x:c>
      <x:c r="E90" s="3" t="str">
        <x:v>Every required access transition has the actual configuration identity.</x:v>
      </x:c>
    </x:row>
    <x:row r="91" ht="27" customHeight="1">
      <x:c r="A91" s="14" t="str">
        <x:v>P09</x:v>
      </x:c>
      <x:c r="B91" s="14" t="str">
        <x:v>Prove access on the real configured device and provider</x:v>
      </x:c>
      <x:c r="C91" s="14" t="str">
        <x:v>expected</x:v>
      </x:c>
      <x:c r="D91" s="14" t="n">
        <x:v>2</x:v>
      </x:c>
      <x:c r="E91" s="14" t="str">
        <x:v>No protected matter appears before context resolution or after revoked-session reuse.</x:v>
      </x:c>
    </x:row>
    <x:row r="92" ht="27" customHeight="1">
      <x:c r="A92" s="3" t="str">
        <x:v>P09</x:v>
      </x:c>
      <x:c r="B92" s="3" t="str">
        <x:v>Prove access on the real configured device and provider</x:v>
      </x:c>
      <x:c r="C92" s="3" t="str">
        <x:v>rollback</x:v>
      </x:c>
      <x:c r="D92" s="3" t="n">
        <x:v>1</x:v>
      </x:c>
      <x:c r="E92" s="3" t="str">
        <x:v>Withdraw confidential-profile approval and keep synthetic/local work available only at its permitted assurance.</x:v>
      </x:c>
    </x:row>
    <x:row r="93" ht="40" customHeight="1">
      <x:c r="A93" s="14" t="str">
        <x:v>P10</x:v>
      </x:c>
      <x:c r="B93" s="14" t="str">
        <x:v>Persist one matter transactionally with policy and versions</x:v>
      </x:c>
      <x:c r="C93" s="14" t="str">
        <x:v>inputs</x:v>
      </x:c>
      <x:c r="D93" s="14" t="n">
        <x:v>1</x:v>
      </x:c>
      <x:c r="E93" s="14" t="str">
        <x:v>Existing StorePort round-trip/CAS tests</x:v>
      </x:c>
    </x:row>
    <x:row r="94" ht="40" customHeight="1">
      <x:c r="A94" s="3" t="str">
        <x:v>P10</x:v>
      </x:c>
      <x:c r="B94" s="3" t="str">
        <x:v>Persist one matter transactionally with policy and versions</x:v>
      </x:c>
      <x:c r="C94" s="3" t="str">
        <x:v>inputs</x:v>
      </x:c>
      <x:c r="D94" s="3" t="n">
        <x:v>2</x:v>
      </x:c>
      <x:c r="E94" s="3" t="str">
        <x:v>Synthetic workspace A/B and a fully populated matter</x:v>
      </x:c>
    </x:row>
    <x:row r="95" ht="40" customHeight="1">
      <x:c r="A95" s="14" t="str">
        <x:v>P10</x:v>
      </x:c>
      <x:c r="B95" s="14" t="str">
        <x:v>Persist one matter transactionally with policy and versions</x:v>
      </x:c>
      <x:c r="C95" s="14" t="str">
        <x:v>outputs</x:v>
      </x:c>
      <x:c r="D95" s="14" t="n">
        <x:v>1</x:v>
      </x:c>
      <x:c r="E95" s="14" t="str">
        <x:v>PostgreSQL adapter behind the same store contract with operation/outbox transaction</x:v>
      </x:c>
    </x:row>
    <x:row r="96" ht="40" customHeight="1">
      <x:c r="A96" s="3" t="str">
        <x:v>P10</x:v>
      </x:c>
      <x:c r="B96" s="3" t="str">
        <x:v>Persist one matter transactionally with policy and versions</x:v>
      </x:c>
      <x:c r="C96" s="3" t="str">
        <x:v>steps</x:v>
      </x:c>
      <x:c r="D96" s="3" t="n">
        <x:v>1</x:v>
      </x:c>
      <x:c r="E96" s="3" t="str">
        <x:v>Implement versioned schema and least-privilege tenant/matter policy using the exact contracts; the new adapter path belongs in its Start record.</x:v>
      </x:c>
    </x:row>
    <x:row r="97" ht="40" customHeight="1">
      <x:c r="A97" s="14" t="str">
        <x:v>P10</x:v>
      </x:c>
      <x:c r="B97" s="14" t="str">
        <x:v>Persist one matter transactionally with policy and versions</x:v>
      </x:c>
      <x:c r="C97" s="14" t="str">
        <x:v>steps</x:v>
      </x:c>
      <x:c r="D97" s="14" t="n">
        <x:v>2</x:v>
      </x:c>
      <x:c r="E97" s="14" t="str">
        <x:v>Write matter version, accepted command and outbox atomically; use runtime-role isolation and clear pooled connection context.</x:v>
      </x:c>
    </x:row>
    <x:row r="98" ht="40" customHeight="1">
      <x:c r="A98" s="3" t="str">
        <x:v>P10</x:v>
      </x:c>
      <x:c r="B98" s="3" t="str">
        <x:v>Persist one matter transactionally with policy and versions</x:v>
      </x:c>
      <x:c r="C98" s="3" t="str">
        <x:v>steps</x:v>
      </x:c>
      <x:c r="D98" s="3" t="n">
        <x:v>3</x:v>
      </x:c>
      <x:c r="E98" s="3" t="str">
        <x:v>Race two writes, lose the response, replay its key and query with tenant B; compare every persisted field and unreadable/list states to the existing adapter.</x:v>
      </x:c>
    </x:row>
    <x:row r="99" ht="40" customHeight="1">
      <x:c r="A99" s="14" t="str">
        <x:v>P10</x:v>
      </x:c>
      <x:c r="B99" s="14" t="str">
        <x:v>Persist one matter transactionally with policy and versions</x:v>
      </x:c>
      <x:c r="C99" s="14" t="str">
        <x:v>expected</x:v>
      </x:c>
      <x:c r="D99" s="14" t="n">
        <x:v>1</x:v>
      </x:c>
      <x:c r="E99" s="14" t="str">
        <x:v>One accepted command produces one version; stale update conflicts.</x:v>
      </x:c>
    </x:row>
    <x:row r="100" ht="40" customHeight="1">
      <x:c r="A100" s="3" t="str">
        <x:v>P10</x:v>
      </x:c>
      <x:c r="B100" s="3" t="str">
        <x:v>Persist one matter transactionally with policy and versions</x:v>
      </x:c>
      <x:c r="C100" s="3" t="str">
        <x:v>expected</x:v>
      </x:c>
      <x:c r="D100" s="3" t="n">
        <x:v>2</x:v>
      </x:c>
      <x:c r="E100" s="3" t="str">
        <x:v>Cross-tenant fetch/list/search and connection reuse reveal no foreign material; no production migration yet.</x:v>
      </x:c>
    </x:row>
    <x:row r="101" ht="40" customHeight="1">
      <x:c r="A101" s="14" t="str">
        <x:v>P10</x:v>
      </x:c>
      <x:c r="B101" s="14" t="str">
        <x:v>Persist one matter transactionally with policy and versions</x:v>
      </x:c>
      <x:c r="C101" s="14" t="str">
        <x:v>rollback</x:v>
      </x:c>
      <x:c r="D101" s="14" t="n">
        <x:v>1</x:v>
      </x:c>
      <x:c r="E101" s="14" t="str">
        <x:v>Keep file-store as the sole live writer while the new adapter is synthetic/shadow; discard only its named disposable test schema.</x:v>
      </x:c>
    </x:row>
    <x:row r="102" ht="40" customHeight="1">
      <x:c r="A102" s="3" t="str">
        <x:v>P11</x:v>
      </x:c>
      <x:c r="B102" s="3" t="str">
        <x:v>Execute durable cancellable jobs without duplicate effects</x:v>
      </x:c>
      <x:c r="C102" s="3" t="str">
        <x:v>inputs</x:v>
      </x:c>
      <x:c r="D102" s="3" t="n">
        <x:v>1</x:v>
      </x:c>
      <x:c r="E102" s="3" t="str">
        <x:v>Committed outbox jobs with operation identity, expected matter version and permission policy</x:v>
      </x:c>
    </x:row>
    <x:row r="103" ht="40" customHeight="1">
      <x:c r="A103" s="14" t="str">
        <x:v>P11</x:v>
      </x:c>
      <x:c r="B103" s="14" t="str">
        <x:v>Execute durable cancellable jobs without duplicate effects</x:v>
      </x:c>
      <x:c r="C103" s="14" t="str">
        <x:v>outputs</x:v>
      </x:c>
      <x:c r="D103" s="14" t="n">
        <x:v>1</x:v>
      </x:c>
      <x:c r="E103" s="14" t="str">
        <x:v>Leased worker lifecycle, retry budget and publication-time permission/version recheck</x:v>
      </x:c>
    </x:row>
    <x:row r="104" ht="40" customHeight="1">
      <x:c r="A104" s="3" t="str">
        <x:v>P11</x:v>
      </x:c>
      <x:c r="B104" s="3" t="str">
        <x:v>Execute durable cancellable jobs without duplicate effects</x:v>
      </x:c>
      <x:c r="C104" s="3" t="str">
        <x:v>steps</x:v>
      </x:c>
      <x:c r="D104" s="3" t="n">
        <x:v>1</x:v>
      </x:c>
      <x:c r="E104" s="3" t="str">
        <x:v>Add a durable worker adapter using transactional claim/lease renewal and idempotent effect records; no model call inside the commit transaction.</x:v>
      </x:c>
    </x:row>
    <x:row r="105" ht="40" customHeight="1">
      <x:c r="A105" s="14" t="str">
        <x:v>P11</x:v>
      </x:c>
      <x:c r="B105" s="14" t="str">
        <x:v>Execute durable cancellable jobs without duplicate effects</x:v>
      </x:c>
      <x:c r="C105" s="14" t="str">
        <x:v>steps</x:v>
      </x:c>
      <x:c r="D105" s="14" t="n">
        <x:v>2</x:v>
      </x:c>
      <x:c r="E105" s="14" t="str">
        <x:v>Persist accepted/running/cancel-requested/completed/failed/unknown outcome distinctly; recheck access before reading and before publishing.</x:v>
      </x:c>
    </x:row>
    <x:row r="106" ht="40" customHeight="1">
      <x:c r="A106" s="3" t="str">
        <x:v>P11</x:v>
      </x:c>
      <x:c r="B106" s="3" t="str">
        <x:v>Execute durable cancellable jobs without duplicate effects</x:v>
      </x:c>
      <x:c r="C106" s="3" t="str">
        <x:v>steps</x:v>
      </x:c>
      <x:c r="D106" s="3" t="n">
        <x:v>3</x:v>
      </x:c>
      <x:c r="E106" s="3" t="str">
        <x:v>Crash before effect, after effect and before acknowledgement; revoke membership during lease and replay the job.</x:v>
      </x:c>
    </x:row>
    <x:row r="107" ht="40" customHeight="1">
      <x:c r="A107" s="14" t="str">
        <x:v>P11</x:v>
      </x:c>
      <x:c r="B107" s="14" t="str">
        <x:v>Execute durable cancellable jobs without duplicate effects</x:v>
      </x:c>
      <x:c r="C107" s="14" t="str">
        <x:v>expected</x:v>
      </x:c>
      <x:c r="D107" s="14" t="n">
        <x:v>1</x:v>
      </x:c>
      <x:c r="E107" s="14" t="str">
        <x:v>Unknown external effect goes to reconciliation rather than blind retry.</x:v>
      </x:c>
    </x:row>
    <x:row r="108" ht="40" customHeight="1">
      <x:c r="A108" s="3" t="str">
        <x:v>P11</x:v>
      </x:c>
      <x:c r="B108" s="3" t="str">
        <x:v>Execute durable cancellable jobs without duplicate effects</x:v>
      </x:c>
      <x:c r="C108" s="3" t="str">
        <x:v>expected</x:v>
      </x:c>
      <x:c r="D108" s="3" t="n">
        <x:v>2</x:v>
      </x:c>
      <x:c r="E108" s="3" t="str">
        <x:v>Revocation prevents publication and cancellation never erases already accepted work or falsely refunds cost.</x:v>
      </x:c>
    </x:row>
    <x:row r="109" ht="40" customHeight="1">
      <x:c r="A109" s="14" t="str">
        <x:v>P11</x:v>
      </x:c>
      <x:c r="B109" s="14" t="str">
        <x:v>Execute durable cancellable jobs without duplicate effects</x:v>
      </x:c>
      <x:c r="C109" s="14" t="str">
        <x:v>rollback</x:v>
      </x:c>
      <x:c r="D109" s="14" t="n">
        <x:v>1</x:v>
      </x:c>
      <x:c r="E109" s="14" t="str">
        <x:v>Pause workers, retain outbox/lease/effect history and reconcile in-flight effects before resumption; never reset all jobs to pending.</x:v>
      </x:c>
    </x:row>
    <x:row r="110" ht="27" customHeight="1">
      <x:c r="A110" s="3" t="str">
        <x:v>P12</x:v>
      </x:c>
      <x:c r="B110" s="3" t="str">
        <x:v>Rehearse reversible store cutover before migrating</x:v>
      </x:c>
      <x:c r="C110" s="3" t="str">
        <x:v>inputs</x:v>
      </x:c>
      <x:c r="D110" s="3" t="n">
        <x:v>1</x:v>
      </x:c>
      <x:c r="E110" s="3" t="str">
        <x:v>Read-only source inventory and backed-up synthetic complete store</x:v>
      </x:c>
    </x:row>
    <x:row r="111" ht="27" customHeight="1">
      <x:c r="A111" s="14" t="str">
        <x:v>P12</x:v>
      </x:c>
      <x:c r="B111" s="14" t="str">
        <x:v>Rehearse reversible store cutover before migrating</x:v>
      </x:c>
      <x:c r="C111" s="14" t="str">
        <x:v>inputs</x:v>
      </x:c>
      <x:c r="D111" s="14" t="n">
        <x:v>2</x:v>
      </x:c>
      <x:c r="E111" s="14" t="str">
        <x:v>Approved per-aggregate migration/cutover window</x:v>
      </x:c>
    </x:row>
    <x:row r="112" ht="27" customHeight="1">
      <x:c r="A112" s="3" t="str">
        <x:v>P12</x:v>
      </x:c>
      <x:c r="B112" s="3" t="str">
        <x:v>Rehearse reversible store cutover before migrating</x:v>
      </x:c>
      <x:c r="C112" s="3" t="str">
        <x:v>outputs</x:v>
      </x:c>
      <x:c r="D112" s="3" t="n">
        <x:v>1</x:v>
      </x:c>
      <x:c r="E112" s="3" t="str">
        <x:v>Reconciliation manifest, sole-writer switch and tested reverse/delta recovery procedure</x:v>
      </x:c>
    </x:row>
    <x:row r="113" ht="27" customHeight="1">
      <x:c r="A113" s="14" t="str">
        <x:v>P12</x:v>
      </x:c>
      <x:c r="B113" s="14" t="str">
        <x:v>Rehearse reversible store cutover before migrating</x:v>
      </x:c>
      <x:c r="C113" s="14" t="str">
        <x:v>steps</x:v>
      </x:c>
      <x:c r="D113" s="14" t="n">
        <x:v>1</x:v>
      </x:c>
      <x:c r="E113" s="14" t="str">
        <x:v>Build the importer in a separately registered path; preserve IDs, versions and unknown historical fields without fabricating consent.</x:v>
      </x:c>
    </x:row>
    <x:row r="114" ht="27" customHeight="1">
      <x:c r="A114" s="3" t="str">
        <x:v>P12</x:v>
      </x:c>
      <x:c r="B114" s="3" t="str">
        <x:v>Rehearse reversible store cutover before migrating</x:v>
      </x:c>
      <x:c r="C114" s="3" t="str">
        <x:v>steps</x:v>
      </x:c>
      <x:c r="D114" s="3" t="n">
        <x:v>2</x:v>
      </x:c>
      <x:c r="E114" s="3" t="str">
        <x:v>Compare source/target counts, hashes, source links and every persisted field; quiesce the selected writer and apply the final delta.</x:v>
      </x:c>
    </x:row>
    <x:row r="115" ht="27" customHeight="1">
      <x:c r="A115" s="14" t="str">
        <x:v>P12</x:v>
      </x:c>
      <x:c r="B115" s="14" t="str">
        <x:v>Rehearse reversible store cutover before migrating</x:v>
      </x:c>
      <x:c r="C115" s="14" t="str">
        <x:v>steps</x:v>
      </x:c>
      <x:c r="D115" s="14" t="n">
        <x:v>3</x:v>
      </x:c>
      <x:c r="E115" s="14" t="str">
        <x:v>Rehearse abort before switch and rollback after target-only writes; prove restore and access revocation under target permissions.</x:v>
      </x:c>
    </x:row>
    <x:row r="116" ht="27" customHeight="1">
      <x:c r="A116" s="3" t="str">
        <x:v>P12</x:v>
      </x:c>
      <x:c r="B116" s="3" t="str">
        <x:v>Rehearse reversible store cutover before migrating</x:v>
      </x:c>
      <x:c r="C116" s="3" t="str">
        <x:v>expected</x:v>
      </x:c>
      <x:c r="D116" s="3" t="n">
        <x:v>1</x:v>
      </x:c>
      <x:c r="E116" s="3" t="str">
        <x:v>Zero silently lost accepted writes and one authority at every checkpoint.</x:v>
      </x:c>
    </x:row>
    <x:row r="117" ht="27" customHeight="1">
      <x:c r="A117" s="14" t="str">
        <x:v>P12</x:v>
      </x:c>
      <x:c r="B117" s="14" t="str">
        <x:v>Rehearse reversible store cutover before migrating</x:v>
      </x:c>
      <x:c r="C117" s="14" t="str">
        <x:v>expected</x:v>
      </x:c>
      <x:c r="D117" s="14" t="n">
        <x:v>2</x:v>
      </x:c>
      <x:c r="E117" s="14" t="str">
        <x:v>Real migration requires specific approval even when the rehearsal passes.</x:v>
      </x:c>
    </x:row>
    <x:row r="118" ht="40" customHeight="1">
      <x:c r="A118" s="3" t="str">
        <x:v>P12</x:v>
      </x:c>
      <x:c r="B118" s="3" t="str">
        <x:v>Rehearse reversible store cutover before migrating</x:v>
      </x:c>
      <x:c r="C118" s="3" t="str">
        <x:v>rollback</x:v>
      </x:c>
      <x:c r="D118" s="3" t="n">
        <x:v>1</x:v>
      </x:c>
      <x:c r="E118" s="3" t="str">
        <x:v>Before new writes switch back to the verified source; after new writes execute tested reverse/delta reconciliation or stop for recovery, never overwrite target-only work.</x:v>
      </x:c>
    </x:row>
    <x:row r="119" ht="27" customHeight="1">
      <x:c r="A119" s="14" t="str">
        <x:v>P13</x:v>
      </x:c>
      <x:c r="B119" s="14" t="str">
        <x:v>Capture commission and role-scoped decisions</x:v>
      </x:c>
      <x:c r="C119" s="14" t="str">
        <x:v>inputs</x:v>
      </x:c>
      <x:c r="D119" s="14" t="n">
        <x:v>1</x:v>
      </x:c>
      <x:c r="E119" s="14" t="str">
        <x:v>Synthetic client/instructor/decision-maker roles and a scoped objective</x:v>
      </x:c>
    </x:row>
    <x:row r="120" ht="27" customHeight="1">
      <x:c r="A120" s="3" t="str">
        <x:v>P13</x:v>
      </x:c>
      <x:c r="B120" s="3" t="str">
        <x:v>Capture commission and role-scoped decisions</x:v>
      </x:c>
      <x:c r="C120" s="3" t="str">
        <x:v>outputs</x:v>
      </x:c>
      <x:c r="D120" s="3" t="n">
        <x:v>1</x:v>
      </x:c>
      <x:c r="E120" s="3" t="str">
        <x:v>Versioned commission plus central instruction/action authority checks</x:v>
      </x:c>
    </x:row>
    <x:row r="121" ht="40" customHeight="1">
      <x:c r="A121" s="14" t="str">
        <x:v>P13</x:v>
      </x:c>
      <x:c r="B121" s="14" t="str">
        <x:v>Capture commission and role-scoped decisions</x:v>
      </x:c>
      <x:c r="C121" s="14" t="str">
        <x:v>steps</x:v>
      </x:c>
      <x:c r="D121" s="14" t="n">
        <x:v>1</x:v>
      </x:c>
      <x:c r="E121" s="14" t="str">
        <x:v>Persist who instructs, who decides, objective, forum, deadline, work product and unknowns; distinguish storage from professional acceptance.</x:v>
      </x:c>
    </x:row>
    <x:row r="122" ht="27" customHeight="1">
      <x:c r="A122" s="3" t="str">
        <x:v>P13</x:v>
      </x:c>
      <x:c r="B122" s="3" t="str">
        <x:v>Capture commission and role-scoped decisions</x:v>
      </x:c>
      <x:c r="C122" s="3" t="str">
        <x:v>steps</x:v>
      </x:c>
      <x:c r="D122" s="3" t="n">
        <x:v>2</x:v>
      </x:c>
      <x:c r="E122" s="3" t="str">
        <x:v>Evaluate material instructions through one role/scope policy used by API, jobs, decisions and eventual actions.</x:v>
      </x:c>
    </x:row>
    <x:row r="123" ht="27" customHeight="1">
      <x:c r="A123" s="14" t="str">
        <x:v>P13</x:v>
      </x:c>
      <x:c r="B123" s="14" t="str">
        <x:v>Capture commission and role-scoped decisions</x:v>
      </x:c>
      <x:c r="C123" s="14" t="str">
        <x:v>steps</x:v>
      </x:c>
      <x:c r="D123" s="14" t="n">
        <x:v>3</x:v>
      </x:c>
      <x:c r="E123" s="14" t="str">
        <x:v>Change a material instruction and attempt an unauthorised concession; show re-opened scope and durable attributed refusal.</x:v>
      </x:c>
    </x:row>
    <x:row r="124" ht="40" customHeight="1">
      <x:c r="A124" s="3" t="str">
        <x:v>P13</x:v>
      </x:c>
      <x:c r="B124" s="3" t="str">
        <x:v>Capture commission and role-scoped decisions</x:v>
      </x:c>
      <x:c r="C124" s="3" t="str">
        <x:v>steps</x:v>
      </x:c>
      <x:c r="D124" s="3" t="n">
        <x:v>4</x:v>
      </x:c>
      <x:c r="E124" s="3" t="str">
        <x:v>Render persisted client/title/posture/stage/touched time and deadline-assessment state on the cover; do not turn unknowns into invented facts or implementation IDs.</x:v>
      </x:c>
    </x:row>
    <x:row r="125" ht="27" customHeight="1">
      <x:c r="A125" s="14" t="str">
        <x:v>P13</x:v>
      </x:c>
      <x:c r="B125" s="14" t="str">
        <x:v>Capture commission and role-scoped decisions</x:v>
      </x:c>
      <x:c r="C125" s="14" t="str">
        <x:v>expected</x:v>
      </x:c>
      <x:c r="D125" s="14" t="n">
        <x:v>1</x:v>
      </x:c>
      <x:c r="E125" s="14" t="str">
        <x:v>Matter cover states the current commission after reload.</x:v>
      </x:c>
    </x:row>
    <x:row r="126" ht="27" customHeight="1">
      <x:c r="A126" s="3" t="str">
        <x:v>P13</x:v>
      </x:c>
      <x:c r="B126" s="3" t="str">
        <x:v>Capture commission and role-scoped decisions</x:v>
      </x:c>
      <x:c r="C126" s="3" t="str">
        <x:v>expected</x:v>
      </x:c>
      <x:c r="D126" s="3" t="n">
        <x:v>2</x:v>
      </x:c>
      <x:c r="E126" s="3" t="str">
        <x:v>A recommendation or colleague role does not silently grant action authority.</x:v>
      </x:c>
    </x:row>
    <x:row r="127" ht="27" customHeight="1">
      <x:c r="A127" s="14" t="str">
        <x:v>P13</x:v>
      </x:c>
      <x:c r="B127" s="14" t="str">
        <x:v>Capture commission and role-scoped decisions</x:v>
      </x:c>
      <x:c r="C127" s="14" t="str">
        <x:v>rollback</x:v>
      </x:c>
      <x:c r="D127" s="14" t="n">
        <x:v>1</x:v>
      </x:c>
      <x:c r="E127" s="14" t="str">
        <x:v>Disable unsupported role operations and retain prior commissions/decisions; never reinterpret old actions under new permissions.</x:v>
      </x:c>
    </x:row>
    <x:row r="128" ht="27" customHeight="1">
      <x:c r="A128" s="3" t="str">
        <x:v>P14</x:v>
      </x:c>
      <x:c r="B128" s="3" t="str">
        <x:v>Close ordinary admission and bounded emergency re-entry</x:v>
      </x:c>
      <x:c r="C128" s="3" t="str">
        <x:v>inputs</x:v>
      </x:c>
      <x:c r="D128" s="3" t="n">
        <x:v>1</x:v>
      </x:c>
      <x:c r="E128" s="3" t="str">
        <x:v>Versioned parties, screen results and urgent synthetic instruction</x:v>
      </x:c>
    </x:row>
    <x:row r="129" ht="27" customHeight="1">
      <x:c r="A129" s="14" t="str">
        <x:v>P14</x:v>
      </x:c>
      <x:c r="B129" s="14" t="str">
        <x:v>Close ordinary admission and bounded emergency re-entry</x:v>
      </x:c>
      <x:c r="C129" s="14" t="str">
        <x:v>outputs</x:v>
      </x:c>
      <x:c r="D129" s="14" t="n">
        <x:v>1</x:v>
      </x:c>
      <x:c r="E129" s="14" t="str">
        <x:v>Ordinary screen decision plus expiring protective-only emergency declaration</x:v>
      </x:c>
    </x:row>
    <x:row r="130" ht="27" customHeight="1">
      <x:c r="A130" s="3" t="str">
        <x:v>P14</x:v>
      </x:c>
      <x:c r="B130" s="3" t="str">
        <x:v>Close ordinary admission and bounded emergency re-entry</x:v>
      </x:c>
      <x:c r="C130" s="3" t="str">
        <x:v>steps</x:v>
      </x:c>
      <x:c r="D130" s="3" t="n">
        <x:v>1</x:v>
      </x:c>
      <x:c r="E130" s="3" t="str">
        <x:v>Use the screen owner, not duplicate edge logic; adding a party stales clearance before substance from the same turn can release.</x:v>
      </x:c>
    </x:row>
    <x:row r="131" ht="40" customHeight="1">
      <x:c r="A131" s="14" t="str">
        <x:v>P14</x:v>
      </x:c>
      <x:c r="B131" s="14" t="str">
        <x:v>Close ordinary admission and bounded emergency re-entry</x:v>
      </x:c>
      <x:c r="C131" s="14" t="str">
        <x:v>steps</x:v>
      </x:c>
      <x:c r="D131" s="14" t="n">
        <x:v>2</x:v>
      </x:c>
      <x:c r="E131" s="14" t="str">
        <x:v>Persist emergency actor, basis, permitted protective/referral scope, outstanding screens and expiry; connect BK-53 triage without admitting merits.</x:v>
      </x:c>
    </x:row>
    <x:row r="132" ht="40" customHeight="1">
      <x:c r="A132" s="3" t="str">
        <x:v>P14</x:v>
      </x:c>
      <x:c r="B132" s="3" t="str">
        <x:v>Close ordinary admission and bounded emergency re-entry</x:v>
      </x:c>
      <x:c r="C132" s="3" t="str">
        <x:v>steps</x:v>
      </x:c>
      <x:c r="D132" s="3" t="n">
        <x:v>3</x:v>
      </x:c>
      <x:c r="E132" s="3" t="str">
        <x:v>Re-enter/retry after expiry, inject unavailable screening and request merits via the emergency route; inspect blocked result and preserved urgency.</x:v>
      </x:c>
    </x:row>
    <x:row r="133" ht="40" customHeight="1">
      <x:c r="A133" s="14" t="str">
        <x:v>P14</x:v>
      </x:c>
      <x:c r="B133" s="14" t="str">
        <x:v>Close ordinary admission and bounded emergency re-entry</x:v>
      </x:c>
      <x:c r="C133" s="14" t="str">
        <x:v>steps</x:v>
      </x:c>
      <x:c r="D133" s="14" t="n">
        <x:v>4</x:v>
      </x:c>
      <x:c r="E133" s="14" t="str">
        <x:v>Record capacity/authority to instruct as assessed, unresolved or insufficient with its source and needed next step; account access alone is not capacity.</x:v>
      </x:c>
    </x:row>
    <x:row r="134" ht="27" customHeight="1">
      <x:c r="A134" s="3" t="str">
        <x:v>P14</x:v>
      </x:c>
      <x:c r="B134" s="3" t="str">
        <x:v>Close ordinary admission and bounded emergency re-entry</x:v>
      </x:c>
      <x:c r="C134" s="3" t="str">
        <x:v>expected</x:v>
      </x:c>
      <x:c r="D134" s="3" t="n">
        <x:v>1</x:v>
      </x:c>
      <x:c r="E134" s="3" t="str">
        <x:v>Unavailable screen never reads clear.</x:v>
      </x:c>
    </x:row>
    <x:row r="135" ht="27" customHeight="1">
      <x:c r="A135" s="14" t="str">
        <x:v>P14</x:v>
      </x:c>
      <x:c r="B135" s="14" t="str">
        <x:v>Close ordinary admission and bounded emergency re-entry</x:v>
      </x:c>
      <x:c r="C135" s="14" t="str">
        <x:v>expected</x:v>
      </x:c>
      <x:c r="D135" s="14" t="n">
        <x:v>2</x:v>
      </x:c>
      <x:c r="E135" s="14" t="str">
        <x:v>Emergency path provides only permitted protection until ordinary gates reopen.</x:v>
      </x:c>
    </x:row>
    <x:row r="136" ht="27" customHeight="1">
      <x:c r="A136" s="3" t="str">
        <x:v>P14</x:v>
      </x:c>
      <x:c r="B136" s="3" t="str">
        <x:v>Close ordinary admission and bounded emergency re-entry</x:v>
      </x:c>
      <x:c r="C136" s="3" t="str">
        <x:v>rollback</x:v>
      </x:c>
      <x:c r="D136" s="3" t="n">
        <x:v>1</x:v>
      </x:c>
      <x:c r="E136" s="3" t="str">
        <x:v>Disable emergency integration while retaining declarations and ordinary screening; do not backdate a clearance.</x:v>
      </x:c>
    </x:row>
    <x:row r="137" ht="27" customHeight="1">
      <x:c r="A137" s="14" t="str">
        <x:v>P15</x:v>
      </x:c>
      <x:c r="B137" s="14" t="str">
        <x:v>Make media admission the only reasoning input</x:v>
      </x:c>
      <x:c r="C137" s="14" t="str">
        <x:v>inputs</x:v>
      </x:c>
      <x:c r="D137" s="14" t="n">
        <x:v>1</x:v>
      </x:c>
      <x:c r="E137" s="14" t="str">
        <x:v>Purpose/authority/processor/retention decisions and unsupported/corrupt synthetic assets</x:v>
      </x:c>
    </x:row>
    <x:row r="138" ht="27" customHeight="1">
      <x:c r="A138" s="3" t="str">
        <x:v>P15</x:v>
      </x:c>
      <x:c r="B138" s="3" t="str">
        <x:v>Make media admission the only reasoning input</x:v>
      </x:c>
      <x:c r="C138" s="3" t="str">
        <x:v>outputs</x:v>
      </x:c>
      <x:c r="D138" s="3" t="n">
        <x:v>1</x:v>
      </x:c>
      <x:c r="E138" s="3" t="str">
        <x:v>Typed admission records and enforced rejection before reasoning</x:v>
      </x:c>
    </x:row>
    <x:row r="139" ht="27" customHeight="1">
      <x:c r="A139" s="14" t="str">
        <x:v>P15</x:v>
      </x:c>
      <x:c r="B139" s="14" t="str">
        <x:v>Make media admission the only reasoning input</x:v>
      </x:c>
      <x:c r="C139" s="14" t="str">
        <x:v>steps</x:v>
      </x:c>
      <x:c r="D139" s="14" t="n">
        <x:v>1</x:v>
      </x:c>
      <x:c r="E139" s="14" t="str">
        <x:v>Use the existing media admission owner; reasoners accept approved derivative references, never arbitrary upload paths or raw media.</x:v>
      </x:c>
    </x:row>
    <x:row r="140" ht="27" customHeight="1">
      <x:c r="A140" s="3" t="str">
        <x:v>P15</x:v>
      </x:c>
      <x:c r="B140" s="3" t="str">
        <x:v>Make media admission the only reasoning input</x:v>
      </x:c>
      <x:c r="C140" s="3" t="str">
        <x:v>steps</x:v>
      </x:c>
      <x:c r="D140" s="3" t="n">
        <x:v>2</x:v>
      </x:c>
      <x:c r="E140" s="3" t="str">
        <x:v>Bind each admission to source hash, actor/matter, purpose, processor decision and retention; unknown policy is a refusal.</x:v>
      </x:c>
    </x:row>
    <x:row r="141" ht="27" customHeight="1">
      <x:c r="A141" s="14" t="str">
        <x:v>P15</x:v>
      </x:c>
      <x:c r="B141" s="14" t="str">
        <x:v>Make media admission the only reasoning input</x:v>
      </x:c>
      <x:c r="C141" s="14" t="str">
        <x:v>steps</x:v>
      </x:c>
      <x:c r="D141" s="14" t="n">
        <x:v>3</x:v>
      </x:c>
      <x:c r="E141" s="14" t="str">
        <x:v>Enumerate every reasoning entry and inject an unadmitted derivative at each; verify no content crosses model or fact-state boundaries.</x:v>
      </x:c>
    </x:row>
    <x:row r="142" ht="55" customHeight="1">
      <x:c r="A142" s="3" t="str">
        <x:v>P15</x:v>
      </x:c>
      <x:c r="B142" s="3" t="str">
        <x:v>Make media admission the only reasoning input</x:v>
      </x:c>
      <x:c r="C142" s="3" t="str">
        <x:v>steps</x:v>
      </x:c>
      <x:c r="D142" s="3" t="n">
        <x:v>4</x:v>
      </x:c>
      <x:c r="E142" s="3"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43" ht="40" customHeight="1">
      <x:c r="A143" s="14" t="str">
        <x:v>P15</x:v>
      </x:c>
      <x:c r="B143" s="14" t="str">
        <x:v>Make media admission the only reasoning input</x:v>
      </x:c>
      <x:c r="C143" s="14" t="str">
        <x:v>steps</x:v>
      </x:c>
      <x:c r="D143" s="14" t="n">
        <x:v>5</x:v>
      </x:c>
      <x:c r="E143" s="14"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44" ht="27" customHeight="1">
      <x:c r="A144" s="3" t="str">
        <x:v>P15</x:v>
      </x:c>
      <x:c r="B144" s="3" t="str">
        <x:v>Make media admission the only reasoning input</x:v>
      </x:c>
      <x:c r="C144" s="3" t="str">
        <x:v>expected</x:v>
      </x:c>
      <x:c r="D144" s="3" t="n">
        <x:v>1</x:v>
      </x:c>
      <x:c r="E144" s="3" t="str">
        <x:v>Foundation can close without waiting for M08's briefing integration.</x:v>
      </x:c>
    </x:row>
    <x:row r="145" ht="27" customHeight="1">
      <x:c r="A145" s="14" t="str">
        <x:v>P15</x:v>
      </x:c>
      <x:c r="B145" s="14" t="str">
        <x:v>Make media admission the only reasoning input</x:v>
      </x:c>
      <x:c r="C145" s="14" t="str">
        <x:v>expected</x:v>
      </x:c>
      <x:c r="D145" s="14" t="n">
        <x:v>2</x:v>
      </x:c>
      <x:c r="E145" s="14" t="str">
        <x:v>Receipt, admission and successful reading remain separate states.</x:v>
      </x:c>
    </x:row>
    <x:row r="146" ht="27" customHeight="1">
      <x:c r="A146" s="3" t="str">
        <x:v>P15</x:v>
      </x:c>
      <x:c r="B146" s="3" t="str">
        <x:v>Make media admission the only reasoning input</x:v>
      </x:c>
      <x:c r="C146" s="3" t="str">
        <x:v>rollback</x:v>
      </x:c>
      <x:c r="D146" s="3" t="n">
        <x:v>1</x:v>
      </x:c>
      <x:c r="E146" s="3" t="str">
        <x:v>Disable asset admission/processing; retain authorised originals in restricted quarantine with truthful retention state.</x:v>
      </x:c>
    </x:row>
    <x:row r="147" ht="27" customHeight="1">
      <x:c r="A147" s="14" t="str">
        <x:v>P16</x:v>
      </x:c>
      <x:c r="B147" s="14" t="str">
        <x:v>Upload and record with durable locators and review</x:v>
      </x:c>
      <x:c r="C147" s="14" t="str">
        <x:v>inputs</x:v>
      </x:c>
      <x:c r="D147" s="14" t="n">
        <x:v>1</x:v>
      </x:c>
      <x:c r="E147" s="14" t="str">
        <x:v>Supported capability manifest and synthetic scan/audio/video fixtures</x:v>
      </x:c>
    </x:row>
    <x:row r="148" ht="27" customHeight="1">
      <x:c r="A148" s="3" t="str">
        <x:v>P16</x:v>
      </x:c>
      <x:c r="B148" s="3" t="str">
        <x:v>Upload and record with durable locators and review</x:v>
      </x:c>
      <x:c r="C148" s="3" t="str">
        <x:v>outputs</x:v>
      </x:c>
      <x:c r="D148" s="3" t="n">
        <x:v>1</x:v>
      </x:c>
      <x:c r="E148" s="3" t="str">
        <x:v>Resumable receipt, sandboxed extraction coverage and original page/time inspector</x:v>
      </x:c>
    </x:row>
    <x:row r="149" ht="40" customHeight="1">
      <x:c r="A149" s="14" t="str">
        <x:v>P16</x:v>
      </x:c>
      <x:c r="B149" s="14" t="str">
        <x:v>Upload and record with durable locators and review</x:v>
      </x:c>
      <x:c r="C149" s="14" t="str">
        <x:v>steps</x:v>
      </x:c>
      <x:c r="D149" s="14" t="n">
        <x:v>1</x:v>
      </x:c>
      <x:c r="E149" s="14" t="str">
        <x:v>Implement bounded upload sessions with observed type/hash/size/duration validation and object-version receipt; add record/pause/stop/playback/permission controls.</x:v>
      </x:c>
    </x:row>
    <x:row r="150" ht="27" customHeight="1">
      <x:c r="A150" s="3" t="str">
        <x:v>P16</x:v>
      </x:c>
      <x:c r="B150" s="3" t="str">
        <x:v>Upload and record with durable locators and review</x:v>
      </x:c>
      <x:c r="C150" s="3" t="str">
        <x:v>steps</x:v>
      </x:c>
      <x:c r="D150" s="3" t="n">
        <x:v>2</x:v>
      </x:c>
      <x:c r="E150" s="3" t="str">
        <x:v>Sandbox parsing/transcription with no default egress; retain per-page/time coverage, uncertainty and derivative versions.</x:v>
      </x:c>
    </x:row>
    <x:row r="151" ht="27" customHeight="1">
      <x:c r="A151" s="14" t="str">
        <x:v>P16</x:v>
      </x:c>
      <x:c r="B151" s="14" t="str">
        <x:v>Upload and record with durable locators and review</x:v>
      </x:c>
      <x:c r="C151" s="14" t="str">
        <x:v>steps</x:v>
      </x:c>
      <x:c r="D151" s="14" t="n">
        <x:v>3</x:v>
      </x:c>
      <x:c r="E151" s="14" t="str">
        <x:v>Interrupt upload, refuse microphone permission, corrupt a page, exceed limit and correct an uncertain date against its exact locator.</x:v>
      </x:c>
    </x:row>
    <x:row r="152" ht="27" customHeight="1">
      <x:c r="A152" s="3" t="str">
        <x:v>P16</x:v>
      </x:c>
      <x:c r="B152" s="3" t="str">
        <x:v>Upload and record with durable locators and review</x:v>
      </x:c>
      <x:c r="C152" s="3" t="str">
        <x:v>expected</x:v>
      </x:c>
      <x:c r="D152" s="3" t="n">
        <x:v>1</x:v>
      </x:c>
      <x:c r="E152" s="3" t="str">
        <x:v>Uploaded never means read; partial material is visible.</x:v>
      </x:c>
    </x:row>
    <x:row r="153" ht="27" customHeight="1">
      <x:c r="A153" s="14" t="str">
        <x:v>P16</x:v>
      </x:c>
      <x:c r="B153" s="14" t="str">
        <x:v>Upload and record with durable locators and review</x:v>
      </x:c>
      <x:c r="C153" s="14" t="str">
        <x:v>expected</x:v>
      </x:c>
      <x:c r="D153" s="14" t="n">
        <x:v>2</x:v>
      </x:c>
      <x:c r="E153" s="14" t="str">
        <x:v>No automatic legal fact is established by a transcript; foundation does not yet certify BK-54 full mixed brief.</x:v>
      </x:c>
    </x:row>
    <x:row r="154" ht="27" customHeight="1">
      <x:c r="A154" s="3" t="str">
        <x:v>P16</x:v>
      </x:c>
      <x:c r="B154" s="3" t="str">
        <x:v>Upload and record with durable locators and review</x:v>
      </x:c>
      <x:c r="C154" s="3" t="str">
        <x:v>rollback</x:v>
      </x:c>
      <x:c r="D154" s="3" t="n">
        <x:v>1</x:v>
      </x:c>
      <x:c r="E154" s="3" t="str">
        <x:v>Stop new processing and expose retained receipts; cancel named jobs and quarantine unverifiable derivatives without changing originals.</x:v>
      </x:c>
    </x:row>
    <x:row r="155" ht="27" customHeight="1">
      <x:c r="A155" s="14" t="str">
        <x:v>P17</x:v>
      </x:c>
      <x:c r="B155" s="14" t="str">
        <x:v>Build the attributed living file</x:v>
      </x:c>
      <x:c r="C155" s="14" t="str">
        <x:v>inputs</x:v>
      </x:c>
      <x:c r="D155" s="14" t="n">
        <x:v>1</x:v>
      </x:c>
      <x:c r="E155" s="14" t="str">
        <x:v>Two conflicting statements, source locators, confirmed and provisional dates</x:v>
      </x:c>
    </x:row>
    <x:row r="156" ht="27" customHeight="1">
      <x:c r="A156" s="3" t="str">
        <x:v>P17</x:v>
      </x:c>
      <x:c r="B156" s="3" t="str">
        <x:v>Build the attributed living file</x:v>
      </x:c>
      <x:c r="C156" s="3" t="str">
        <x:v>outputs</x:v>
      </x:c>
      <x:c r="D156" s="3" t="n">
        <x:v>1</x:v>
      </x:c>
      <x:c r="E156" s="3" t="str">
        <x:v>Typed versioned propositions, contradiction links and chronology views</x:v>
      </x:c>
    </x:row>
    <x:row r="157" ht="27" customHeight="1">
      <x:c r="A157" s="14" t="str">
        <x:v>P17</x:v>
      </x:c>
      <x:c r="B157" s="14" t="str">
        <x:v>Build the attributed living file</x:v>
      </x:c>
      <x:c r="C157" s="14" t="str">
        <x:v>steps</x:v>
      </x:c>
      <x:c r="D157" s="14" t="n">
        <x:v>1</x:v>
      </x:c>
      <x:c r="E157" s="14" t="str">
        <x:v>Persist asserted/documented/disputed/inferred status, source location, extraction confidence and confirmation separately.</x:v>
      </x:c>
    </x:row>
    <x:row r="158" ht="27" customHeight="1">
      <x:c r="A158" s="3" t="str">
        <x:v>P17</x:v>
      </x:c>
      <x:c r="B158" s="3" t="str">
        <x:v>Build the attributed living file</x:v>
      </x:c>
      <x:c r="C158" s="3" t="str">
        <x:v>steps</x:v>
      </x:c>
      <x:c r="D158" s="3" t="n">
        <x:v>2</x:v>
      </x:c>
      <x:c r="E158" s="3" t="str">
        <x:v>Apply corrections as new versions with attribution; preserve original evidence and competing accounts.</x:v>
      </x:c>
    </x:row>
    <x:row r="159" ht="27" customHeight="1">
      <x:c r="A159" s="14" t="str">
        <x:v>P17</x:v>
      </x:c>
      <x:c r="B159" s="14" t="str">
        <x:v>Build the attributed living file</x:v>
      </x:c>
      <x:c r="C159" s="14" t="str">
        <x:v>steps</x:v>
      </x:c>
      <x:c r="D159" s="14" t="n">
        <x:v>3</x:v>
      </x:c>
      <x:c r="E159" s="14" t="str">
        <x:v>Repeat an unsupported assertion and then correct a date; inspect persisted provenance, source drawer and contradictions after restart.</x:v>
      </x:c>
    </x:row>
    <x:row r="160" ht="40" customHeight="1">
      <x:c r="A160" s="3" t="str">
        <x:v>P17</x:v>
      </x:c>
      <x:c r="B160" s="3" t="str">
        <x:v>Build the attributed living file</x:v>
      </x:c>
      <x:c r="C160" s="3" t="str">
        <x:v>steps</x:v>
      </x:c>
      <x:c r="D160" s="3" t="n">
        <x:v>4</x:v>
      </x:c>
      <x:c r="E160" s="3" t="str">
        <x:v>Keep factual dispute identity distinct from alternative remedies/procedural questions; proposed thread splits require attributable reasons and cannot duplicate the same dispute into inconsistent files.</x:v>
      </x:c>
    </x:row>
    <x:row r="161" ht="27" customHeight="1">
      <x:c r="A161" s="14" t="str">
        <x:v>P17</x:v>
      </x:c>
      <x:c r="B161" s="14" t="str">
        <x:v>Build the attributed living file</x:v>
      </x:c>
      <x:c r="C161" s="14" t="str">
        <x:v>expected</x:v>
      </x:c>
      <x:c r="D161" s="14" t="n">
        <x:v>1</x:v>
      </x:c>
      <x:c r="E161" s="14" t="str">
        <x:v>Repetition never upgrades a claim to documented truth.</x:v>
      </x:c>
    </x:row>
    <x:row r="162" ht="27" customHeight="1">
      <x:c r="A162" s="3" t="str">
        <x:v>P17</x:v>
      </x:c>
      <x:c r="B162" s="3" t="str">
        <x:v>Build the attributed living file</x:v>
      </x:c>
      <x:c r="C162" s="3" t="str">
        <x:v>expected</x:v>
      </x:c>
      <x:c r="D162" s="3" t="n">
        <x:v>2</x:v>
      </x:c>
      <x:c r="E162" s="3" t="str">
        <x:v>Every material conclusion has inspectable typed premises; unsupported state remains explicit.</x:v>
      </x:c>
    </x:row>
    <x:row r="163" ht="27" customHeight="1">
      <x:c r="A163" s="14" t="str">
        <x:v>P17</x:v>
      </x:c>
      <x:c r="B163" s="14" t="str">
        <x:v>Build the attributed living file</x:v>
      </x:c>
      <x:c r="C163" s="14" t="str">
        <x:v>rollback</x:v>
      </x:c>
      <x:c r="D163" s="14" t="n">
        <x:v>1</x:v>
      </x:c>
      <x:c r="E163" s="14" t="str">
        <x:v>Disable new correction commands if needed; retain versions and render the last authorised state with freshness limits.</x:v>
      </x:c>
    </x:row>
    <x:row r="164" ht="27" customHeight="1">
      <x:c r="A164" s="3" t="str">
        <x:v>P18</x:v>
      </x:c>
      <x:c r="B164" s="3" t="str">
        <x:v>Invalidate exactly the affected dependency closure</x:v>
      </x:c>
      <x:c r="C164" s="3" t="str">
        <x:v>inputs</x:v>
      </x:c>
      <x:c r="D164" s="3" t="n">
        <x:v>1</x:v>
      </x:c>
      <x:c r="E164" s="3" t="str">
        <x:v>Dependency-linked propositions, findings, computations and two independent issues</x:v>
      </x:c>
    </x:row>
    <x:row r="165" ht="27" customHeight="1">
      <x:c r="A165" s="14" t="str">
        <x:v>P18</x:v>
      </x:c>
      <x:c r="B165" s="14" t="str">
        <x:v>Invalidate exactly the affected dependency closure</x:v>
      </x:c>
      <x:c r="C165" s="14" t="str">
        <x:v>outputs</x:v>
      </x:c>
      <x:c r="D165" s="14" t="n">
        <x:v>1</x:v>
      </x:c>
      <x:c r="E165" s="14" t="str">
        <x:v>Selective stale-state propagation with preserved prior record and change reason</x:v>
      </x:c>
    </x:row>
    <x:row r="166" ht="40" customHeight="1">
      <x:c r="A166" s="3" t="str">
        <x:v>P18</x:v>
      </x:c>
      <x:c r="B166" s="3" t="str">
        <x:v>Invalidate exactly the affected dependency closure</x:v>
      </x:c>
      <x:c r="C166" s="3" t="str">
        <x:v>steps</x:v>
      </x:c>
      <x:c r="D166" s="3" t="n">
        <x:v>1</x:v>
      </x:c>
      <x:c r="E166" s="3" t="str">
        <x:v>Introduce/extend typed dependency edges for every material derived artifact; enumerate producers so untracked downstream consumers fail validation.</x:v>
      </x:c>
    </x:row>
    <x:row r="167" ht="27" customHeight="1">
      <x:c r="A167" s="14" t="str">
        <x:v>P18</x:v>
      </x:c>
      <x:c r="B167" s="14" t="str">
        <x:v>Invalidate exactly the affected dependency closure</x:v>
      </x:c>
      <x:c r="C167" s="14" t="str">
        <x:v>steps</x:v>
      </x:c>
      <x:c r="D167" s="14" t="n">
        <x:v>2</x:v>
      </x:c>
      <x:c r="E167" s="14" t="str">
        <x:v>Calculate transitive affected closure on correction/withdrawal; schedule bounded rework and prevent stale release.</x:v>
      </x:c>
    </x:row>
    <x:row r="168" ht="40" customHeight="1">
      <x:c r="A168" s="3" t="str">
        <x:v>P18</x:v>
      </x:c>
      <x:c r="B168" s="3" t="str">
        <x:v>Invalidate exactly the affected dependency closure</x:v>
      </x:c>
      <x:c r="C168" s="3" t="str">
        <x:v>steps</x:v>
      </x:c>
      <x:c r="D168" s="3" t="n">
        <x:v>3</x:v>
      </x:c>
      <x:c r="E168" s="3" t="str">
        <x:v>Change one controlling predicate and show dependent deadline/advice stale while the independent issue remains current; test cycles and missing dependencies.</x:v>
      </x:c>
    </x:row>
    <x:row r="169" ht="27" customHeight="1">
      <x:c r="A169" s="14" t="str">
        <x:v>P18</x:v>
      </x:c>
      <x:c r="B169" s="14" t="str">
        <x:v>Invalidate exactly the affected dependency closure</x:v>
      </x:c>
      <x:c r="C169" s="14" t="str">
        <x:v>expected</x:v>
      </x:c>
      <x:c r="D169" s="14" t="n">
        <x:v>1</x:v>
      </x:c>
      <x:c r="E169" s="14" t="str">
        <x:v>No affected artifact silently remains current and no unrelated conclusion is gratuitously invalidated.</x:v>
      </x:c>
    </x:row>
    <x:row r="170" ht="27" customHeight="1">
      <x:c r="A170" s="3" t="str">
        <x:v>P18</x:v>
      </x:c>
      <x:c r="B170" s="3" t="str">
        <x:v>Invalidate exactly the affected dependency closure</x:v>
      </x:c>
      <x:c r="C170" s="3" t="str">
        <x:v>rollback</x:v>
      </x:c>
      <x:c r="D170" s="3" t="n">
        <x:v>1</x:v>
      </x:c>
      <x:c r="E170" s="3" t="str">
        <x:v>Pause affected release paths and preserve dependency history; do not mark unknown dependencies current during rollback.</x:v>
      </x:c>
    </x:row>
    <x:row r="171" ht="40" customHeight="1">
      <x:c r="A171" s="14" t="str">
        <x:v>P19</x:v>
      </x:c>
      <x:c r="B171" s="14" t="str">
        <x:v>Inventory canonical sources without mutating the shared database</x:v>
      </x:c>
      <x:c r="C171" s="14" t="str">
        <x:v>inputs</x:v>
      </x:c>
      <x:c r="D171" s="14" t="n">
        <x:v>1</x:v>
      </x:c>
      <x:c r="E171" s="14" t="str">
        <x:v>Resolved legal_database junction and read-only consumer/file inventory</x:v>
      </x:c>
    </x:row>
    <x:row r="172" ht="40" customHeight="1">
      <x:c r="A172" s="3" t="str">
        <x:v>P19</x:v>
      </x:c>
      <x:c r="B172" s="3" t="str">
        <x:v>Inventory canonical sources without mutating the shared database</x:v>
      </x:c>
      <x:c r="C172" s="3" t="str">
        <x:v>outputs</x:v>
      </x:c>
      <x:c r="D172" s="3" t="n">
        <x:v>1</x:v>
      </x:c>
      <x:c r="E172" s="3" t="str">
        <x:v>Canonical source/alias register with provenance and explicit unresolved metadata</x:v>
      </x:c>
    </x:row>
    <x:row r="173" ht="40" customHeight="1">
      <x:c r="A173" s="14" t="str">
        <x:v>P19</x:v>
      </x:c>
      <x:c r="B173" s="14" t="str">
        <x:v>Inventory canonical sources without mutating the shared database</x:v>
      </x:c>
      <x:c r="C173" s="14" t="str">
        <x:v>steps</x:v>
      </x:c>
      <x:c r="D173" s="14" t="n">
        <x:v>1</x:v>
      </x:c>
      <x:c r="E173" s="14" t="str">
        <x:v>Resolve actual target/consumers; inventory originals and derived stores separately without opening private chat history.</x:v>
      </x:c>
    </x:row>
    <x:row r="174" ht="40" customHeight="1">
      <x:c r="A174" s="3" t="str">
        <x:v>P19</x:v>
      </x:c>
      <x:c r="B174" s="3" t="str">
        <x:v>Inventory canonical sources without mutating the shared database</x:v>
      </x:c>
      <x:c r="C174" s="3" t="str">
        <x:v>steps</x:v>
      </x:c>
      <x:c r="D174" s="3" t="n">
        <x:v>2</x:v>
      </x:c>
      <x:c r="E174" s="3" t="str">
        <x:v>Reconcile exact source identities, aliases, jurisdiction/language/effective/observed dates, rights and hashes; do not infer missing law from one thin index.</x:v>
      </x:c>
    </x:row>
    <x:row r="175" ht="40" customHeight="1">
      <x:c r="A175" s="14" t="str">
        <x:v>P19</x:v>
      </x:c>
      <x:c r="B175" s="14" t="str">
        <x:v>Inventory canonical sources without mutating the shared database</x:v>
      </x:c>
      <x:c r="C175" s="14" t="str">
        <x:v>steps</x:v>
      </x:c>
      <x:c r="D175" s="14" t="n">
        <x:v>3</x:v>
      </x:c>
      <x:c r="E175" s="14" t="str">
        <x:v>Inspect synthetic duplicate identities, uncertain dates and a wrong High Court mapping; withhold unsupported coverage pending qualified review.</x:v>
      </x:c>
    </x:row>
    <x:row r="176" ht="40" customHeight="1">
      <x:c r="A176" s="3" t="str">
        <x:v>P19</x:v>
      </x:c>
      <x:c r="B176" s="3" t="str">
        <x:v>Inventory canonical sources without mutating the shared database</x:v>
      </x:c>
      <x:c r="C176" s="3" t="str">
        <x:v>expected</x:v>
      </x:c>
      <x:c r="D176" s="3" t="n">
        <x:v>1</x:v>
      </x:c>
      <x:c r="E176" s="3" t="str">
        <x:v>Inventory is bounded read-only work; no indexing, embedding, scraping or source deletion is authorised.</x:v>
      </x:c>
    </x:row>
    <x:row r="177" ht="40" customHeight="1">
      <x:c r="A177" s="14" t="str">
        <x:v>P19</x:v>
      </x:c>
      <x:c r="B177" s="14" t="str">
        <x:v>Inventory canonical sources without mutating the shared database</x:v>
      </x:c>
      <x:c r="C177" s="14" t="str">
        <x:v>expected</x:v>
      </x:c>
      <x:c r="D177" s="14" t="n">
        <x:v>2</x:v>
      </x:c>
      <x:c r="E177" s="14" t="str">
        <x:v>India-only operations never imply all-India verified coverage.</x:v>
      </x:c>
    </x:row>
    <x:row r="178" ht="40" customHeight="1">
      <x:c r="A178" s="3" t="str">
        <x:v>P19</x:v>
      </x:c>
      <x:c r="B178" s="3" t="str">
        <x:v>Inventory canonical sources without mutating the shared database</x:v>
      </x:c>
      <x:c r="C178" s="3" t="str">
        <x:v>rollback</x:v>
      </x:c>
      <x:c r="D178" s="3" t="n">
        <x:v>1</x:v>
      </x:c>
      <x:c r="E178" s="3" t="str">
        <x:v>Retain inventory as a dated non-serving artifact; withdraw any unverified publication candidate without touching the shared originals.</x:v>
      </x:c>
    </x:row>
    <x:row r="179" ht="40" customHeight="1">
      <x:c r="A179" s="14" t="str">
        <x:v>P20</x:v>
      </x:c>
      <x:c r="B179" s="14" t="str">
        <x:v>Publish immutable corpus snapshots with reversible cutover</x:v>
      </x:c>
      <x:c r="C179" s="14" t="str">
        <x:v>inputs</x:v>
      </x:c>
      <x:c r="D179" s="14" t="n">
        <x:v>1</x:v>
      </x:c>
      <x:c r="E179" s="14" t="str">
        <x:v>Approved bounded source selection, extraction repairs and benchmark manifest</x:v>
      </x:c>
    </x:row>
    <x:row r="180" ht="40" customHeight="1">
      <x:c r="A180" s="3" t="str">
        <x:v>P20</x:v>
      </x:c>
      <x:c r="B180" s="3" t="str">
        <x:v>Publish immutable corpus snapshots with reversible cutover</x:v>
      </x:c>
      <x:c r="C180" s="3" t="str">
        <x:v>outputs</x:v>
      </x:c>
      <x:c r="D180" s="3" t="n">
        <x:v>1</x:v>
      </x:c>
      <x:c r="E180" s="3" t="str">
        <x:v>Atomic candidate/published/withdrawn corpus manifests and rollback pointer</x:v>
      </x:c>
    </x:row>
    <x:row r="181" ht="40" customHeight="1">
      <x:c r="A181" s="14" t="str">
        <x:v>P20</x:v>
      </x:c>
      <x:c r="B181" s="14" t="str">
        <x:v>Publish immutable corpus snapshots with reversible cutover</x:v>
      </x:c>
      <x:c r="C181" s="14" t="str">
        <x:v>steps</x:v>
      </x:c>
      <x:c r="D181" s="14" t="n">
        <x:v>1</x:v>
      </x:c>
      <x:c r="E181" s="14" t="str">
        <x:v>Build only the approved derived artifacts with source/model/dimension/tokenizer lineage; separate private evidence from public legal corpus.</x:v>
      </x:c>
    </x:row>
    <x:row r="182" ht="40" customHeight="1">
      <x:c r="A182" s="3" t="str">
        <x:v>P20</x:v>
      </x:c>
      <x:c r="B182" s="3" t="str">
        <x:v>Publish immutable corpus snapshots with reversible cutover</x:v>
      </x:c>
      <x:c r="C182" s="3" t="str">
        <x:v>steps</x:v>
      </x:c>
      <x:c r="D182" s="3" t="n">
        <x:v>2</x:v>
      </x:c>
      <x:c r="E182" s="3" t="str">
        <x:v>Reconcile expected source/chunk populations and legal review before atomic activation; an interrupted publisher cannot expose partial state.</x:v>
      </x:c>
    </x:row>
    <x:row r="183" ht="40" customHeight="1">
      <x:c r="A183" s="14" t="str">
        <x:v>P20</x:v>
      </x:c>
      <x:c r="B183" s="14" t="str">
        <x:v>Publish immutable corpus snapshots with reversible cutover</x:v>
      </x:c>
      <x:c r="C183" s="14" t="str">
        <x:v>steps</x:v>
      </x:c>
      <x:c r="D183" s="14" t="n">
        <x:v>3</x:v>
      </x:c>
      <x:c r="E183" s="14" t="str">
        <x:v>Alter a source hash, withdraw one authority and interrupt publication; show old readers remain valid and dependent work requires reassessment.</x:v>
      </x:c>
    </x:row>
    <x:row r="184" ht="40" customHeight="1">
      <x:c r="A184" s="3" t="str">
        <x:v>P20</x:v>
      </x:c>
      <x:c r="B184" s="3" t="str">
        <x:v>Publish immutable corpus snapshots with reversible cutover</x:v>
      </x:c>
      <x:c r="C184" s="3" t="str">
        <x:v>expected</x:v>
      </x:c>
      <x:c r="D184" s="3" t="n">
        <x:v>1</x:v>
      </x:c>
      <x:c r="E184" s="3" t="str">
        <x:v>Rebuild only measured incompatible or inadequate indexes.</x:v>
      </x:c>
    </x:row>
    <x:row r="185" ht="40" customHeight="1">
      <x:c r="A185" s="14" t="str">
        <x:v>P20</x:v>
      </x:c>
      <x:c r="B185" s="14" t="str">
        <x:v>Publish immutable corpus snapshots with reversible cutover</x:v>
      </x:c>
      <x:c r="C185" s="14" t="str">
        <x:v>expected</x:v>
      </x:c>
      <x:c r="D185" s="14" t="n">
        <x:v>2</x:v>
      </x:c>
      <x:c r="E185" s="14" t="str">
        <x:v>No index job or model enrichment runs without its bounded approval.</x:v>
      </x:c>
    </x:row>
    <x:row r="186" ht="40" customHeight="1">
      <x:c r="A186" s="3" t="str">
        <x:v>P20</x:v>
      </x:c>
      <x:c r="B186" s="3" t="str">
        <x:v>Publish immutable corpus snapshots with reversible cutover</x:v>
      </x:c>
      <x:c r="C186" s="3" t="str">
        <x:v>rollback</x:v>
      </x:c>
      <x:c r="D186" s="3" t="n">
        <x:v>1</x:v>
      </x:c>
      <x:c r="E186" s="3" t="str">
        <x:v>Switch readers to the retained compatible snapshot; preserve withdrawn/candidate lineage and flag work derived from the replaced snapshot.</x:v>
      </x:c>
    </x:row>
    <x:row r="187" ht="27" customHeight="1">
      <x:c r="A187" s="14" t="str">
        <x:v>P21</x:v>
      </x:c>
      <x:c r="B187" s="14" t="str">
        <x:v>Separate discovery, identity and legal verification</x:v>
      </x:c>
      <x:c r="C187" s="14" t="str">
        <x:v>inputs</x:v>
      </x:c>
      <x:c r="D187" s="14" t="n">
        <x:v>1</x:v>
      </x:c>
      <x:c r="E187" s="14" t="str">
        <x:v>Exact citation, subject query, contrary authority and unavailable index scenarios</x:v>
      </x:c>
    </x:row>
    <x:row r="188" ht="27" customHeight="1">
      <x:c r="A188" s="3" t="str">
        <x:v>P21</x:v>
      </x:c>
      <x:c r="B188" s="3" t="str">
        <x:v>Separate discovery, identity and legal verification</x:v>
      </x:c>
      <x:c r="C188" s="3" t="str">
        <x:v>outputs</x:v>
      </x:c>
      <x:c r="D188" s="3" t="n">
        <x:v>1</x:v>
      </x:c>
      <x:c r="E188" s="3" t="str">
        <x:v>Bounded search ledger and independent identity/quote/entailment/treatment/applicability checks</x:v>
      </x:c>
    </x:row>
    <x:row r="189" ht="40" customHeight="1">
      <x:c r="A189" s="14" t="str">
        <x:v>P21</x:v>
      </x:c>
      <x:c r="B189" s="14" t="str">
        <x:v>Separate discovery, identity and legal verification</x:v>
      </x:c>
      <x:c r="C189" s="14" t="str">
        <x:v>steps</x:v>
      </x:c>
      <x:c r="D189" s="14" t="n">
        <x:v>1</x:v>
      </x:c>
      <x:c r="E189" s="14" t="str">
        <x:v>Keep exact identity resolution distinct from hybrid candidate ranking; apply authorised scope before retrieval and return coverage/index identity.</x:v>
      </x:c>
    </x:row>
    <x:row r="190" ht="27" customHeight="1">
      <x:c r="A190" s="3" t="str">
        <x:v>P21</x:v>
      </x:c>
      <x:c r="B190" s="3" t="str">
        <x:v>Separate discovery, identity and legal verification</x:v>
      </x:c>
      <x:c r="C190" s="3" t="str">
        <x:v>steps</x:v>
      </x:c>
      <x:c r="D190" s="3" t="n">
        <x:v>2</x:v>
      </x:c>
      <x:c r="E190" s="3" t="str">
        <x:v>Persist consulted sources, adverse searches and stopping limits; attach selected authority to an issue with precise locators.</x:v>
      </x:c>
    </x:row>
    <x:row r="191" ht="40" customHeight="1">
      <x:c r="A191" s="14" t="str">
        <x:v>P21</x:v>
      </x:c>
      <x:c r="B191" s="14" t="str">
        <x:v>Separate discovery, identity and legal verification</x:v>
      </x:c>
      <x:c r="C191" s="14" t="str">
        <x:v>steps</x:v>
      </x:c>
      <x:c r="D191" s="14" t="n">
        <x:v>3</x:v>
      </x:c>
      <x:c r="E191" s="14" t="str">
        <x:v>Test correct quote with wrong applicability, broken index, unresolved citation and cross-tenant sentinel; qualified review scores legal conclusions, not retrieval rank.</x:v>
      </x:c>
    </x:row>
    <x:row r="192" ht="40" customHeight="1">
      <x:c r="A192" s="3" t="str">
        <x:v>P21</x:v>
      </x:c>
      <x:c r="B192" s="3" t="str">
        <x:v>Separate discovery, identity and legal verification</x:v>
      </x:c>
      <x:c r="C192" s="3" t="str">
        <x:v>steps</x:v>
      </x:c>
      <x:c r="D192" s="3" t="n">
        <x:v>4</x:v>
      </x:c>
      <x:c r="E192" s="3" t="str">
        <x:v>Implement case-level discovery then paragraph expansion, controlled court/date filters and grouped inspection; the browser proof must assert post-submission results/no-results/unavailable state, not static labels.</x:v>
      </x:c>
    </x:row>
    <x:row r="193" ht="27" customHeight="1">
      <x:c r="A193" s="14" t="str">
        <x:v>P21</x:v>
      </x:c>
      <x:c r="B193" s="14" t="str">
        <x:v>Separate discovery, identity and legal verification</x:v>
      </x:c>
      <x:c r="C193" s="14" t="str">
        <x:v>expected</x:v>
      </x:c>
      <x:c r="D193" s="14" t="n">
        <x:v>1</x:v>
      </x:c>
      <x:c r="E193" s="14" t="str">
        <x:v>No hit is not absence of law; no negative-treatment search is not a clean bill.</x:v>
      </x:c>
    </x:row>
    <x:row r="194" ht="27" customHeight="1">
      <x:c r="A194" s="3" t="str">
        <x:v>P21</x:v>
      </x:c>
      <x:c r="B194" s="3" t="str">
        <x:v>Separate discovery, identity and legal verification</x:v>
      </x:c>
      <x:c r="C194" s="3" t="str">
        <x:v>expected</x:v>
      </x:c>
      <x:c r="D194" s="3" t="n">
        <x:v>2</x:v>
      </x:c>
      <x:c r="E194" s="3" t="str">
        <x:v>Canonical identity cannot be established by similarity or RRF score.</x:v>
      </x:c>
    </x:row>
    <x:row r="195" ht="27" customHeight="1">
      <x:c r="A195" s="14" t="str">
        <x:v>P21</x:v>
      </x:c>
      <x:c r="B195" s="14" t="str">
        <x:v>Separate discovery, identity and legal verification</x:v>
      </x:c>
      <x:c r="C195" s="14" t="str">
        <x:v>rollback</x:v>
      </x:c>
      <x:c r="D195" s="14" t="n">
        <x:v>1</x:v>
      </x:c>
      <x:c r="E195" s="14" t="str">
        <x:v>Disable incompatible index/processor and expose held-not-assessed state; never silently replace it with a different-recall scan.</x:v>
      </x:c>
    </x:row>
    <x:row r="196" ht="27" customHeight="1">
      <x:c r="A196" s="3" t="str">
        <x:v>P22</x:v>
      </x:c>
      <x:c r="B196" s="3" t="str">
        <x:v>Assess legal premises before conditional arithmetic</x:v>
      </x:c>
      <x:c r="C196" s="3" t="str">
        <x:v>inputs</x:v>
      </x:c>
      <x:c r="D196" s="3" t="n">
        <x:v>1</x:v>
      </x:c>
      <x:c r="E196" s="3" t="str">
        <x:v>Governing-law/accrual/forum hypotheses with identified primary sources</x:v>
      </x:c>
    </x:row>
    <x:row r="197" ht="27" customHeight="1">
      <x:c r="A197" s="14" t="str">
        <x:v>P22</x:v>
      </x:c>
      <x:c r="B197" s="14" t="str">
        <x:v>Assess legal premises before conditional arithmetic</x:v>
      </x:c>
      <x:c r="C197" s="14" t="str">
        <x:v>inputs</x:v>
      </x:c>
      <x:c r="D197" s="14" t="n">
        <x:v>2</x:v>
      </x:c>
      <x:c r="E197" s="14" t="str">
        <x:v>Same dates under alternative legally reviewed premises</x:v>
      </x:c>
    </x:row>
    <x:row r="198" ht="27" customHeight="1">
      <x:c r="A198" s="3" t="str">
        <x:v>P22</x:v>
      </x:c>
      <x:c r="B198" s="3" t="str">
        <x:v>Assess legal premises before conditional arithmetic</x:v>
      </x:c>
      <x:c r="C198" s="3" t="str">
        <x:v>outputs</x:v>
      </x:c>
      <x:c r="D198" s="3" t="n">
        <x:v>1</x:v>
      </x:c>
      <x:c r="E198" s="3" t="str">
        <x:v>Reviewable premise records and explicitly conditional computations</x:v>
      </x:c>
    </x:row>
    <x:row r="199" ht="27" customHeight="1">
      <x:c r="A199" s="14" t="str">
        <x:v>P22</x:v>
      </x:c>
      <x:c r="B199" s="14" t="str">
        <x:v>Assess legal premises before conditional arithmetic</x:v>
      </x:c>
      <x:c r="C199" s="14" t="str">
        <x:v>steps</x:v>
      </x:c>
      <x:c r="D199" s="14" t="n">
        <x:v>1</x:v>
      </x:c>
      <x:c r="E199" s="14" t="str">
        <x:v>Represent source, applicability, disputed premise and reviewer state separately from dates/period arithmetic.</x:v>
      </x:c>
    </x:row>
    <x:row r="200" ht="27" customHeight="1">
      <x:c r="A200" s="3" t="str">
        <x:v>P22</x:v>
      </x:c>
      <x:c r="B200" s="3" t="str">
        <x:v>Assess legal premises before conditional arithmetic</x:v>
      </x:c>
      <x:c r="C200" s="3" t="str">
        <x:v>steps</x:v>
      </x:c>
      <x:c r="D200" s="3" t="n">
        <x:v>2</x:v>
      </x:c>
      <x:c r="E200" s="3" t="str">
        <x:v>Require a selected or openly conditional legal premise before computing; preserve competing premises and controlling unknowns.</x:v>
      </x:c>
    </x:row>
    <x:row r="201" ht="40" customHeight="1">
      <x:c r="A201" s="14" t="str">
        <x:v>P22</x:v>
      </x:c>
      <x:c r="B201" s="14" t="str">
        <x:v>Assess legal premises before conditional arithmetic</x:v>
      </x:c>
      <x:c r="C201" s="14" t="str">
        <x:v>steps</x:v>
      </x:c>
      <x:c r="D201" s="14" t="n">
        <x:v>3</x:v>
      </x:c>
      <x:c r="E201" s="14" t="str">
        <x:v>Test identical arithmetic under wrong accrual, wrong forum and superseded law; changing a premise invalidates its dependent computation before release.</x:v>
      </x:c>
    </x:row>
    <x:row r="202" ht="40" customHeight="1">
      <x:c r="A202" s="3" t="str">
        <x:v>P22</x:v>
      </x:c>
      <x:c r="B202" s="3" t="str">
        <x:v>Assess legal premises before conditional arithmetic</x:v>
      </x:c>
      <x:c r="C202" s="3" t="str">
        <x:v>steps</x:v>
      </x:c>
      <x:c r="D202" s="3" t="n">
        <x:v>4</x:v>
      </x:c>
      <x:c r="E202" s="3" t="str">
        <x:v>Serve the cover, answer and deadline register from the same premise/calculation version; an inconsistency is explicit and cannot produce conflicting deadlines.</x:v>
      </x:c>
    </x:row>
    <x:row r="203" ht="27" customHeight="1">
      <x:c r="A203" s="14" t="str">
        <x:v>P22</x:v>
      </x:c>
      <x:c r="B203" s="14" t="str">
        <x:v>Assess legal premises before conditional arithmetic</x:v>
      </x:c>
      <x:c r="C203" s="14" t="str">
        <x:v>expected</x:v>
      </x:c>
      <x:c r="D203" s="14" t="n">
        <x:v>1</x:v>
      </x:c>
      <x:c r="E203" s="14" t="str">
        <x:v>Correct arithmetic cannot certify applicable law.</x:v>
      </x:c>
    </x:row>
    <x:row r="204" ht="27" customHeight="1">
      <x:c r="A204" s="3" t="str">
        <x:v>P22</x:v>
      </x:c>
      <x:c r="B204" s="3" t="str">
        <x:v>Assess legal premises before conditional arithmetic</x:v>
      </x:c>
      <x:c r="C204" s="3" t="str">
        <x:v>expected</x:v>
      </x:c>
      <x:c r="D204" s="3" t="n">
        <x:v>2</x:v>
      </x:c>
      <x:c r="E204" s="3" t="str">
        <x:v>The first dated fact is not an automatic accrual trigger.</x:v>
      </x:c>
    </x:row>
    <x:row r="205" ht="27" customHeight="1">
      <x:c r="A205" s="14" t="str">
        <x:v>P22</x:v>
      </x:c>
      <x:c r="B205" s="14" t="str">
        <x:v>Assess legal premises before conditional arithmetic</x:v>
      </x:c>
      <x:c r="C205" s="14" t="str">
        <x:v>rollback</x:v>
      </x:c>
      <x:c r="D205" s="14" t="n">
        <x:v>1</x:v>
      </x:c>
      <x:c r="E205" s="14" t="str">
        <x:v>Withhold affected computations and show identified premise gaps; retain earlier computations as historical, not current advice.</x:v>
      </x:c>
    </x:row>
    <x:row r="206" ht="27" customHeight="1">
      <x:c r="A206" s="3" t="str">
        <x:v>P23</x:v>
      </x:c>
      <x:c r="B206" s="3" t="str">
        <x:v>Reason through relief and enforceability</x:v>
      </x:c>
      <x:c r="C206" s="3" t="str">
        <x:v>inputs</x:v>
      </x:c>
      <x:c r="D206" s="3" t="n">
        <x:v>1</x:v>
      </x:c>
      <x:c r="E206" s="3" t="str">
        <x:v>Same merits with unavailable, hollow, late or disproportionate relief</x:v>
      </x:c>
    </x:row>
    <x:row r="207" ht="27" customHeight="1">
      <x:c r="A207" s="14" t="str">
        <x:v>P23</x:v>
      </x:c>
      <x:c r="B207" s="14" t="str">
        <x:v>Reason through relief and enforceability</x:v>
      </x:c>
      <x:c r="C207" s="14" t="str">
        <x:v>outputs</x:v>
      </x:c>
      <x:c r="D207" s="14" t="n">
        <x:v>1</x:v>
      </x:c>
      <x:c r="E207" s="14" t="str">
        <x:v>Remedy constraints and enforceability basis linked to the objective</x:v>
      </x:c>
    </x:row>
    <x:row r="208" ht="40" customHeight="1">
      <x:c r="A208" s="3" t="str">
        <x:v>P23</x:v>
      </x:c>
      <x:c r="B208" s="3" t="str">
        <x:v>Reason through relief and enforceability</x:v>
      </x:c>
      <x:c r="C208" s="3" t="str">
        <x:v>steps</x:v>
      </x:c>
      <x:c r="D208" s="3" t="n">
        <x:v>1</x:v>
      </x:c>
      <x:c r="E208" s="3" t="str">
        <x:v>Add remedy availability, executable outcome, interim protection and proportionality to issue assessment without confusing merits with useful relief.</x:v>
      </x:c>
    </x:row>
    <x:row r="209" ht="27" customHeight="1">
      <x:c r="A209" s="14" t="str">
        <x:v>P23</x:v>
      </x:c>
      <x:c r="B209" s="14" t="str">
        <x:v>Reason through relief and enforceability</x:v>
      </x:c>
      <x:c r="C209" s="14" t="str">
        <x:v>steps</x:v>
      </x:c>
      <x:c r="D209" s="14" t="n">
        <x:v>2</x:v>
      </x:c>
      <x:c r="E209" s="14" t="str">
        <x:v>Connect asset/limitation/procedure uncertainty as attributed premises, not model guesses.</x:v>
      </x:c>
    </x:row>
    <x:row r="210" ht="40" customHeight="1">
      <x:c r="A210" s="3" t="str">
        <x:v>P23</x:v>
      </x:c>
      <x:c r="B210" s="3" t="str">
        <x:v>Reason through relief and enforceability</x:v>
      </x:c>
      <x:c r="C210" s="3" t="str">
        <x:v>steps</x:v>
      </x:c>
      <x:c r="D210" s="3" t="n">
        <x:v>3</x:v>
      </x:c>
      <x:c r="E210" s="3" t="str">
        <x:v>Compare the controlled same-merits variants; counsel verifies recommendation changes for the remedy reason and not unrelated narrative drift.</x:v>
      </x:c>
    </x:row>
    <x:row r="211" ht="27" customHeight="1">
      <x:c r="A211" s="14" t="str">
        <x:v>P23</x:v>
      </x:c>
      <x:c r="B211" s="14" t="str">
        <x:v>Reason through relief and enforceability</x:v>
      </x:c>
      <x:c r="C211" s="14" t="str">
        <x:v>expected</x:v>
      </x:c>
      <x:c r="D211" s="14" t="n">
        <x:v>1</x:v>
      </x:c>
      <x:c r="E211" s="14" t="str">
        <x:v>A legally arguable case with useless relief is not automatically recommended.</x:v>
      </x:c>
    </x:row>
    <x:row r="212" ht="27" customHeight="1">
      <x:c r="A212" s="3" t="str">
        <x:v>P23</x:v>
      </x:c>
      <x:c r="B212" s="3" t="str">
        <x:v>Reason through relief and enforceability</x:v>
      </x:c>
      <x:c r="C212" s="3" t="str">
        <x:v>expected</x:v>
      </x:c>
      <x:c r="D212" s="3" t="n">
        <x:v>2</x:v>
      </x:c>
      <x:c r="E212" s="3" t="str">
        <x:v>Unknown enforceability is disclosed and assigned a useful next inquiry.</x:v>
      </x:c>
    </x:row>
    <x:row r="213" ht="27" customHeight="1">
      <x:c r="A213" s="14" t="str">
        <x:v>P23</x:v>
      </x:c>
      <x:c r="B213" s="14" t="str">
        <x:v>Reason through relief and enforceability</x:v>
      </x:c>
      <x:c r="C213" s="14" t="str">
        <x:v>rollback</x:v>
      </x:c>
      <x:c r="D213" s="14" t="n">
        <x:v>1</x:v>
      </x:c>
      <x:c r="E213" s="14" t="str">
        <x:v>Fall back to qualified limited merits analysis with relief unassessed; do not preserve a full recommendation from incomplete remedy work.</x:v>
      </x:c>
    </x:row>
    <x:row r="214" ht="27" customHeight="1">
      <x:c r="A214" s="3" t="str">
        <x:v>P24</x:v>
      </x:c>
      <x:c r="B214" s="3" t="str">
        <x:v>Ask the smallest useful question and stop repeated gaps</x:v>
      </x:c>
      <x:c r="C214" s="3" t="str">
        <x:v>inputs</x:v>
      </x:c>
      <x:c r="D214" s="3" t="n">
        <x:v>1</x:v>
      </x:c>
      <x:c r="E214" s="3" t="str">
        <x:v>Brief with answered question, contradictory material, unavailable document and changed objective</x:v>
      </x:c>
    </x:row>
    <x:row r="215" ht="27" customHeight="1">
      <x:c r="A215" s="14" t="str">
        <x:v>P24</x:v>
      </x:c>
      <x:c r="B215" s="14" t="str">
        <x:v>Ask the smallest useful question and stop repeated gaps</x:v>
      </x:c>
      <x:c r="C215" s="14" t="str">
        <x:v>outputs</x:v>
      </x:c>
      <x:c r="D215" s="14" t="n">
        <x:v>1</x:v>
      </x:c>
      <x:c r="E215" s="14" t="str">
        <x:v>Versioned briefing state with question purpose, answer status, pause/resume and readiness</x:v>
      </x:c>
    </x:row>
    <x:row r="216" ht="27" customHeight="1">
      <x:c r="A216" s="3" t="str">
        <x:v>P24</x:v>
      </x:c>
      <x:c r="B216" s="3" t="str">
        <x:v>Ask the smallest useful question and stop repeated gaps</x:v>
      </x:c>
      <x:c r="C216" s="3" t="str">
        <x:v>steps</x:v>
      </x:c>
      <x:c r="D216" s="3" t="n">
        <x:v>1</x:v>
      </x:c>
      <x:c r="E216" s="3" t="str">
        <x:v>Retrieve accessible authorised existing material before asking; store the decision the question may change and which gap it addresses.</x:v>
      </x:c>
    </x:row>
    <x:row r="217" ht="40" customHeight="1">
      <x:c r="A217" s="14" t="str">
        <x:v>P24</x:v>
      </x:c>
      <x:c r="B217" s="14" t="str">
        <x:v>Ask the smallest useful question and stop repeated gaps</x:v>
      </x:c>
      <x:c r="C217" s="14" t="str">
        <x:v>steps</x:v>
      </x:c>
      <x:c r="D217" s="14" t="n">
        <x:v>2</x:v>
      </x:c>
      <x:c r="E217" s="14" t="str">
        <x:v>Allow answer, correction, not known, unavailable, pause and narrowed scope; bind resumption to new evidence or an explicit review trigger.</x:v>
      </x:c>
    </x:row>
    <x:row r="218" ht="40" customHeight="1">
      <x:c r="A218" s="3" t="str">
        <x:v>P24</x:v>
      </x:c>
      <x:c r="B218" s="3" t="str">
        <x:v>Ask the smallest useful question and stop repeated gaps</x:v>
      </x:c>
      <x:c r="C218" s="3" t="str">
        <x:v>steps</x:v>
      </x:c>
      <x:c r="D218" s="3" t="n">
        <x:v>3</x:v>
      </x:c>
      <x:c r="E218" s="3" t="str">
        <x:v>Plant a known-answer repeat and an unavailable-gap loop; neither may claim complete intake or repeat indefinitely; demonstrate a useful limited next step.</x:v>
      </x:c>
    </x:row>
    <x:row r="219" ht="40" customHeight="1">
      <x:c r="A219" s="14" t="str">
        <x:v>P24</x:v>
      </x:c>
      <x:c r="B219" s="14" t="str">
        <x:v>Ask the smallest useful question and stop repeated gaps</x:v>
      </x:c>
      <x:c r="C219" s="14" t="str">
        <x:v>steps</x:v>
      </x:c>
      <x:c r="D219" s="14" t="n">
        <x:v>4</x:v>
      </x:c>
      <x:c r="E219" s="14" t="str">
        <x:v>Integrate the adaptive lead's next-step proposals with the existing briefing boundary. Use already authorised held answers, react to a changed objective and preserve unavailable gaps. P46 is scoped runtime evidence, not full BK-91 completion.</x:v>
      </x:c>
    </x:row>
    <x:row r="220" ht="27" customHeight="1">
      <x:c r="A220" s="3" t="str">
        <x:v>P24</x:v>
      </x:c>
      <x:c r="B220" s="3" t="str">
        <x:v>Ask the smallest useful question and stop repeated gaps</x:v>
      </x:c>
      <x:c r="C220" s="3" t="str">
        <x:v>expected</x:v>
      </x:c>
      <x:c r="D220" s="3" t="n">
        <x:v>1</x:v>
      </x:c>
      <x:c r="E220" s="3" t="str">
        <x:v>Controlling unresolved gap prevents completion, not all useful assistance.</x:v>
      </x:c>
    </x:row>
    <x:row r="221" ht="27" customHeight="1">
      <x:c r="A221" s="14" t="str">
        <x:v>P24</x:v>
      </x:c>
      <x:c r="B221" s="14" t="str">
        <x:v>Ask the smallest useful question and stop repeated gaps</x:v>
      </x:c>
      <x:c r="C221" s="14" t="str">
        <x:v>expected</x:v>
      </x:c>
      <x:c r="D221" s="14" t="n">
        <x:v>2</x:v>
      </x:c>
      <x:c r="E221" s="14" t="str">
        <x:v>Accepted input survives interrupt/retry and questions do not rely on inaccessible material.</x:v>
      </x:c>
    </x:row>
    <x:row r="222" ht="40" customHeight="1">
      <x:c r="A222" s="3" t="str">
        <x:v>P24</x:v>
      </x:c>
      <x:c r="B222" s="3" t="str">
        <x:v>Ask the smallest useful question and stop repeated gaps</x:v>
      </x:c>
      <x:c r="C222" s="3" t="str">
        <x:v>rollback</x:v>
      </x:c>
      <x:c r="D222" s="3" t="n">
        <x:v>1</x:v>
      </x:c>
      <x:c r="E222" s="3" t="str">
        <x:v>Disable automatic questioning and retain collected facts/gap statuses; offer explicit pause/manual scoped review without a false complete badge.</x:v>
      </x:c>
    </x:row>
    <x:row r="223" ht="27" customHeight="1">
      <x:c r="A223" s="14" t="str">
        <x:v>P25</x:v>
      </x:c>
      <x:c r="B223" s="14" t="str">
        <x:v>Join mixed-media briefing to attribution and deletion</x:v>
      </x:c>
      <x:c r="C223" s="14" t="str">
        <x:v>inputs</x:v>
      </x:c>
      <x:c r="D223" s="14" t="n">
        <x:v>1</x:v>
      </x:c>
      <x:c r="E223" s="14" t="str">
        <x:v>One mixed brief with original scan, voice correction, rejected derivative and cancellation</x:v>
      </x:c>
    </x:row>
    <x:row r="224" ht="27" customHeight="1">
      <x:c r="A224" s="3" t="str">
        <x:v>P25</x:v>
      </x:c>
      <x:c r="B224" s="3" t="str">
        <x:v>Join mixed-media briefing to attribution and deletion</x:v>
      </x:c>
      <x:c r="C224" s="3" t="str">
        <x:v>outputs</x:v>
      </x:c>
      <x:c r="D224" s="3" t="n">
        <x:v>1</x:v>
      </x:c>
      <x:c r="E224" s="3" t="str">
        <x:v>End-to-end original/derivative/processor/retention lineage through the served briefing</x:v>
      </x:c>
    </x:row>
    <x:row r="225" ht="27" customHeight="1">
      <x:c r="A225" s="14" t="str">
        <x:v>P25</x:v>
      </x:c>
      <x:c r="B225" s="14" t="str">
        <x:v>Join mixed-media briefing to attribution and deletion</x:v>
      </x:c>
      <x:c r="C225" s="14" t="str">
        <x:v>steps</x:v>
      </x:c>
      <x:c r="D225" s="14" t="n">
        <x:v>1</x:v>
      </x:c>
      <x:c r="E225" s="14" t="str">
        <x:v>Link admitted source versions to proposition versions and actual briefing context; acknowledge unread items without using them.</x:v>
      </x:c>
    </x:row>
    <x:row r="226" ht="40" customHeight="1">
      <x:c r="A226" s="3" t="str">
        <x:v>P25</x:v>
      </x:c>
      <x:c r="B226" s="3" t="str">
        <x:v>Join mixed-media briefing to attribution and deletion</x:v>
      </x:c>
      <x:c r="C226" s="3" t="str">
        <x:v>steps</x:v>
      </x:c>
      <x:c r="D226" s="3" t="n">
        <x:v>2</x:v>
      </x:c>
      <x:c r="E226" s="3" t="str">
        <x:v>Carry cancel/retry/logout/deletion through pending uploads, jobs, temp objects, derivatives, browser state and processor acknowledgements.</x:v>
      </x:c>
    </x:row>
    <x:row r="227" ht="40" customHeight="1">
      <x:c r="A227" s="14" t="str">
        <x:v>P25</x:v>
      </x:c>
      <x:c r="B227" s="14" t="str">
        <x:v>Join mixed-media briefing to attribution and deletion</x:v>
      </x:c>
      <x:c r="C227" s="14" t="str">
        <x:v>steps</x:v>
      </x:c>
      <x:c r="D227" s="14" t="n">
        <x:v>3</x:v>
      </x:c>
      <x:c r="E227" s="14" t="str">
        <x:v>Inspect a page and timestamp behind a correction, then cancel and log out; re-enter and enumerate every retained/erased component with its reason.</x:v>
      </x:c>
    </x:row>
    <x:row r="228" ht="55" customHeight="1">
      <x:c r="A228" s="3" t="str">
        <x:v>P25</x:v>
      </x:c>
      <x:c r="B228" s="3" t="str">
        <x:v>Join mixed-media briefing to attribution and deletion</x:v>
      </x:c>
      <x:c r="C228" s="3" t="str">
        <x:v>steps</x:v>
      </x:c>
      <x:c r="D228" s="3" t="n">
        <x:v>4</x:v>
      </x:c>
      <x:c r="E228" s="3"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29" ht="40" customHeight="1">
      <x:c r="A229" s="14" t="str">
        <x:v>P25</x:v>
      </x:c>
      <x:c r="B229" s="14" t="str">
        <x:v>Join mixed-media briefing to attribution and deletion</x:v>
      </x:c>
      <x:c r="C229" s="14" t="str">
        <x:v>steps</x:v>
      </x:c>
      <x:c r="D229" s="14" t="n">
        <x:v>5</x:v>
      </x:c>
      <x:c r="E229" s="14" t="str">
        <x:v>Plant forbidden requests and nested response derivatives and inspect logs, cache, storage, reasoning and UI for leakage. Keep the real confidential route disabled until BK-88-AC4's configuration-specific proof; synthetic integration does not activate it.</x:v>
      </x:c>
    </x:row>
    <x:row r="230" ht="27" customHeight="1">
      <x:c r="A230" s="3" t="str">
        <x:v>P25</x:v>
      </x:c>
      <x:c r="B230" s="3" t="str">
        <x:v>Join mixed-media briefing to attribution and deletion</x:v>
      </x:c>
      <x:c r="C230" s="3" t="str">
        <x:v>expected</x:v>
      </x:c>
      <x:c r="D230" s="3" t="n">
        <x:v>1</x:v>
      </x:c>
      <x:c r="E230" s="3" t="str">
        <x:v>BK-79 is integrated M08 work, never a prerequisite of M03 foundation.</x:v>
      </x:c>
    </x:row>
    <x:row r="231" ht="27" customHeight="1">
      <x:c r="A231" s="14" t="str">
        <x:v>P25</x:v>
      </x:c>
      <x:c r="B231" s="14" t="str">
        <x:v>Join mixed-media briefing to attribution and deletion</x:v>
      </x:c>
      <x:c r="C231" s="14" t="str">
        <x:v>expected</x:v>
      </x:c>
      <x:c r="D231" s="14" t="n">
        <x:v>2</x:v>
      </x:c>
      <x:c r="E231" s="14" t="str">
        <x:v>No orphaned privileged material or next-user pending intake leak; any retained exception is explicit.</x:v>
      </x:c>
    </x:row>
    <x:row r="232" ht="40" customHeight="1">
      <x:c r="A232" s="3" t="str">
        <x:v>P25</x:v>
      </x:c>
      <x:c r="B232" s="3" t="str">
        <x:v>Join mixed-media briefing to attribution and deletion</x:v>
      </x:c>
      <x:c r="C232" s="3" t="str">
        <x:v>rollback</x:v>
      </x:c>
      <x:c r="D232" s="3" t="n">
        <x:v>1</x:v>
      </x:c>
      <x:c r="E232" s="3" t="str">
        <x:v>Stop new mixed-media briefs and processing; reconcile retained assets/jobs under policy, keeping accepted authoritative records and original custody.</x:v>
      </x:c>
    </x:row>
    <x:row r="233" ht="27" customHeight="1">
      <x:c r="A233" s="14" t="str">
        <x:v>P26</x:v>
      </x:c>
      <x:c r="B233" s="14" t="str">
        <x:v>Release advice at truthful maturity</x:v>
      </x:c>
      <x:c r="C233" s="14" t="str">
        <x:v>inputs</x:v>
      </x:c>
      <x:c r="D233" s="14" t="n">
        <x:v>1</x:v>
      </x:c>
      <x:c r="E233" s="14" t="str">
        <x:v>Same task at each applicable AM maturity plus truncated/withheld output</x:v>
      </x:c>
    </x:row>
    <x:row r="234" ht="27" customHeight="1">
      <x:c r="A234" s="3" t="str">
        <x:v>P26</x:v>
      </x:c>
      <x:c r="B234" s="3" t="str">
        <x:v>Release advice at truthful maturity</x:v>
      </x:c>
      <x:c r="C234" s="3" t="str">
        <x:v>outputs</x:v>
      </x:c>
      <x:c r="D234" s="3" t="n">
        <x:v>1</x:v>
      </x:c>
      <x:c r="E234" s="3" t="str">
        <x:v>Versioned answer with conclusion, support, limits and next action appropriate to maturity</x:v>
      </x:c>
    </x:row>
    <x:row r="235" ht="27" customHeight="1">
      <x:c r="A235" s="14" t="str">
        <x:v>P26</x:v>
      </x:c>
      <x:c r="B235" s="14" t="str">
        <x:v>Release advice at truthful maturity</x:v>
      </x:c>
      <x:c r="C235" s="14" t="str">
        <x:v>steps</x:v>
      </x:c>
      <x:c r="D235" s="14" t="n">
        <x:v>1</x:v>
      </x:c>
      <x:c r="E235" s="14" t="str">
        <x:v>Derive maturity from task prerequisites; present concise conclusion and optional basis without changing substance between views.</x:v>
      </x:c>
    </x:row>
    <x:row r="236" ht="27" customHeight="1">
      <x:c r="A236" s="3" t="str">
        <x:v>P26</x:v>
      </x:c>
      <x:c r="B236" s="3" t="str">
        <x:v>Release advice at truthful maturity</x:v>
      </x:c>
      <x:c r="C236" s="3" t="str">
        <x:v>steps</x:v>
      </x:c>
      <x:c r="D236" s="3" t="n">
        <x:v>2</x:v>
      </x:c>
      <x:c r="E236" s="3" t="str">
        <x:v>Keep withheld/incomplete results out of the normal recommendation renderer and enforce checks before served bytes.</x:v>
      </x:c>
    </x:row>
    <x:row r="237" ht="40" customHeight="1">
      <x:c r="A237" s="14" t="str">
        <x:v>P26</x:v>
      </x:c>
      <x:c r="B237" s="14" t="str">
        <x:v>Release advice at truthful maturity</x:v>
      </x:c>
      <x:c r="C237" s="14" t="str">
        <x:v>steps</x:v>
      </x:c>
      <x:c r="D237" s="14" t="n">
        <x:v>3</x:v>
      </x:c>
      <x:c r="E237" s="14" t="str">
        <x:v>Ask for certainty despite missing evidence; inspect source links and truncation recovery rather than allowing cosmetic prose to imply completion.</x:v>
      </x:c>
    </x:row>
    <x:row r="238" ht="40" customHeight="1">
      <x:c r="A238" s="3" t="str">
        <x:v>P26</x:v>
      </x:c>
      <x:c r="B238" s="3" t="str">
        <x:v>Release advice at truthful maturity</x:v>
      </x:c>
      <x:c r="C238" s="3" t="str">
        <x:v>steps</x:v>
      </x:c>
      <x:c r="D238" s="3" t="n">
        <x:v>4</x:v>
      </x:c>
      <x:c r="E238" s="3" t="str">
        <x:v>Check every section and order applicable to the served answer contract, including courtesy-only responses; never substitute an arbitrary two-heading minimum.</x:v>
      </x:c>
    </x:row>
    <x:row r="239" ht="27" customHeight="1">
      <x:c r="A239" s="14" t="str">
        <x:v>P26</x:v>
      </x:c>
      <x:c r="B239" s="14" t="str">
        <x:v>Release advice at truthful maturity</x:v>
      </x:c>
      <x:c r="C239" s="14" t="str">
        <x:v>expected</x:v>
      </x:c>
      <x:c r="D239" s="14" t="n">
        <x:v>1</x:v>
      </x:c>
      <x:c r="E239" s="14" t="str">
        <x:v>Every counsel-facing answer declares what level it earns.</x:v>
      </x:c>
    </x:row>
    <x:row r="240" ht="27" customHeight="1">
      <x:c r="A240" s="3" t="str">
        <x:v>P26</x:v>
      </x:c>
      <x:c r="B240" s="3" t="str">
        <x:v>Release advice at truthful maturity</x:v>
      </x:c>
      <x:c r="C240" s="3" t="str">
        <x:v>expected</x:v>
      </x:c>
      <x:c r="D240" s="3" t="n">
        <x:v>2</x:v>
      </x:c>
      <x:c r="E240" s="3" t="str">
        <x:v>A short answer remains useful without hiding a material reservation.</x:v>
      </x:c>
    </x:row>
    <x:row r="241" ht="27" customHeight="1">
      <x:c r="A241" s="14" t="str">
        <x:v>P26</x:v>
      </x:c>
      <x:c r="B241" s="14" t="str">
        <x:v>Release advice at truthful maturity</x:v>
      </x:c>
      <x:c r="C241" s="14" t="str">
        <x:v>rollback</x:v>
      </x:c>
      <x:c r="D241" s="14" t="n">
        <x:v>1</x:v>
      </x:c>
      <x:c r="E241" s="14" t="str">
        <x:v>Disable affected advice surface and show safe incomplete state with accepted work preserved; do not relabel old advice as fresh.</x:v>
      </x:c>
    </x:row>
    <x:row r="242" ht="27" customHeight="1">
      <x:c r="A242" s="3" t="str">
        <x:v>P27</x:v>
      </x:c>
      <x:c r="B242" s="3" t="str">
        <x:v>Compare practical options and record authorised decisions</x:v>
      </x:c>
      <x:c r="C242" s="3" t="str">
        <x:v>inputs</x:v>
      </x:c>
      <x:c r="D242" s="3" t="n">
        <x:v>1</x:v>
      </x:c>
      <x:c r="E242" s="3" t="str">
        <x:v>Client objective and cost/time/disruption constraints; lawful alternatives and adverse material</x:v>
      </x:c>
    </x:row>
    <x:row r="243" ht="27" customHeight="1">
      <x:c r="A243" s="14" t="str">
        <x:v>P27</x:v>
      </x:c>
      <x:c r="B243" s="14" t="str">
        <x:v>Compare practical options and record authorised decisions</x:v>
      </x:c>
      <x:c r="C243" s="14" t="str">
        <x:v>outputs</x:v>
      </x:c>
      <x:c r="D243" s="14" t="n">
        <x:v>1</x:v>
      </x:c>
      <x:c r="E243" s="14" t="str">
        <x:v>Version-bound options comparison, respectful disagreement and attributed decision record</x:v>
      </x:c>
    </x:row>
    <x:row r="244" ht="40" customHeight="1">
      <x:c r="A244" s="3" t="str">
        <x:v>P27</x:v>
      </x:c>
      <x:c r="B244" s="3" t="str">
        <x:v>Compare practical options and record authorised decisions</x:v>
      </x:c>
      <x:c r="C244" s="3" t="str">
        <x:v>steps</x:v>
      </x:c>
      <x:c r="D244" s="3" t="n">
        <x:v>1</x:v>
      </x:c>
      <x:c r="E244" s="3" t="str">
        <x:v>Compare remedy, enforceability, cost, time, proportionality, settlement and doing nothing; separate known figures from estimates and missing inputs.</x:v>
      </x:c>
    </x:row>
    <x:row r="245" ht="27" customHeight="1">
      <x:c r="A245" s="14" t="str">
        <x:v>P27</x:v>
      </x:c>
      <x:c r="B245" s="14" t="str">
        <x:v>Compare practical options and record authorised decisions</x:v>
      </x:c>
      <x:c r="C245" s="14" t="str">
        <x:v>steps</x:v>
      </x:c>
      <x:c r="D245" s="14" t="n">
        <x:v>2</x:v>
      </x:c>
      <x:c r="E245" s="14" t="str">
        <x:v>Record accept/reject/narrow/defer with actor, scope, advice version, owner and review trigger; this does not authorise external action.</x:v>
      </x:c>
    </x:row>
    <x:row r="246" ht="27" customHeight="1">
      <x:c r="A246" s="3" t="str">
        <x:v>P27</x:v>
      </x:c>
      <x:c r="B246" s="3" t="str">
        <x:v>Compare practical options and record authorised decisions</x:v>
      </x:c>
      <x:c r="C246" s="3" t="str">
        <x:v>steps</x:v>
      </x:c>
      <x:c r="D246" s="3" t="n">
        <x:v>3</x:v>
      </x:c>
      <x:c r="E246" s="3" t="str">
        <x:v>Change resource constraints, insist on overconfidence and attempt another role's decision; show reasoned change/refusal without coercion.</x:v>
      </x:c>
    </x:row>
    <x:row r="247" ht="27" customHeight="1">
      <x:c r="A247" s="14" t="str">
        <x:v>P27</x:v>
      </x:c>
      <x:c r="B247" s="14" t="str">
        <x:v>Compare practical options and record authorised decisions</x:v>
      </x:c>
      <x:c r="C247" s="14" t="str">
        <x:v>expected</x:v>
      </x:c>
      <x:c r="D247" s="14" t="n">
        <x:v>1</x:v>
      </x:c>
      <x:c r="E247" s="14" t="str">
        <x:v>Recommendations respond to objective and practical constraints.</x:v>
      </x:c>
    </x:row>
    <x:row r="248" ht="27" customHeight="1">
      <x:c r="A248" s="3" t="str">
        <x:v>P27</x:v>
      </x:c>
      <x:c r="B248" s="3" t="str">
        <x:v>Compare practical options and record authorised decisions</x:v>
      </x:c>
      <x:c r="C248" s="3" t="str">
        <x:v>expected</x:v>
      </x:c>
      <x:c r="D248" s="3" t="n">
        <x:v>2</x:v>
      </x:c>
      <x:c r="E248" s="3" t="str">
        <x:v>Material adverse facts/law remain visible and decisions survive reload with exact version.</x:v>
      </x:c>
    </x:row>
    <x:row r="249" ht="27" customHeight="1">
      <x:c r="A249" s="14" t="str">
        <x:v>P27</x:v>
      </x:c>
      <x:c r="B249" s="14" t="str">
        <x:v>Compare practical options and record authorised decisions</x:v>
      </x:c>
      <x:c r="C249" s="14" t="str">
        <x:v>rollback</x:v>
      </x:c>
      <x:c r="D249" s="14" t="n">
        <x:v>1</x:v>
      </x:c>
      <x:c r="E249" s="14" t="str">
        <x:v>Disable new decision writes while preserving accepted records; supersede incorrect decisions explicitly, never edit history in place.</x:v>
      </x:c>
    </x:row>
    <x:row r="250" ht="27" customHeight="1">
      <x:c r="A250" s="3" t="str">
        <x:v>P28</x:v>
      </x:c>
      <x:c r="B250" s="3" t="str">
        <x:v>Reopen advice only where changed instructions require it</x:v>
      </x:c>
      <x:c r="C250" s="3" t="str">
        <x:v>inputs</x:v>
      </x:c>
      <x:c r="D250" s="3" t="n">
        <x:v>1</x:v>
      </x:c>
      <x:c r="E250" s="3" t="str">
        <x:v>Approved decision and two independent advice branches</x:v>
      </x:c>
    </x:row>
    <x:row r="251" ht="27" customHeight="1">
      <x:c r="A251" s="14" t="str">
        <x:v>P28</x:v>
      </x:c>
      <x:c r="B251" s="14" t="str">
        <x:v>Reopen advice only where changed instructions require it</x:v>
      </x:c>
      <x:c r="C251" s="14" t="str">
        <x:v>outputs</x:v>
      </x:c>
      <x:c r="D251" s="14" t="n">
        <x:v>1</x:v>
      </x:c>
      <x:c r="E251" s="14" t="str">
        <x:v>Visible stale advice/decision state and targeted review task</x:v>
      </x:c>
    </x:row>
    <x:row r="252" ht="27" customHeight="1">
      <x:c r="A252" s="3" t="str">
        <x:v>P28</x:v>
      </x:c>
      <x:c r="B252" s="3" t="str">
        <x:v>Reopen advice only where changed instructions require it</x:v>
      </x:c>
      <x:c r="C252" s="3" t="str">
        <x:v>steps</x:v>
      </x:c>
      <x:c r="D252" s="3" t="n">
        <x:v>1</x:v>
      </x:c>
      <x:c r="E252" s="3" t="str">
        <x:v>Connect commission withdrawal and corrected predicates to advice/decision dependencies.</x:v>
      </x:c>
    </x:row>
    <x:row r="253" ht="27" customHeight="1">
      <x:c r="A253" s="14" t="str">
        <x:v>P28</x:v>
      </x:c>
      <x:c r="B253" s="14" t="str">
        <x:v>Reopen advice only where changed instructions require it</x:v>
      </x:c>
      <x:c r="C253" s="14" t="str">
        <x:v>steps</x:v>
      </x:c>
      <x:c r="D253" s="14" t="n">
        <x:v>2</x:v>
      </x:c>
      <x:c r="E253" s="14" t="str">
        <x:v>Invalidate dependent approval/current labels immediately, preserving prior recommendation and the reason.</x:v>
      </x:c>
    </x:row>
    <x:row r="254" ht="27" customHeight="1">
      <x:c r="A254" s="3" t="str">
        <x:v>P28</x:v>
      </x:c>
      <x:c r="B254" s="3" t="str">
        <x:v>Reopen advice only where changed instructions require it</x:v>
      </x:c>
      <x:c r="C254" s="3" t="str">
        <x:v>steps</x:v>
      </x:c>
      <x:c r="D254" s="3" t="n">
        <x:v>3</x:v>
      </x:c>
      <x:c r="E254" s="3" t="str">
        <x:v>Change one premise while a second tab is open; check both current projection and direct API, then perform only required reassessment.</x:v>
      </x:c>
    </x:row>
    <x:row r="255" ht="27" customHeight="1">
      <x:c r="A255" s="14" t="str">
        <x:v>P28</x:v>
      </x:c>
      <x:c r="B255" s="14" t="str">
        <x:v>Reopen advice only where changed instructions require it</x:v>
      </x:c>
      <x:c r="C255" s="14" t="str">
        <x:v>expected</x:v>
      </x:c>
      <x:c r="D255" s="14" t="n">
        <x:v>1</x:v>
      </x:c>
      <x:c r="E255" s="14" t="str">
        <x:v>Affected stale advice cannot be approved or acted on.</x:v>
      </x:c>
    </x:row>
    <x:row r="256" ht="27" customHeight="1">
      <x:c r="A256" s="3" t="str">
        <x:v>P28</x:v>
      </x:c>
      <x:c r="B256" s="3" t="str">
        <x:v>Reopen advice only where changed instructions require it</x:v>
      </x:c>
      <x:c r="C256" s="3" t="str">
        <x:v>expected</x:v>
      </x:c>
      <x:c r="D256" s="3" t="n">
        <x:v>2</x:v>
      </x:c>
      <x:c r="E256" s="3" t="str">
        <x:v>Independent advice stays available and its freshness basis is inspectable.</x:v>
      </x:c>
    </x:row>
    <x:row r="257" ht="27" customHeight="1">
      <x:c r="A257" s="14" t="str">
        <x:v>P28</x:v>
      </x:c>
      <x:c r="B257" s="14" t="str">
        <x:v>Reopen advice only where changed instructions require it</x:v>
      </x:c>
      <x:c r="C257" s="14" t="str">
        <x:v>rollback</x:v>
      </x:c>
      <x:c r="D257" s="14" t="n">
        <x:v>1</x:v>
      </x:c>
      <x:c r="E257" s="14" t="str">
        <x:v>Block affected approval/actions until dependency reconciliation; keep version history and do not make all work current to recover UI.</x:v>
      </x:c>
    </x:row>
    <x:row r="258" ht="27" customHeight="1">
      <x:c r="A258" s="3" t="str">
        <x:v>P29</x:v>
      </x:c>
      <x:c r="B258" s="3" t="str">
        <x:v>Prepare and verify the exact drafting package</x:v>
      </x:c>
      <x:c r="C258" s="3" t="str">
        <x:v>inputs</x:v>
      </x:c>
      <x:c r="D258" s="3" t="n">
        <x:v>1</x:v>
      </x:c>
      <x:c r="E258" s="3" t="str">
        <x:v>Approved task objective, posture, theory, relief, audience, form, facts and source locators</x:v>
      </x:c>
    </x:row>
    <x:row r="259" ht="27" customHeight="1">
      <x:c r="A259" s="14" t="str">
        <x:v>P29</x:v>
      </x:c>
      <x:c r="B259" s="14" t="str">
        <x:v>Prepare and verify the exact drafting package</x:v>
      </x:c>
      <x:c r="C259" s="14" t="str">
        <x:v>outputs</x:v>
      </x:c>
      <x:c r="D259" s="14" t="n">
        <x:v>1</x:v>
      </x:c>
      <x:c r="E259" s="14" t="str">
        <x:v>Versioned draft brief, verified draft, marked blanks and exact export preview</x:v>
      </x:c>
    </x:row>
    <x:row r="260" ht="27" customHeight="1">
      <x:c r="A260" s="3" t="str">
        <x:v>P29</x:v>
      </x:c>
      <x:c r="B260" s="3" t="str">
        <x:v>Prepare and verify the exact drafting package</x:v>
      </x:c>
      <x:c r="C260" s="3" t="str">
        <x:v>steps</x:v>
      </x:c>
      <x:c r="D260" s="3" t="n">
        <x:v>1</x:v>
      </x:c>
      <x:c r="E260" s="3" t="str">
        <x:v>Build draft/review/export first; create an immutable task package with owner/deadline/gaps before generation.</x:v>
      </x:c>
    </x:row>
    <x:row r="261" ht="27" customHeight="1">
      <x:c r="A261" s="14" t="str">
        <x:v>P29</x:v>
      </x:c>
      <x:c r="B261" s="14" t="str">
        <x:v>Prepare and verify the exact drafting package</x:v>
      </x:c>
      <x:c r="C261" s="14" t="str">
        <x:v>steps</x:v>
      </x:c>
      <x:c r="D261" s="14" t="n">
        <x:v>2</x:v>
      </x:c>
      <x:c r="E261" s="14" t="str">
        <x:v>Check each material assertion, citation and annexure against the brief and source; retain blanks where information is absent.</x:v>
      </x:c>
    </x:row>
    <x:row r="262" ht="27" customHeight="1">
      <x:c r="A262" s="3" t="str">
        <x:v>P29</x:v>
      </x:c>
      <x:c r="B262" s="3" t="str">
        <x:v>Prepare and verify the exact drafting package</x:v>
      </x:c>
      <x:c r="C262" s="3" t="str">
        <x:v>steps</x:v>
      </x:c>
      <x:c r="D262" s="3" t="n">
        <x:v>3</x:v>
      </x:c>
      <x:c r="E262" s="3" t="str">
        <x:v>Edit substantive wording or annexures after approval and compare exported bytes; require new approval and show the diff.</x:v>
      </x:c>
    </x:row>
    <x:row r="263" ht="55" customHeight="1">
      <x:c r="A263" s="14" t="str">
        <x:v>P29</x:v>
      </x:c>
      <x:c r="B263" s="14" t="str">
        <x:v>Prepare and verify the exact drafting package</x:v>
      </x:c>
      <x:c r="C263" s="14" t="str">
        <x:v>steps</x:v>
      </x:c>
      <x:c r="D263" s="14" t="n">
        <x:v>4</x:v>
      </x:c>
      <x:c r="E263" s="14"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64" ht="27" customHeight="1">
      <x:c r="A264" s="3" t="str">
        <x:v>P29</x:v>
      </x:c>
      <x:c r="B264" s="3" t="str">
        <x:v>Prepare and verify the exact drafting package</x:v>
      </x:c>
      <x:c r="C264" s="3" t="str">
        <x:v>expected</x:v>
      </x:c>
      <x:c r="D264" s="3" t="n">
        <x:v>1</x:v>
      </x:c>
      <x:c r="E264" s="3" t="str">
        <x:v>Reviewed package identity matches export identity.</x:v>
      </x:c>
    </x:row>
    <x:row r="265" ht="27" customHeight="1">
      <x:c r="A265" s="14" t="str">
        <x:v>P29</x:v>
      </x:c>
      <x:c r="B265" s="14" t="str">
        <x:v>Prepare and verify the exact drafting package</x:v>
      </x:c>
      <x:c r="C265" s="14" t="str">
        <x:v>expected</x:v>
      </x:c>
      <x:c r="D265" s="14" t="n">
        <x:v>2</x:v>
      </x:c>
      <x:c r="E265" s="14" t="str">
        <x:v>Draft status is not sent/filed; scope and material blanks remain visible.</x:v>
      </x:c>
    </x:row>
    <x:row r="266" ht="40" customHeight="1">
      <x:c r="A266" s="3" t="str">
        <x:v>P29</x:v>
      </x:c>
      <x:c r="B266" s="3" t="str">
        <x:v>Prepare and verify the exact drafting package</x:v>
      </x:c>
      <x:c r="C266" s="3" t="str">
        <x:v>rollback</x:v>
      </x:c>
      <x:c r="D266" s="3" t="n">
        <x:v>1</x:v>
      </x:c>
      <x:c r="E266" s="3" t="str">
        <x:v>Disable export/action for affected draft versions and preserve prior packages; produce a corrected superseding version, not silent replacement.</x:v>
      </x:c>
    </x:row>
    <x:row r="267" ht="27" customHeight="1">
      <x:c r="A267" s="14" t="str">
        <x:v>P30</x:v>
      </x:c>
      <x:c r="B267" s="14" t="str">
        <x:v>Enforce action authority and reconcile uncertain delivery</x:v>
      </x:c>
      <x:c r="C267" s="14" t="str">
        <x:v>inputs</x:v>
      </x:c>
      <x:c r="D267" s="14" t="n">
        <x:v>1</x:v>
      </x:c>
      <x:c r="E267" s="14" t="str">
        <x:v>Approved exact package, authorised actor/destination/deadline and connector scope</x:v>
      </x:c>
    </x:row>
    <x:row r="268" ht="27" customHeight="1">
      <x:c r="A268" s="3" t="str">
        <x:v>P30</x:v>
      </x:c>
      <x:c r="B268" s="3" t="str">
        <x:v>Enforce action authority and reconcile uncertain delivery</x:v>
      </x:c>
      <x:c r="C268" s="3" t="str">
        <x:v>outputs</x:v>
      </x:c>
      <x:c r="D268" s="3" t="n">
        <x:v>1</x:v>
      </x:c>
      <x:c r="E268" s="3" t="str">
        <x:v>Durable action attempt/receipt ledger with unknown outcome</x:v>
      </x:c>
    </x:row>
    <x:row r="269" ht="27" customHeight="1">
      <x:c r="A269" s="14" t="str">
        <x:v>P30</x:v>
      </x:c>
      <x:c r="B269" s="14" t="str">
        <x:v>Enforce action authority and reconcile uncertain delivery</x:v>
      </x:c>
      <x:c r="C269" s="14" t="str">
        <x:v>steps</x:v>
      </x:c>
      <x:c r="D269" s="14" t="n">
        <x:v>1</x:v>
      </x:c>
      <x:c r="E269" s="14" t="str">
        <x:v>Keep external sending/filing disabled unless separately approved; manual receipt capture remains explicit when no connector exists.</x:v>
      </x:c>
    </x:row>
    <x:row r="270" ht="27" customHeight="1">
      <x:c r="A270" s="3" t="str">
        <x:v>P30</x:v>
      </x:c>
      <x:c r="B270" s="3" t="str">
        <x:v>Enforce action authority and reconcile uncertain delivery</x:v>
      </x:c>
      <x:c r="C270" s="3" t="str">
        <x:v>steps</x:v>
      </x:c>
      <x:c r="D270" s="3" t="n">
        <x:v>2</x:v>
      </x:c>
      <x:c r="E270" s="3" t="str">
        <x:v>Bind execution to current approval hash, actor, recipient and limits; check revocation immediately before effect.</x:v>
      </x:c>
    </x:row>
    <x:row r="271" ht="27" customHeight="1">
      <x:c r="A271" s="14" t="str">
        <x:v>P30</x:v>
      </x:c>
      <x:c r="B271" s="14" t="str">
        <x:v>Enforce action authority and reconcile uncertain delivery</x:v>
      </x:c>
      <x:c r="C271" s="14" t="str">
        <x:v>steps</x:v>
      </x:c>
      <x:c r="D271" s="14" t="n">
        <x:v>3</x:v>
      </x:c>
      <x:c r="E271" s="14" t="str">
        <x:v>Simulate timeout after acceptance, duplicate click, wrong recipient and changed approval; reconcile receipt before any retry.</x:v>
      </x:c>
    </x:row>
    <x:row r="272" ht="27" customHeight="1">
      <x:c r="A272" s="3" t="str">
        <x:v>P30</x:v>
      </x:c>
      <x:c r="B272" s="3" t="str">
        <x:v>Enforce action authority and reconcile uncertain delivery</x:v>
      </x:c>
      <x:c r="C272" s="3" t="str">
        <x:v>expected</x:v>
      </x:c>
      <x:c r="D272" s="3" t="n">
        <x:v>1</x:v>
      </x:c>
      <x:c r="E272" s="3" t="str">
        <x:v>No unknown delivery becomes success or triggers duplicate action.</x:v>
      </x:c>
    </x:row>
    <x:row r="273" ht="27" customHeight="1">
      <x:c r="A273" s="14" t="str">
        <x:v>P30</x:v>
      </x:c>
      <x:c r="B273" s="14" t="str">
        <x:v>Enforce action authority and reconcile uncertain delivery</x:v>
      </x:c>
      <x:c r="C273" s="14" t="str">
        <x:v>expected</x:v>
      </x:c>
      <x:c r="D273" s="14" t="n">
        <x:v>2</x:v>
      </x:c>
      <x:c r="E273" s="14" t="str">
        <x:v>No approval can be replayed against changed bytes or a new destination.</x:v>
      </x:c>
    </x:row>
    <x:row r="274" ht="40" customHeight="1">
      <x:c r="A274" s="3" t="str">
        <x:v>P30</x:v>
      </x:c>
      <x:c r="B274" s="3" t="str">
        <x:v>Enforce action authority and reconcile uncertain delivery</x:v>
      </x:c>
      <x:c r="C274" s="3" t="str">
        <x:v>rollback</x:v>
      </x:c>
      <x:c r="D274" s="3" t="n">
        <x:v>1</x:v>
      </x:c>
      <x:c r="E274" s="3" t="str">
        <x:v>Stop dispatch and revoke connector credentials if needed; preserve attempt/receipt ledger and reconcile already initiated effects before rollback.</x:v>
      </x:c>
    </x:row>
    <x:row r="275" ht="27" customHeight="1">
      <x:c r="A275" s="14" t="str">
        <x:v>P31</x:v>
      </x:c>
      <x:c r="B275" s="14" t="str">
        <x:v>Prepare hearing, negotiation and witness work responsibly</x:v>
      </x:c>
      <x:c r="C275" s="14" t="str">
        <x:v>inputs</x:v>
      </x:c>
      <x:c r="D275" s="14" t="n">
        <x:v>1</x:v>
      </x:c>
      <x:c r="E275" s="14" t="str">
        <x:v>Current theory, relief, hard questions, witness knowledge and settlement/concession limits</x:v>
      </x:c>
    </x:row>
    <x:row r="276" ht="27" customHeight="1">
      <x:c r="A276" s="3" t="str">
        <x:v>P31</x:v>
      </x:c>
      <x:c r="B276" s="3" t="str">
        <x:v>Prepare hearing, negotiation and witness work responsibly</x:v>
      </x:c>
      <x:c r="C276" s="3" t="str">
        <x:v>outputs</x:v>
      </x:c>
      <x:c r="D276" s="3" t="n">
        <x:v>1</x:v>
      </x:c>
      <x:c r="E276" s="3" t="str">
        <x:v>Source-linked hearing brief and authority-preserving preparation record</x:v>
      </x:c>
    </x:row>
    <x:row r="277" ht="40" customHeight="1">
      <x:c r="A277" s="14" t="str">
        <x:v>P31</x:v>
      </x:c>
      <x:c r="B277" s="14" t="str">
        <x:v>Prepare hearing, negotiation and witness work responsibly</x:v>
      </x:c>
      <x:c r="C277" s="14" t="str">
        <x:v>steps</x:v>
      </x:c>
      <x:c r="D277" s="14" t="n">
        <x:v>1</x:v>
      </x:c>
      <x:c r="E277" s="14" t="str">
        <x:v>Build proof-issue witness/expert packs distinguishing knowledge, expertise, contradictions and availability; never manufacture testimony or initiate unapproved contact.</x:v>
      </x:c>
    </x:row>
    <x:row r="278" ht="40" customHeight="1">
      <x:c r="A278" s="3" t="str">
        <x:v>P31</x:v>
      </x:c>
      <x:c r="B278" s="3" t="str">
        <x:v>Prepare hearing, negotiation and witness work responsibly</x:v>
      </x:c>
      <x:c r="C278" s="3" t="str">
        <x:v>steps</x:v>
      </x:c>
      <x:c r="D278" s="3" t="n">
        <x:v>2</x:v>
      </x:c>
      <x:c r="E278" s="3" t="str">
        <x:v>Compose concise current theory/relief/propositions with record and authority locators plus strongest countercase and hard-question responses.</x:v>
      </x:c>
    </x:row>
    <x:row r="279" ht="40" customHeight="1">
      <x:c r="A279" s="14" t="str">
        <x:v>P31</x:v>
      </x:c>
      <x:c r="B279" s="14" t="str">
        <x:v>Prepare hearing, negotiation and witness work responsibly</x:v>
      </x:c>
      <x:c r="C279" s="14" t="str">
        <x:v>steps</x:v>
      </x:c>
      <x:c r="D279" s="14" t="n">
        <x:v>3</x:v>
      </x:c>
      <x:c r="E279" s="14" t="str">
        <x:v>Change an instruction/authority during preparation and simulate failed communication; reopen only affected work and retain owner/next obligation.</x:v>
      </x:c>
    </x:row>
    <x:row r="280" ht="27" customHeight="1">
      <x:c r="A280" s="3" t="str">
        <x:v>P31</x:v>
      </x:c>
      <x:c r="B280" s="3" t="str">
        <x:v>Prepare hearing, negotiation and witness work responsibly</x:v>
      </x:c>
      <x:c r="C280" s="3" t="str">
        <x:v>expected</x:v>
      </x:c>
      <x:c r="D280" s="3" t="n">
        <x:v>1</x:v>
      </x:c>
      <x:c r="E280" s="3" t="str">
        <x:v>In-court lookup distinguishes verified material, uncertain analysis and proposed action.</x:v>
      </x:c>
    </x:row>
    <x:row r="281" ht="27" customHeight="1">
      <x:c r="A281" s="14" t="str">
        <x:v>P31</x:v>
      </x:c>
      <x:c r="B281" s="14" t="str">
        <x:v>Prepare hearing, negotiation and witness work responsibly</x:v>
      </x:c>
      <x:c r="C281" s="14" t="str">
        <x:v>expected</x:v>
      </x:c>
      <x:c r="D281" s="14" t="n">
        <x:v>2</x:v>
      </x:c>
      <x:c r="E281" s="14" t="str">
        <x:v>Negotiation and hearing pressure do not bypass concession or settlement limits.</x:v>
      </x:c>
    </x:row>
    <x:row r="282" ht="27" customHeight="1">
      <x:c r="A282" s="3" t="str">
        <x:v>P31</x:v>
      </x:c>
      <x:c r="B282" s="3" t="str">
        <x:v>Prepare hearing, negotiation and witness work responsibly</x:v>
      </x:c>
      <x:c r="C282" s="3" t="str">
        <x:v>rollback</x:v>
      </x:c>
      <x:c r="D282" s="3" t="n">
        <x:v>1</x:v>
      </x:c>
      <x:c r="E282" s="3" t="str">
        <x:v>Mark affected packs stale and pause consequential support; preserve prior approved limits and direct to the accountable advocate.</x:v>
      </x:c>
    </x:row>
    <x:row r="283" ht="27" customHeight="1">
      <x:c r="A283" s="14" t="str">
        <x:v>P32</x:v>
      </x:c>
      <x:c r="B283" s="14" t="str">
        <x:v>Make event re-entry and handover preserve responsibility</x:v>
      </x:c>
      <x:c r="C283" s="14" t="str">
        <x:v>inputs</x:v>
      </x:c>
      <x:c r="D283" s="14" t="n">
        <x:v>1</x:v>
      </x:c>
      <x:c r="E283" s="14" t="str">
        <x:v>New order, obligation owner, changed deadline basis and proposed handover recipient</x:v>
      </x:c>
    </x:row>
    <x:row r="284" ht="27" customHeight="1">
      <x:c r="A284" s="3" t="str">
        <x:v>P32</x:v>
      </x:c>
      <x:c r="B284" s="3" t="str">
        <x:v>Make event re-entry and handover preserve responsibility</x:v>
      </x:c>
      <x:c r="C284" s="3" t="str">
        <x:v>outputs</x:v>
      </x:c>
      <x:c r="D284" s="3" t="n">
        <x:v>1</x:v>
      </x:c>
      <x:c r="E284" s="3" t="str">
        <x:v>Versioned change summary, accepted handover and obligation-aware closure</x:v>
      </x:c>
    </x:row>
    <x:row r="285" ht="40" customHeight="1">
      <x:c r="A285" s="14" t="str">
        <x:v>P32</x:v>
      </x:c>
      <x:c r="B285" s="14" t="str">
        <x:v>Make event re-entry and handover preserve responsibility</x:v>
      </x:c>
      <x:c r="C285" s="14" t="str">
        <x:v>steps</x:v>
      </x:c>
      <x:c r="D285" s="14" t="n">
        <x:v>1</x:v>
      </x:c>
      <x:c r="E285" s="14" t="str">
        <x:v>Implement events and re-entry from authoritative versions; record deadline premise and responsible owner rather than inventing a chat summary.</x:v>
      </x:c>
    </x:row>
    <x:row r="286" ht="27" customHeight="1">
      <x:c r="A286" s="3" t="str">
        <x:v>P32</x:v>
      </x:c>
      <x:c r="B286" s="3" t="str">
        <x:v>Make event re-entry and handover preserve responsibility</x:v>
      </x:c>
      <x:c r="C286" s="3" t="str">
        <x:v>steps</x:v>
      </x:c>
      <x:c r="D286" s="3" t="n">
        <x:v>2</x:v>
      </x:c>
      <x:c r="E286" s="3" t="str">
        <x:v>Create permission-scoped handover snapshot and explicit recipient acceptance; until acceptance original responsibility remains visible.</x:v>
      </x:c>
    </x:row>
    <x:row r="287" ht="40" customHeight="1">
      <x:c r="A287" s="14" t="str">
        <x:v>P32</x:v>
      </x:c>
      <x:c r="B287" s="14" t="str">
        <x:v>Make event re-entry and handover preserve responsibility</x:v>
      </x:c>
      <x:c r="C287" s="14" t="str">
        <x:v>steps</x:v>
      </x:c>
      <x:c r="D287" s="14" t="n">
        <x:v>3</x:v>
      </x:c>
      <x:c r="E287" s="14" t="str">
        <x:v>Attempt closure with a live obligation; require disposition/authorised transfer, preserve record, and require current permission/instruction review on reopen.</x:v>
      </x:c>
    </x:row>
    <x:row r="288" ht="40" customHeight="1">
      <x:c r="A288" s="3" t="str">
        <x:v>P32</x:v>
      </x:c>
      <x:c r="B288" s="3" t="str">
        <x:v>Make event re-entry and handover preserve responsibility</x:v>
      </x:c>
      <x:c r="C288" s="3" t="str">
        <x:v>steps</x:v>
      </x:c>
      <x:c r="D288" s="3" t="n">
        <x:v>4</x:v>
      </x:c>
      <x:c r="E288" s="3" t="str">
        <x:v>History renders actual issued advice and chronological corrections with source/version linkage, not transport/model diagnostics. Re-entry never imports another matter's state; current handover lists authorities, reservations and explicitly unassessed areas.</x:v>
      </x:c>
    </x:row>
    <x:row r="289" ht="27" customHeight="1">
      <x:c r="A289" s="14" t="str">
        <x:v>P32</x:v>
      </x:c>
      <x:c r="B289" s="14" t="str">
        <x:v>Make event re-entry and handover preserve responsibility</x:v>
      </x:c>
      <x:c r="C289" s="14" t="str">
        <x:v>expected</x:v>
      </x:c>
      <x:c r="D289" s="14" t="n">
        <x:v>1</x:v>
      </x:c>
      <x:c r="E289" s="14" t="str">
        <x:v>Closing does not erase obligations or certify advice freshly reviewed.</x:v>
      </x:c>
    </x:row>
    <x:row r="290" ht="27" customHeight="1">
      <x:c r="A290" s="3" t="str">
        <x:v>P32</x:v>
      </x:c>
      <x:c r="B290" s="3" t="str">
        <x:v>Make event re-entry and handover preserve responsibility</x:v>
      </x:c>
      <x:c r="C290" s="3" t="str">
        <x:v>expected</x:v>
      </x:c>
      <x:c r="D290" s="3" t="n">
        <x:v>2</x:v>
      </x:c>
      <x:c r="E290" s="3" t="str">
        <x:v>Handover exposes no material beyond authorised recipient scope.</x:v>
      </x:c>
    </x:row>
    <x:row r="291" ht="40" customHeight="1">
      <x:c r="A291" s="14" t="str">
        <x:v>P32</x:v>
      </x:c>
      <x:c r="B291" s="14" t="str">
        <x:v>Make event re-entry and handover preserve responsibility</x:v>
      </x:c>
      <x:c r="C291" s="14" t="str">
        <x:v>rollback</x:v>
      </x:c>
      <x:c r="D291" s="14" t="n">
        <x:v>1</x:v>
      </x:c>
      <x:c r="E291" s="14" t="str">
        <x:v>Disable closure/transfer commands while retaining original obligations and owners; reversal requires an attributed corrective handover, not silent reassignment.</x:v>
      </x:c>
    </x:row>
    <x:row r="292" ht="40" customHeight="1">
      <x:c r="A292" s="3" t="str">
        <x:v>P33</x:v>
      </x:c>
      <x:c r="B292" s="3" t="str">
        <x:v>Implement held and erased lifecycle, then wire its real consumers</x:v>
      </x:c>
      <x:c r="C292" s="3" t="str">
        <x:v>inputs</x:v>
      </x:c>
      <x:c r="D292" s="3" t="n">
        <x:v>1</x:v>
      </x:c>
      <x:c r="E292" s="3" t="str">
        <x:v>Approved per-purpose schedule, scoped legal hold and lineage inventory</x:v>
      </x:c>
    </x:row>
    <x:row r="293" ht="40" customHeight="1">
      <x:c r="A293" s="14" t="str">
        <x:v>P33</x:v>
      </x:c>
      <x:c r="B293" s="14" t="str">
        <x:v>Implement held and erased lifecycle, then wire its real consumers</x:v>
      </x:c>
      <x:c r="C293" s="14" t="str">
        <x:v>outputs</x:v>
      </x:c>
      <x:c r="D293" s="14" t="n">
        <x:v>1</x:v>
      </x:c>
      <x:c r="E293" s="14" t="str">
        <x:v>Authorised retention workflow, deletion tombstones and truthful backup-pending state</x:v>
      </x:c>
    </x:row>
    <x:row r="294" ht="40" customHeight="1">
      <x:c r="A294" s="3" t="str">
        <x:v>P33</x:v>
      </x:c>
      <x:c r="B294" s="3" t="str">
        <x:v>Implement held and erased lifecycle, then wire its real consumers</x:v>
      </x:c>
      <x:c r="C294" s="3" t="str">
        <x:v>steps</x:v>
      </x:c>
      <x:c r="D294" s="3" t="n">
        <x:v>1</x:v>
      </x:c>
      <x:c r="E294" s="3" t="str">
        <x:v>First prove the BK-85 retention-policy engine with synthetic copy inventories, holds and tombstones. This output is usable before media integration; BK-88-AC1 closes only after actual-path and deployed-restore proof.</x:v>
      </x:c>
    </x:row>
    <x:row r="295" ht="40" customHeight="1">
      <x:c r="A295" s="14" t="str">
        <x:v>P33</x:v>
      </x:c>
      <x:c r="B295" s="14" t="str">
        <x:v>Implement held and erased lifecycle, then wire its real consumers</x:v>
      </x:c>
      <x:c r="C295" s="14" t="str">
        <x:v>steps</x:v>
      </x:c>
      <x:c r="D295" s="14" t="n">
        <x:v>2</x:v>
      </x:c>
      <x:c r="E295" s="14" t="str">
        <x:v>Enumerate originals, derivatives, indexes, caches, temp objects, provider copies and backups through lineage; distinguish archive from erasure.</x:v>
      </x:c>
    </x:row>
    <x:row r="296" ht="40" customHeight="1">
      <x:c r="A296" s="3" t="str">
        <x:v>P33</x:v>
      </x:c>
      <x:c r="B296" s="3" t="str">
        <x:v>Implement held and erased lifecycle, then wire its real consumers</x:v>
      </x:c>
      <x:c r="C296" s="3" t="str">
        <x:v>steps</x:v>
      </x:c>
      <x:c r="D296" s="3" t="n">
        <x:v>3</x:v>
      </x:c>
      <x:c r="E296" s="3" t="str">
        <x:v>Enforce hold/release authority and receipt-based deletion; retain minimal content-free tombstones and unresolved processor exceptions.</x:v>
      </x:c>
    </x:row>
    <x:row r="297" ht="40" customHeight="1">
      <x:c r="A297" s="14" t="str">
        <x:v>P33</x:v>
      </x:c>
      <x:c r="B297" s="14" t="str">
        <x:v>Implement held and erased lifecycle, then wire its real consumers</x:v>
      </x:c>
      <x:c r="C297" s="14" t="str">
        <x:v>steps</x:v>
      </x:c>
      <x:c r="D297" s="14" t="n">
        <x:v>4</x:v>
      </x:c>
      <x:c r="E297" s="14" t="str">
        <x:v>Attempt held deletion and restore a pre-erasure snapshot; prove material cannot silently reappear or be marked completely erased while backups remain pending.</x:v>
      </x:c>
    </x:row>
    <x:row r="298" ht="40" customHeight="1">
      <x:c r="A298" s="3" t="str">
        <x:v>P33</x:v>
      </x:c>
      <x:c r="B298" s="3" t="str">
        <x:v>Implement held and erased lifecycle, then wire its real consumers</x:v>
      </x:c>
      <x:c r="C298" s="3" t="str">
        <x:v>expected</x:v>
      </x:c>
      <x:c r="D298" s="3" t="n">
        <x:v>1</x:v>
      </x:c>
      <x:c r="E298" s="3" t="str">
        <x:v>Deletion status names its actual scope and retained exceptions.</x:v>
      </x:c>
    </x:row>
    <x:row r="299" ht="40" customHeight="1">
      <x:c r="A299" s="14" t="str">
        <x:v>P33</x:v>
      </x:c>
      <x:c r="B299" s="14" t="str">
        <x:v>Implement held and erased lifecycle, then wire its real consumers</x:v>
      </x:c>
      <x:c r="C299" s="14" t="str">
        <x:v>expected</x:v>
      </x:c>
      <x:c r="D299" s="14" t="n">
        <x:v>2</x:v>
      </x:c>
      <x:c r="E299" s="14" t="str">
        <x:v>No auto-delete based on unreviewed retention numbers.</x:v>
      </x:c>
    </x:row>
    <x:row r="300" ht="40" customHeight="1">
      <x:c r="A300" s="3" t="str">
        <x:v>P33</x:v>
      </x:c>
      <x:c r="B300" s="3" t="str">
        <x:v>Implement held and erased lifecycle, then wire its real consumers</x:v>
      </x:c>
      <x:c r="C300" s="3" t="str">
        <x:v>rollback</x:v>
      </x:c>
      <x:c r="D300" s="3" t="n">
        <x:v>1</x:v>
      </x:c>
      <x:c r="E300" s="3" t="str">
        <x:v>Pause erasure queue and preserve holds/tombstones; do not undo completed erasure by restoring older material.</x:v>
      </x:c>
    </x:row>
    <x:row r="301" ht="27" customHeight="1">
      <x:c r="A301" s="14" t="str">
        <x:v>P34</x:v>
      </x:c>
      <x:c r="B301" s="14" t="str">
        <x:v>Validate comprehension and briefing economy</x:v>
      </x:c>
      <x:c r="C301" s="14" t="str">
        <x:v>inputs</x:v>
      </x:c>
      <x:c r="D301" s="14" t="n">
        <x:v>1</x:v>
      </x:c>
      <x:c r="E301" s="14" t="str">
        <x:v>Predeclared representative advocates, tasks, accessibility conditions and rubric</x:v>
      </x:c>
    </x:row>
    <x:row r="302" ht="27" customHeight="1">
      <x:c r="A302" s="3" t="str">
        <x:v>P34</x:v>
      </x:c>
      <x:c r="B302" s="3" t="str">
        <x:v>Validate comprehension and briefing economy</x:v>
      </x:c>
      <x:c r="C302" s="3" t="str">
        <x:v>outputs</x:v>
      </x:c>
      <x:c r="D302" s="3" t="n">
        <x:v>1</x:v>
      </x:c>
      <x:c r="E302" s="3" t="str">
        <x:v>Observed task/comprehension record including disagreement and assistance</x:v>
      </x:c>
    </x:row>
    <x:row r="303" ht="27" customHeight="1">
      <x:c r="A303" s="14" t="str">
        <x:v>P34</x:v>
      </x:c>
      <x:c r="B303" s="14" t="str">
        <x:v>Validate comprehension and briefing economy</x:v>
      </x:c>
      <x:c r="C303" s="14" t="str">
        <x:v>steps</x:v>
      </x:c>
      <x:c r="D303" s="14" t="n">
        <x:v>1</x:v>
      </x:c>
      <x:c r="E303" s="14" t="str">
        <x:v>Freeze tasks, participant strata and thresholds before scoring; use unfamiliar variants, not only demo fixtures.</x:v>
      </x:c>
    </x:row>
    <x:row r="304" ht="40" customHeight="1">
      <x:c r="A304" s="3" t="str">
        <x:v>P34</x:v>
      </x:c>
      <x:c r="B304" s="3" t="str">
        <x:v>Validate comprehension and briefing economy</x:v>
      </x:c>
      <x:c r="C304" s="3" t="str">
        <x:v>steps</x:v>
      </x:c>
      <x:c r="D304" s="3" t="n">
        <x:v>2</x:v>
      </x:c>
      <x:c r="E304" s="3" t="str">
        <x:v>Observe users explain what NM understood/used/assumed/changed/needs/does next and complete correction/pause/return without repeated typing.</x:v>
      </x:c>
    </x:row>
    <x:row r="305" ht="40" customHeight="1">
      <x:c r="A305" s="14" t="str">
        <x:v>P34</x:v>
      </x:c>
      <x:c r="B305" s="14" t="str">
        <x:v>Validate comprehension and briefing economy</x:v>
      </x:c>
      <x:c r="C305" s="14" t="str">
        <x:v>steps</x:v>
      </x:c>
      <x:c r="D305" s="14" t="n">
        <x:v>3</x:v>
      </x:c>
      <x:c r="E305" s="14" t="str">
        <x:v>Record task denominators, mistakes, source navigation and material disagreements; failed comprehension is not repaired by changing the rubric after the run.</x:v>
      </x:c>
    </x:row>
    <x:row r="306" ht="27" customHeight="1">
      <x:c r="A306" s="3" t="str">
        <x:v>P34</x:v>
      </x:c>
      <x:c r="B306" s="3" t="str">
        <x:v>Validate comprehension and briefing economy</x:v>
      </x:c>
      <x:c r="C306" s="3" t="str">
        <x:v>expected</x:v>
      </x:c>
      <x:c r="D306" s="3" t="n">
        <x:v>1</x:v>
      </x:c>
      <x:c r="E306" s="3" t="str">
        <x:v>Representative people, not only a model judge, validate usefulness.</x:v>
      </x:c>
    </x:row>
    <x:row r="307" ht="27" customHeight="1">
      <x:c r="A307" s="14" t="str">
        <x:v>P34</x:v>
      </x:c>
      <x:c r="B307" s="14" t="str">
        <x:v>Validate comprehension and briefing economy</x:v>
      </x:c>
      <x:c r="C307" s="14" t="str">
        <x:v>expected</x:v>
      </x:c>
      <x:c r="D307" s="14" t="n">
        <x:v>2</x:v>
      </x:c>
      <x:c r="E307" s="14" t="str">
        <x:v>Automated fixtures do not substitute for observed advocate work.</x:v>
      </x:c>
    </x:row>
    <x:row r="308" ht="40" customHeight="1">
      <x:c r="A308" s="3" t="str">
        <x:v>P34</x:v>
      </x:c>
      <x:c r="B308" s="3" t="str">
        <x:v>Validate comprehension and briefing economy</x:v>
      </x:c>
      <x:c r="C308" s="3" t="str">
        <x:v>rollback</x:v>
      </x:c>
      <x:c r="D308" s="3" t="n">
        <x:v>1</x:v>
      </x:c>
      <x:c r="E308" s="3" t="str">
        <x:v>Withdraw the affected experience claim, register findings and retain scored artifacts; rerun the affected frozen population after correction.</x:v>
      </x:c>
    </x:row>
    <x:row r="309" ht="27" customHeight="1">
      <x:c r="A309" s="14" t="str">
        <x:v>P35</x:v>
      </x:c>
      <x:c r="B309" s="14" t="str">
        <x:v>Earn qualified professional approval and maintain it</x:v>
      </x:c>
      <x:c r="C309" s="14" t="str">
        <x:v>inputs</x:v>
      </x:c>
      <x:c r="D309" s="14" t="n">
        <x:v>1</x:v>
      </x:c>
      <x:c r="E309" s="14" t="str">
        <x:v>Predeclared matter strata, PA standards, qualified reviewers and identified primary sources</x:v>
      </x:c>
    </x:row>
    <x:row r="310" ht="27" customHeight="1">
      <x:c r="A310" s="3" t="str">
        <x:v>P35</x:v>
      </x:c>
      <x:c r="B310" s="3" t="str">
        <x:v>Earn qualified professional approval and maintain it</x:v>
      </x:c>
      <x:c r="C310" s="3" t="str">
        <x:v>outputs</x:v>
      </x:c>
      <x:c r="D310" s="3" t="n">
        <x:v>1</x:v>
      </x:c>
      <x:c r="E310" s="3" t="str">
        <x:v>Current professional approval for named scope with reservations and change triggers</x:v>
      </x:c>
    </x:row>
    <x:row r="311" ht="40" customHeight="1">
      <x:c r="A311" s="14" t="str">
        <x:v>P35</x:v>
      </x:c>
      <x:c r="B311" s="14" t="str">
        <x:v>Earn qualified professional approval and maintain it</x:v>
      </x:c>
      <x:c r="C311" s="14" t="str">
        <x:v>steps</x:v>
      </x:c>
      <x:c r="D311" s="14" t="n">
        <x:v>1</x:v>
      </x:c>
      <x:c r="E311" s="14" t="str">
        <x:v>Freeze representative/held-out tasks, legal ground truth, critical failures, scoring and disagreement process; obtain bounded model-run approval.</x:v>
      </x:c>
    </x:row>
    <x:row r="312" ht="40" customHeight="1">
      <x:c r="A312" s="3" t="str">
        <x:v>P35</x:v>
      </x:c>
      <x:c r="B312" s="3" t="str">
        <x:v>Earn qualified professional approval and maintain it</x:v>
      </x:c>
      <x:c r="C312" s="3" t="str">
        <x:v>steps</x:v>
      </x:c>
      <x:c r="D312" s="3" t="n">
        <x:v>2</x:v>
      </x:c>
      <x:c r="E312" s="3" t="str">
        <x:v>Review applicable law, accrual, forum, binding/treatment and role restrictions independently from conditional arithmetic; inspect exact served advice.</x:v>
      </x:c>
    </x:row>
    <x:row r="313" ht="40" customHeight="1">
      <x:c r="A313" s="14" t="str">
        <x:v>P35</x:v>
      </x:c>
      <x:c r="B313" s="14" t="str">
        <x:v>Earn qualified professional approval and maintain it</x:v>
      </x:c>
      <x:c r="C313" s="14" t="str">
        <x:v>steps</x:v>
      </x:c>
      <x:c r="D313" s="14" t="n">
        <x:v>3</x:v>
      </x:c>
      <x:c r="E313" s="14" t="str">
        <x:v>Invalidate affected approval on new facts/law/corpus/model/prompt changes and reassess held-out scenarios; no inherited automatic model-version approval.</x:v>
      </x:c>
    </x:row>
    <x:row r="314" ht="55" customHeight="1">
      <x:c r="A314" s="3" t="str">
        <x:v>P35</x:v>
      </x:c>
      <x:c r="B314" s="3" t="str">
        <x:v>Earn qualified professional approval and maintain it</x:v>
      </x:c>
      <x:c r="C314" s="3" t="str">
        <x:v>steps</x:v>
      </x:c>
      <x:c r="D314" s="3" t="n">
        <x:v>4</x:v>
      </x:c>
      <x:c r="E314" s="3"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15" ht="27" customHeight="1">
      <x:c r="A315" s="14" t="str">
        <x:v>P35</x:v>
      </x:c>
      <x:c r="B315" s="14" t="str">
        <x:v>Earn qualified professional approval and maintain it</x:v>
      </x:c>
      <x:c r="C315" s="14" t="str">
        <x:v>expected</x:v>
      </x:c>
      <x:c r="D315" s="14" t="n">
        <x:v>1</x:v>
      </x:c>
      <x:c r="E315" s="14" t="str">
        <x:v>Critical legal failure blocks the affected release even if average score is high.</x:v>
      </x:c>
    </x:row>
    <x:row r="316" ht="27" customHeight="1">
      <x:c r="A316" s="3" t="str">
        <x:v>P35</x:v>
      </x:c>
      <x:c r="B316" s="3" t="str">
        <x:v>Earn qualified professional approval and maintain it</x:v>
      </x:c>
      <x:c r="C316" s="3" t="str">
        <x:v>expected</x:v>
      </x:c>
      <x:c r="D316" s="3" t="n">
        <x:v>2</x:v>
      </x:c>
      <x:c r="E316" s="3" t="str">
        <x:v>Every applicable PA standard and reservation is accounted for with a qualified actor.</x:v>
      </x:c>
    </x:row>
    <x:row r="317" ht="27" customHeight="1">
      <x:c r="A317" s="14" t="str">
        <x:v>P35</x:v>
      </x:c>
      <x:c r="B317" s="14" t="str">
        <x:v>Earn qualified professional approval and maintain it</x:v>
      </x:c>
      <x:c r="C317" s="14" t="str">
        <x:v>rollback</x:v>
      </x:c>
      <x:c r="D317" s="14" t="n">
        <x:v>1</x:v>
      </x:c>
      <x:c r="E317" s="14" t="str">
        <x:v>Withdraw affected legal coverage/task approval and retain historical review; offer only the supportable lower scope.</x:v>
      </x:c>
    </x:row>
    <x:row r="318" ht="27" customHeight="1">
      <x:c r="A318" s="3" t="str">
        <x:v>P36</x:v>
      </x:c>
      <x:c r="B318" s="3" t="str">
        <x:v>Make every supported width navigable and accessible</x:v>
      </x:c>
      <x:c r="C318" s="3" t="str">
        <x:v>inputs</x:v>
      </x:c>
      <x:c r="D318" s="3" t="n">
        <x:v>1</x:v>
      </x:c>
      <x:c r="E318" s="3" t="str">
        <x:v>Supported widths, browser/OS/assistive-tech matrix and realistic long matter content</x:v>
      </x:c>
    </x:row>
    <x:row r="319" ht="27" customHeight="1">
      <x:c r="A319" s="14" t="str">
        <x:v>P36</x:v>
      </x:c>
      <x:c r="B319" s="14" t="str">
        <x:v>Make every supported width navigable and accessible</x:v>
      </x:c>
      <x:c r="C319" s="14" t="str">
        <x:v>inputs</x:v>
      </x:c>
      <x:c r="D319" s="14" t="n">
        <x:v>2</x:v>
      </x:c>
      <x:c r="E319" s="14" t="str">
        <x:v>Required viewport widths 390, 768 and 1280 pixels, plus zoom and assistive variants</x:v>
      </x:c>
    </x:row>
    <x:row r="320" ht="27" customHeight="1">
      <x:c r="A320" s="3" t="str">
        <x:v>P36</x:v>
      </x:c>
      <x:c r="B320" s="3" t="str">
        <x:v>Make every supported width navigable and accessible</x:v>
      </x:c>
      <x:c r="C320" s="3" t="str">
        <x:v>outputs</x:v>
      </x:c>
      <x:c r="D320" s="3" t="n">
        <x:v>1</x:v>
      </x:c>
      <x:c r="E320" s="3" t="str">
        <x:v>Accessible shared shell/source/history/control navigation with measured reorientation</x:v>
      </x:c>
    </x:row>
    <x:row r="321" ht="40" customHeight="1">
      <x:c r="A321" s="14" t="str">
        <x:v>P36</x:v>
      </x:c>
      <x:c r="B321" s="14" t="str">
        <x:v>Make every supported width navigable and accessible</x:v>
      </x:c>
      <x:c r="C321" s="14" t="str">
        <x:v>steps</x:v>
      </x:c>
      <x:c r="D321" s="14" t="n">
        <x:v>1</x:v>
      </x:c>
      <x:c r="E321" s="14" t="str">
        <x:v>Apply semantic forms, focus/keyboard flow, reflow and perceivable error/status states to shared components rather than per-screen patches.</x:v>
      </x:c>
    </x:row>
    <x:row r="322" ht="40" customHeight="1">
      <x:c r="A322" s="3" t="str">
        <x:v>P36</x:v>
      </x:c>
      <x:c r="B322" s="3" t="str">
        <x:v>Make every supported width navigable and accessible</x:v>
      </x:c>
      <x:c r="C322" s="3" t="str">
        <x:v>steps</x:v>
      </x:c>
      <x:c r="D322" s="3" t="n">
        <x:v>2</x:v>
      </x:c>
      <x:c r="E322" s="3" t="str">
        <x:v>At each target width open evidence, authority, history and material controls; verify no internal IDs or engineering terms substitute for user meaning.</x:v>
      </x:c>
    </x:row>
    <x:row r="323" ht="27" customHeight="1">
      <x:c r="A323" s="14" t="str">
        <x:v>P36</x:v>
      </x:c>
      <x:c r="B323" s="14" t="str">
        <x:v>Make every supported width navigable and accessible</x:v>
      </x:c>
      <x:c r="C323" s="14" t="str">
        <x:v>steps</x:v>
      </x:c>
      <x:c r="D323" s="14" t="n">
        <x:v>3</x:v>
      </x:c>
      <x:c r="E323" s="14" t="str">
        <x:v>Measure reorientation within one minute; include keyboard, screen reader, zoom, long names, mixed script and asynchronous failed loads.</x:v>
      </x:c>
    </x:row>
    <x:row r="324" ht="40" customHeight="1">
      <x:c r="A324" s="3" t="str">
        <x:v>P36</x:v>
      </x:c>
      <x:c r="B324" s="3" t="str">
        <x:v>Make every supported width navigable and accessible</x:v>
      </x:c>
      <x:c r="C324" s="3" t="str">
        <x:v>steps</x:v>
      </x:c>
      <x:c r="D324" s="3" t="n">
        <x:v>4</x:v>
      </x:c>
      <x:c r="E324" s="3" t="str">
        <x:v>At every declared width actually drive start/find/switch matter, research, History, identity and sign-out. Detect inaccessible clipped primary controls even if overflow is hidden; no desktop early return or static visibility-only pass.</x:v>
      </x:c>
    </x:row>
    <x:row r="325" ht="27" customHeight="1">
      <x:c r="A325" s="14" t="str">
        <x:v>P36</x:v>
      </x:c>
      <x:c r="B325" s="14" t="str">
        <x:v>Make every supported width navigable and accessible</x:v>
      </x:c>
      <x:c r="C325" s="14" t="str">
        <x:v>expected</x:v>
      </x:c>
      <x:c r="D325" s="14" t="n">
        <x:v>1</x:v>
      </x:c>
      <x:c r="E325" s="14" t="str">
        <x:v>An advocate can reach the basis/control behind material statements without guessing.</x:v>
      </x:c>
    </x:row>
    <x:row r="326" ht="27" customHeight="1">
      <x:c r="A326" s="3" t="str">
        <x:v>P36</x:v>
      </x:c>
      <x:c r="B326" s="3" t="str">
        <x:v>Make every supported width navigable and accessible</x:v>
      </x:c>
      <x:c r="C326" s="3" t="str">
        <x:v>expected</x:v>
      </x:c>
      <x:c r="D326" s="3" t="n">
        <x:v>2</x:v>
      </x:c>
      <x:c r="E326" s="3" t="str">
        <x:v>Screenshot/automated scan alone cannot establish screen-reader conformance.</x:v>
      </x:c>
    </x:row>
    <x:row r="327" ht="27" customHeight="1">
      <x:c r="A327" s="14" t="str">
        <x:v>P36</x:v>
      </x:c>
      <x:c r="B327" s="14" t="str">
        <x:v>Make every supported width navigable and accessible</x:v>
      </x:c>
      <x:c r="C327" s="14" t="str">
        <x:v>rollback</x:v>
      </x:c>
      <x:c r="D327" s="14" t="n">
        <x:v>1</x:v>
      </x:c>
      <x:c r="E327" s="14" t="str">
        <x:v>Restore the previous compatible shared layout and retain semantic/security fixes; disable inaccessible new controls pending correction.</x:v>
      </x:c>
    </x:row>
    <x:row r="328" ht="27" customHeight="1">
      <x:c r="A328" s="3" t="str">
        <x:v>P37</x:v>
      </x:c>
      <x:c r="B328" s="3" t="str">
        <x:v>Bound latency, cost and degraded-service behaviour</x:v>
      </x:c>
      <x:c r="C328" s="3" t="str">
        <x:v>inputs</x:v>
      </x:c>
      <x:c r="D328" s="3" t="n">
        <x:v>1</x:v>
      </x:c>
      <x:c r="E328" s="3" t="str">
        <x:v>Approved workload/budget/reference network and slow/throttled/provider-failure cases</x:v>
      </x:c>
    </x:row>
    <x:row r="329" ht="27" customHeight="1">
      <x:c r="A329" s="14" t="str">
        <x:v>P37</x:v>
      </x:c>
      <x:c r="B329" s="14" t="str">
        <x:v>Bound latency, cost and degraded-service behaviour</x:v>
      </x:c>
      <x:c r="C329" s="14" t="str">
        <x:v>outputs</x:v>
      </x:c>
      <x:c r="D329" s="14" t="n">
        <x:v>1</x:v>
      </x:c>
      <x:c r="E329" s="14" t="str">
        <x:v>Measured stage percentiles, bounded retries/cancellation and truthful progress</x:v>
      </x:c>
    </x:row>
    <x:row r="330" ht="40" customHeight="1">
      <x:c r="A330" s="3" t="str">
        <x:v>P37</x:v>
      </x:c>
      <x:c r="B330" s="3" t="str">
        <x:v>Bound latency, cost and degraded-service behaviour</x:v>
      </x:c>
      <x:c r="C330" s="3" t="str">
        <x:v>steps</x:v>
      </x:c>
      <x:c r="D330" s="3" t="n">
        <x:v>1</x:v>
      </x:c>
      <x:c r="E330" s="3" t="str">
        <x:v>Use deterministic and retrieval work first; route model effort by evaluated task need and cache only scoped version-compatible safe results.</x:v>
      </x:c>
    </x:row>
    <x:row r="331" ht="27" customHeight="1">
      <x:c r="A331" s="14" t="str">
        <x:v>P37</x:v>
      </x:c>
      <x:c r="B331" s="14" t="str">
        <x:v>Bound latency, cost and degraded-service behaviour</x:v>
      </x:c>
      <x:c r="C331" s="14" t="str">
        <x:v>steps</x:v>
      </x:c>
      <x:c r="D331" s="14" t="n">
        <x:v>2</x:v>
      </x:c>
      <x:c r="E331" s="14" t="str">
        <x:v>Apply per-operation time/token/cost/retry budgets and progress from actual saved/job state, not invented percentages.</x:v>
      </x:c>
    </x:row>
    <x:row r="332" ht="40" customHeight="1">
      <x:c r="A332" s="3" t="str">
        <x:v>P37</x:v>
      </x:c>
      <x:c r="B332" s="3" t="str">
        <x:v>Bound latency, cost and degraded-service behaviour</x:v>
      </x:c>
      <x:c r="C332" s="3" t="str">
        <x:v>steps</x:v>
      </x:c>
      <x:c r="D332" s="3" t="n">
        <x:v>3</x:v>
      </x:c>
      <x:c r="E332" s="3" t="str">
        <x:v>Measure cold/warm, concurrent and long-input cases; cancel after acceptance, exhaust budgets and return only safe complete results or explicit recoverable limits.</x:v>
      </x:c>
    </x:row>
    <x:row r="333" ht="40" customHeight="1">
      <x:c r="A333" s="14" t="str">
        <x:v>P37</x:v>
      </x:c>
      <x:c r="B333" s="14" t="str">
        <x:v>Bound latency, cost and degraded-service behaviour</x:v>
      </x:c>
      <x:c r="C333" s="14" t="str">
        <x:v>steps</x:v>
      </x:c>
      <x:c r="D333" s="14" t="n">
        <x:v>4</x:v>
      </x:c>
      <x:c r="E333" s="14" t="str">
        <x:v>Enumerate all model reads and completion modes, including structured output and quotation-heavy reads; one schema-aware budget mechanism normalises length stops to typed incomplete results before downstream acceptance.</x:v>
      </x:c>
    </x:row>
    <x:row r="334" ht="55" customHeight="1">
      <x:c r="A334" s="3" t="str">
        <x:v>P37</x:v>
      </x:c>
      <x:c r="B334" s="3" t="str">
        <x:v>Bound latency, cost and degraded-service behaviour</x:v>
      </x:c>
      <x:c r="C334" s="3" t="str">
        <x:v>steps</x:v>
      </x:c>
      <x:c r="D334" s="3" t="n">
        <x:v>5</x:v>
      </x:c>
      <x:c r="E334" s="3"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35" ht="27" customHeight="1">
      <x:c r="A335" s="14" t="str">
        <x:v>P37</x:v>
      </x:c>
      <x:c r="B335" s="14" t="str">
        <x:v>Bound latency, cost and degraded-service behaviour</x:v>
      </x:c>
      <x:c r="C335" s="14" t="str">
        <x:v>expected</x:v>
      </x:c>
      <x:c r="D335" s="14" t="n">
        <x:v>1</x:v>
      </x:c>
      <x:c r="E335" s="14" t="str">
        <x:v>User sees what is saved, what remains reliable and the next safe action.</x:v>
      </x:c>
    </x:row>
    <x:row r="336" ht="27" customHeight="1">
      <x:c r="A336" s="3" t="str">
        <x:v>P37</x:v>
      </x:c>
      <x:c r="B336" s="3" t="str">
        <x:v>Bound latency, cost and degraded-service behaviour</x:v>
      </x:c>
      <x:c r="C336" s="3" t="str">
        <x:v>expected</x:v>
      </x:c>
      <x:c r="D336" s="3" t="n">
        <x:v>2</x:v>
      </x:c>
      <x:c r="E336" s="3" t="str">
        <x:v>Performance cannot be improved by releasing unchecked advice or unbounded duplicate model work.</x:v>
      </x:c>
    </x:row>
    <x:row r="337" ht="40" customHeight="1">
      <x:c r="A337" s="14" t="str">
        <x:v>P37</x:v>
      </x:c>
      <x:c r="B337" s="14" t="str">
        <x:v>Bound latency, cost and degraded-service behaviour</x:v>
      </x:c>
      <x:c r="C337" s="14" t="str">
        <x:v>rollback</x:v>
      </x:c>
      <x:c r="D337" s="14" t="n">
        <x:v>1</x:v>
      </x:c>
      <x:c r="E337" s="14" t="str">
        <x:v>Reduce concurrency or disable expensive routes while preserving accepted jobs; state degraded limits rather than changing truthfulness thresholds.</x:v>
      </x:c>
    </x:row>
    <x:row r="338" ht="27" customHeight="1">
      <x:c r="A338" s="3" t="str">
        <x:v>P38</x:v>
      </x:c>
      <x:c r="B338" s="3" t="str">
        <x:v>Prove restore, isolation and rollback on deployment</x:v>
      </x:c>
      <x:c r="C338" s="3" t="str">
        <x:v>inputs</x:v>
      </x:c>
      <x:c r="D338" s="3" t="n">
        <x:v>1</x:v>
      </x:c>
      <x:c r="E338" s="3" t="str">
        <x:v>Versioned release candidate, target credentials and encrypted backup/object/key manifests</x:v>
      </x:c>
    </x:row>
    <x:row r="339" ht="27" customHeight="1">
      <x:c r="A339" s="14" t="str">
        <x:v>P38</x:v>
      </x:c>
      <x:c r="B339" s="14" t="str">
        <x:v>Prove restore, isolation and rollback on deployment</x:v>
      </x:c>
      <x:c r="C339" s="14" t="str">
        <x:v>outputs</x:v>
      </x:c>
      <x:c r="D339" s="14" t="n">
        <x:v>1</x:v>
      </x:c>
      <x:c r="E339" s="14" t="str">
        <x:v>Measured isolated restore and reversible release rehearsal</x:v>
      </x:c>
    </x:row>
    <x:row r="340" ht="27" customHeight="1">
      <x:c r="A340" s="3" t="str">
        <x:v>P38</x:v>
      </x:c>
      <x:c r="B340" s="3" t="str">
        <x:v>Prove restore, isolation and rollback on deployment</x:v>
      </x:c>
      <x:c r="C340" s="3" t="str">
        <x:v>steps</x:v>
      </x:c>
      <x:c r="D340" s="3" t="n">
        <x:v>1</x:v>
      </x:c>
      <x:c r="E340" s="3" t="str">
        <x:v>Restore with egress/dispatch disabled; reconcile records, hashes, object versions and key access using actual runtime roles.</x:v>
      </x:c>
    </x:row>
    <x:row r="341" ht="27" customHeight="1">
      <x:c r="A341" s="14" t="str">
        <x:v>P38</x:v>
      </x:c>
      <x:c r="B341" s="14" t="str">
        <x:v>Prove restore, isolation and rollback on deployment</x:v>
      </x:c>
      <x:c r="C341" s="14" t="str">
        <x:v>steps</x:v>
      </x:c>
      <x:c r="D341" s="14" t="n">
        <x:v>2</x:v>
      </x:c>
      <x:c r="E341" s="14" t="str">
        <x:v>Apply current revocation policy and erasure tombstones, invalidate restored sessions and reconcile jobs/receipts before reopening.</x:v>
      </x:c>
    </x:row>
    <x:row r="342" ht="27" customHeight="1">
      <x:c r="A342" s="3" t="str">
        <x:v>P38</x:v>
      </x:c>
      <x:c r="B342" s="3" t="str">
        <x:v>Prove restore, isolation and rollback on deployment</x:v>
      </x:c>
      <x:c r="C342" s="3" t="str">
        <x:v>steps</x:v>
      </x:c>
      <x:c r="D342" s="3" t="n">
        <x:v>3</x:v>
      </x:c>
      <x:c r="E342" s="3" t="str">
        <x:v>Measure actual RTO/RPO; inject missing key/object, stale schema and rollback after target-only writes, refusing unsafe recovery.</x:v>
      </x:c>
    </x:row>
    <x:row r="343" ht="27" customHeight="1">
      <x:c r="A343" s="14" t="str">
        <x:v>P38</x:v>
      </x:c>
      <x:c r="B343" s="14" t="str">
        <x:v>Prove restore, isolation and rollback on deployment</x:v>
      </x:c>
      <x:c r="C343" s="14" t="str">
        <x:v>expected</x:v>
      </x:c>
      <x:c r="D343" s="14" t="n">
        <x:v>1</x:v>
      </x:c>
      <x:c r="E343" s="14" t="str">
        <x:v>A successful backup command is not restore proof.</x:v>
      </x:c>
    </x:row>
    <x:row r="344" ht="27" customHeight="1">
      <x:c r="A344" s="3" t="str">
        <x:v>P38</x:v>
      </x:c>
      <x:c r="B344" s="3" t="str">
        <x:v>Prove restore, isolation and rollback on deployment</x:v>
      </x:c>
      <x:c r="C344" s="3" t="str">
        <x:v>expected</x:v>
      </x:c>
      <x:c r="D344" s="3" t="n">
        <x:v>2</x:v>
      </x:c>
      <x:c r="E344" s="3" t="str">
        <x:v>No revoked account or erased object regains availability; accepted writes survive the rehearsed rollback.</x:v>
      </x:c>
    </x:row>
    <x:row r="345" ht="27" customHeight="1">
      <x:c r="A345" s="14" t="str">
        <x:v>P38</x:v>
      </x:c>
      <x:c r="B345" s="14" t="str">
        <x:v>Prove restore, isolation and rollback on deployment</x:v>
      </x:c>
      <x:c r="C345" s="14" t="str">
        <x:v>rollback</x:v>
      </x:c>
      <x:c r="D345" s="14" t="n">
        <x:v>1</x:v>
      </x:c>
      <x:c r="E345" s="14" t="str">
        <x:v>Keep the candidate isolated and serving closed; resume only from a reconciled compatible checkpoint with approved key recovery.</x:v>
      </x:c>
    </x:row>
    <x:row r="346" ht="40" customHeight="1">
      <x:c r="A346" s="3" t="str">
        <x:v>P39</x:v>
      </x:c>
      <x:c r="B346" s="3" t="str">
        <x:v>Verify deployed privacy, support and supply-chain boundaries</x:v>
      </x:c>
      <x:c r="C346" s="3" t="str">
        <x:v>inputs</x:v>
      </x:c>
      <x:c r="D346" s="3" t="n">
        <x:v>1</x:v>
      </x:c>
      <x:c r="E346" s="3" t="str">
        <x:v>Target pipeline/service identities, dependency artifacts, support roles and processor map</x:v>
      </x:c>
    </x:row>
    <x:row r="347" ht="40" customHeight="1">
      <x:c r="A347" s="14" t="str">
        <x:v>P39</x:v>
      </x:c>
      <x:c r="B347" s="14" t="str">
        <x:v>Verify deployed privacy, support and supply-chain boundaries</x:v>
      </x:c>
      <x:c r="C347" s="14" t="str">
        <x:v>inputs</x:v>
      </x:c>
      <x:c r="D347" s="14" t="n">
        <x:v>2</x:v>
      </x:c>
      <x:c r="E347" s="14" t="str">
        <x:v>CHOICE-05 operation-specific approval and BK-69-AC3/BK-79-AC3 media policy/integration evidence</x:v>
      </x:c>
    </x:row>
    <x:row r="348" ht="40" customHeight="1">
      <x:c r="A348" s="3" t="str">
        <x:v>P39</x:v>
      </x:c>
      <x:c r="B348" s="3" t="str">
        <x:v>Verify deployed privacy, support and supply-chain boundaries</x:v>
      </x:c>
      <x:c r="C348" s="3" t="str">
        <x:v>outputs</x:v>
      </x:c>
      <x:c r="D348" s="3" t="n">
        <x:v>1</x:v>
      </x:c>
      <x:c r="E348" s="3" t="str">
        <x:v>Independent security evidence for deployed data paths and build provenance</x:v>
      </x:c>
    </x:row>
    <x:row r="349" ht="40" customHeight="1">
      <x:c r="A349" s="14" t="str">
        <x:v>P39</x:v>
      </x:c>
      <x:c r="B349" s="14" t="str">
        <x:v>Verify deployed privacy, support and supply-chain boundaries</x:v>
      </x:c>
      <x:c r="C349" s="14" t="str">
        <x:v>steps</x:v>
      </x:c>
      <x:c r="D349" s="14" t="n">
        <x:v>1</x:v>
      </x:c>
      <x:c r="E349" s="14" t="str">
        <x:v>Inventory every deploy artifact/dependency/secret source and privileged support path; bind scans/signatures/policies to the candidate.</x:v>
      </x:c>
    </x:row>
    <x:row r="350" ht="40" customHeight="1">
      <x:c r="A350" s="3" t="str">
        <x:v>P39</x:v>
      </x:c>
      <x:c r="B350" s="3" t="str">
        <x:v>Verify deployed privacy, support and supply-chain boundaries</x:v>
      </x:c>
      <x:c r="C350" s="3" t="str">
        <x:v>steps</x:v>
      </x:c>
      <x:c r="D350" s="3" t="n">
        <x:v>2</x:v>
      </x:c>
      <x:c r="E350" s="3" t="str">
        <x:v>Exercise wrong-tenant worker/search/export, unapproved egress, diagnostic sentinel, secret-bearing artifact and unrelated-matter support access.</x:v>
      </x:c>
    </x:row>
    <x:row r="351" ht="40" customHeight="1">
      <x:c r="A351" s="14" t="str">
        <x:v>P39</x:v>
      </x:c>
      <x:c r="B351" s="14" t="str">
        <x:v>Verify deployed privacy, support and supply-chain boundaries</x:v>
      </x:c>
      <x:c r="C351" s="14" t="str">
        <x:v>steps</x:v>
      </x:c>
      <x:c r="D351" s="14" t="n">
        <x:v>3</x:v>
      </x:c>
      <x:c r="E351" s="14" t="str">
        <x:v>Run qualified adversarial review on the enabled configuration; include logged emergency access expiry and processor deletion/retention evidence.</x:v>
      </x:c>
    </x:row>
    <x:row r="352" ht="55" customHeight="1">
      <x:c r="A352" s="3" t="str">
        <x:v>P39</x:v>
      </x:c>
      <x:c r="B352" s="3" t="str">
        <x:v>Verify deployed privacy, support and supply-chain boundaries</x:v>
      </x:c>
      <x:c r="C352" s="3" t="str">
        <x:v>steps</x:v>
      </x:c>
      <x:c r="D352" s="3" t="n">
        <x:v>4</x:v>
      </x:c>
      <x:c r="E352" s="3"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53" ht="40" customHeight="1">
      <x:c r="A353" s="14" t="str">
        <x:v>P39</x:v>
      </x:c>
      <x:c r="B353" s="14" t="str">
        <x:v>Verify deployed privacy, support and supply-chain boundaries</x:v>
      </x:c>
      <x:c r="C353" s="14" t="str">
        <x:v>steps</x:v>
      </x:c>
      <x:c r="D353" s="14" t="n">
        <x:v>5</x:v>
      </x:c>
      <x:c r="E353" s="14"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54" ht="40" customHeight="1">
      <x:c r="A354" s="3" t="str">
        <x:v>P39</x:v>
      </x:c>
      <x:c r="B354" s="3" t="str">
        <x:v>Verify deployed privacy, support and supply-chain boundaries</x:v>
      </x:c>
      <x:c r="C354" s="3" t="str">
        <x:v>expected</x:v>
      </x:c>
      <x:c r="D354" s="3" t="n">
        <x:v>1</x:v>
      </x:c>
      <x:c r="E354" s="3" t="str">
        <x:v>A scanner result is not a penetration-test or compliance certificate.</x:v>
      </x:c>
    </x:row>
    <x:row r="355" ht="40" customHeight="1">
      <x:c r="A355" s="14" t="str">
        <x:v>P39</x:v>
      </x:c>
      <x:c r="B355" s="14" t="str">
        <x:v>Verify deployed privacy, support and supply-chain boundaries</x:v>
      </x:c>
      <x:c r="C355" s="14" t="str">
        <x:v>expected</x:v>
      </x:c>
      <x:c r="D355" s="14" t="n">
        <x:v>2</x:v>
      </x:c>
      <x:c r="E355" s="14" t="str">
        <x:v>Synthetic local permissions do not prove target IAM/KMS/network isolation.</x:v>
      </x:c>
    </x:row>
    <x:row r="356" ht="40" customHeight="1">
      <x:c r="A356" s="3" t="str">
        <x:v>P39</x:v>
      </x:c>
      <x:c r="B356" s="3" t="str">
        <x:v>Verify deployed privacy, support and supply-chain boundaries</x:v>
      </x:c>
      <x:c r="C356" s="3" t="str">
        <x:v>rollback</x:v>
      </x:c>
      <x:c r="D356" s="3" t="n">
        <x:v>1</x:v>
      </x:c>
      <x:c r="E356" s="3" t="str">
        <x:v>Quarantine the candidate or affected processor; revoke access, rotate exposed credentials and preserve incident evidence under the reviewed process.</x:v>
      </x:c>
    </x:row>
    <x:row r="357" ht="27" customHeight="1">
      <x:c r="A357" s="14" t="str">
        <x:v>P40</x:v>
      </x:c>
      <x:c r="B357" s="14" t="str">
        <x:v>Rehearse incident response with actual accountable people</x:v>
      </x:c>
      <x:c r="C357" s="14" t="str">
        <x:v>inputs</x:v>
      </x:c>
      <x:c r="D357" s="14" t="n">
        <x:v>1</x:v>
      </x:c>
      <x:c r="E357" s="14" t="str">
        <x:v>Dated incident duties, contacts, escalation rota and simulated incomplete-information event</x:v>
      </x:c>
    </x:row>
    <x:row r="358" ht="27" customHeight="1">
      <x:c r="A358" s="3" t="str">
        <x:v>P40</x:v>
      </x:c>
      <x:c r="B358" s="3" t="str">
        <x:v>Rehearse incident response with actual accountable people</x:v>
      </x:c>
      <x:c r="C358" s="3" t="str">
        <x:v>outputs</x:v>
      </x:c>
      <x:c r="D358" s="3" t="n">
        <x:v>1</x:v>
      </x:c>
      <x:c r="E358" s="3" t="str">
        <x:v>Timestamped tabletop record, notification decisions and recovery responsibilities</x:v>
      </x:c>
    </x:row>
    <x:row r="359" ht="27" customHeight="1">
      <x:c r="A359" s="14" t="str">
        <x:v>P40</x:v>
      </x:c>
      <x:c r="B359" s="14" t="str">
        <x:v>Rehearse incident response with actual accountable people</x:v>
      </x:c>
      <x:c r="C359" s="14" t="str">
        <x:v>steps</x:v>
      </x:c>
      <x:c r="D359" s="14" t="n">
        <x:v>1</x:v>
      </x:c>
      <x:c r="E359" s="14" t="str">
        <x:v>Trigger detection and primary-contact failure; record time without logging client content.</x:v>
      </x:c>
    </x:row>
    <x:row r="360" ht="27" customHeight="1">
      <x:c r="A360" s="3" t="str">
        <x:v>P40</x:v>
      </x:c>
      <x:c r="B360" s="3" t="str">
        <x:v>Rehearse incident response with actual accountable people</x:v>
      </x:c>
      <x:c r="C360" s="3" t="str">
        <x:v>steps</x:v>
      </x:c>
      <x:c r="D360" s="3" t="n">
        <x:v>2</x:v>
      </x:c>
      <x:c r="E360" s="3" t="str">
        <x:v>Use reviewed applicable clocks and available-information reporting; test secondary escalation, containment and evidence custody.</x:v>
      </x:c>
    </x:row>
    <x:row r="361" ht="27" customHeight="1">
      <x:c r="A361" s="14" t="str">
        <x:v>P40</x:v>
      </x:c>
      <x:c r="B361" s="14" t="str">
        <x:v>Rehearse incident response with actual accountable people</x:v>
      </x:c>
      <x:c r="C361" s="14" t="str">
        <x:v>steps</x:v>
      </x:c>
      <x:c r="D361" s="14" t="n">
        <x:v>3</x:v>
      </x:c>
      <x:c r="E361" s="14" t="str">
        <x:v>Reconcile containment/recovery with client privilege, continuing duties and support authority; register every missed step with owner.</x:v>
      </x:c>
    </x:row>
    <x:row r="362" ht="27" customHeight="1">
      <x:c r="A362" s="3" t="str">
        <x:v>P40</x:v>
      </x:c>
      <x:c r="B362" s="3" t="str">
        <x:v>Rehearse incident response with actual accountable people</x:v>
      </x:c>
      <x:c r="C362" s="3" t="str">
        <x:v>expected</x:v>
      </x:c>
      <x:c r="D362" s="3" t="n">
        <x:v>1</x:v>
      </x:c>
      <x:c r="E362" s="3" t="str">
        <x:v>Missing information or absent primary contact does not silently stop the required response.</x:v>
      </x:c>
    </x:row>
    <x:row r="363" ht="27" customHeight="1">
      <x:c r="A363" s="14" t="str">
        <x:v>P40</x:v>
      </x:c>
      <x:c r="B363" s="14" t="str">
        <x:v>Rehearse incident response with actual accountable people</x:v>
      </x:c>
      <x:c r="C363" s="14" t="str">
        <x:v>expected</x:v>
      </x:c>
      <x:c r="D363" s="14" t="n">
        <x:v>2</x:v>
      </x:c>
      <x:c r="E363" s="14" t="str">
        <x:v>Evidence includes people/contact results, not just an incident-policy document.</x:v>
      </x:c>
    </x:row>
    <x:row r="364" ht="27" customHeight="1">
      <x:c r="A364" s="3" t="str">
        <x:v>P40</x:v>
      </x:c>
      <x:c r="B364" s="3" t="str">
        <x:v>Rehearse incident response with actual accountable people</x:v>
      </x:c>
      <x:c r="C364" s="3" t="str">
        <x:v>rollback</x:v>
      </x:c>
      <x:c r="D364" s="3" t="n">
        <x:v>1</x:v>
      </x:c>
      <x:c r="E364" s="3" t="str">
        <x:v>Keep release closed where accountable response failed; correct contact/authority gaps and repeat the bounded tabletop.</x:v>
      </x:c>
    </x:row>
    <x:row r="365" ht="27" customHeight="1">
      <x:c r="A365" s="14" t="str">
        <x:v>P41</x:v>
      </x:c>
      <x:c r="B365" s="14" t="str">
        <x:v>Sign off a scoped operated release</x:v>
      </x:c>
      <x:c r="C365" s="14" t="str">
        <x:v>inputs</x:v>
      </x:c>
      <x:c r="D365" s="14" t="n">
        <x:v>1</x:v>
      </x:c>
      <x:c r="E365" s="14" t="str">
        <x:v>Enabled-scope manifest, cumulative current evidence and accountable release reviewer</x:v>
      </x:c>
    </x:row>
    <x:row r="366" ht="27" customHeight="1">
      <x:c r="A366" s="3" t="str">
        <x:v>P41</x:v>
      </x:c>
      <x:c r="B366" s="3" t="str">
        <x:v>Sign off a scoped operated release</x:v>
      </x:c>
      <x:c r="C366" s="3" t="str">
        <x:v>outputs</x:v>
      </x:c>
      <x:c r="D366" s="3" t="n">
        <x:v>1</x:v>
      </x:c>
      <x:c r="E366" s="3" t="str">
        <x:v>Explicit release decision with exclusions, reservations, rollback triggers and review cadence</x:v>
      </x:c>
    </x:row>
    <x:row r="367" ht="27" customHeight="1">
      <x:c r="A367" s="14" t="str">
        <x:v>P41</x:v>
      </x:c>
      <x:c r="B367" s="14" t="str">
        <x:v>Sign off a scoped operated release</x:v>
      </x:c>
      <x:c r="C367" s="14" t="str">
        <x:v>steps</x:v>
      </x:c>
      <x:c r="D367" s="14" t="n">
        <x:v>1</x:v>
      </x:c>
      <x:c r="E367" s="14" t="str">
        <x:v>Freeze exact build/schema/policy/corpus/model/prompt/provider/scope identities and expected end-to-end population.</x:v>
      </x:c>
    </x:row>
    <x:row r="368" ht="27" customHeight="1">
      <x:c r="A368" s="3" t="str">
        <x:v>P41</x:v>
      </x:c>
      <x:c r="B368" s="3" t="str">
        <x:v>Sign off a scoped operated release</x:v>
      </x:c>
      <x:c r="C368" s="3" t="str">
        <x:v>steps</x:v>
      </x:c>
      <x:c r="D368" s="3" t="n">
        <x:v>2</x:v>
      </x:c>
      <x:c r="E368" s="3" t="str">
        <x:v>Run the approved supported journey, accessibility, load/degradation and legal-quality portfolio without hand-authored inter-stage state.</x:v>
      </x:c>
    </x:row>
    <x:row r="369" ht="40" customHeight="1">
      <x:c r="A369" s="14" t="str">
        <x:v>P41</x:v>
      </x:c>
      <x:c r="B369" s="14" t="str">
        <x:v>Sign off a scoped operated release</x:v>
      </x:c>
      <x:c r="C369" s="14" t="str">
        <x:v>steps</x:v>
      </x:c>
      <x:c r="D369" s="14" t="n">
        <x:v>3</x:v>
      </x:c>
      <x:c r="E369" s="14" t="str">
        <x:v>Refuse critical failures, incomplete runs or unapproved enabled scope; roll out to the named population only, monitor triggers and retain prior evidence.</x:v>
      </x:c>
    </x:row>
    <x:row r="370" ht="40" customHeight="1">
      <x:c r="A370" s="3" t="str">
        <x:v>P41</x:v>
      </x:c>
      <x:c r="B370" s="3" t="str">
        <x:v>Sign off a scoped operated release</x:v>
      </x:c>
      <x:c r="C370" s="3" t="str">
        <x:v>steps</x:v>
      </x:c>
      <x:c r="D370" s="3" t="n">
        <x:v>4</x:v>
      </x:c>
      <x:c r="E370" s="3" t="str">
        <x:v>Preserve the frozen known-good portfolio for exact retrieval, visible refusals, served History and the selected authentication profile while extending the journey.</x:v>
      </x:c>
    </x:row>
    <x:row r="371" ht="27" customHeight="1">
      <x:c r="A371" s="14" t="str">
        <x:v>P41</x:v>
      </x:c>
      <x:c r="B371" s="14" t="str">
        <x:v>Sign off a scoped operated release</x:v>
      </x:c>
      <x:c r="C371" s="14" t="str">
        <x:v>expected</x:v>
      </x:c>
      <x:c r="D371" s="14" t="n">
        <x:v>1</x:v>
      </x:c>
      <x:c r="E371" s="14" t="str">
        <x:v>No aggregate green score overrides a critical security or legal failure.</x:v>
      </x:c>
    </x:row>
    <x:row r="372" ht="40" customHeight="1">
      <x:c r="A372" s="3" t="str">
        <x:v>P41</x:v>
      </x:c>
      <x:c r="B372" s="3" t="str">
        <x:v>Sign off a scoped operated release</x:v>
      </x:c>
      <x:c r="C372" s="3" t="str">
        <x:v>expected</x:v>
      </x:c>
      <x:c r="D372" s="3" t="n">
        <x:v>2</x:v>
      </x:c>
      <x:c r="E372" s="3" t="str">
        <x:v>Optional external actions remain disabled if CHOICE-09 does not approve them; their excluded connector does not block the approved draft/manual-receipt scope.</x:v>
      </x:c>
    </x:row>
    <x:row r="373" ht="27" customHeight="1">
      <x:c r="A373" s="14" t="str">
        <x:v>P41</x:v>
      </x:c>
      <x:c r="B373" s="14" t="str">
        <x:v>Sign off a scoped operated release</x:v>
      </x:c>
      <x:c r="C373" s="14" t="str">
        <x:v>rollback</x:v>
      </x:c>
      <x:c r="D373" s="14" t="n">
        <x:v>1</x:v>
      </x:c>
      <x:c r="E373" s="14" t="str">
        <x:v>Pause unsafe enabled paths and execute the rehearsed compatible rollback while preserving accepted state and informing affected users.</x:v>
      </x:c>
    </x:row>
    <x:row r="374" ht="40" customHeight="1">
      <x:c r="A374" s="3" t="str">
        <x:v>P42</x:v>
      </x:c>
      <x:c r="B374" s="3" t="str">
        <x:v>Keep the existing control plane and byte restoration intact</x:v>
      </x:c>
      <x:c r="C374" s="3" t="str">
        <x:v>inputs</x:v>
      </x:c>
      <x:c r="D374" s="3" t="n">
        <x:v>1</x:v>
      </x:c>
      <x:c r="E374" s="3" t="str">
        <x:v>Current registry, generated board and isolated temporary specification bytes</x:v>
      </x:c>
    </x:row>
    <x:row r="375" ht="40" customHeight="1">
      <x:c r="A375" s="14" t="str">
        <x:v>P42</x:v>
      </x:c>
      <x:c r="B375" s="14" t="str">
        <x:v>Keep the existing control plane and byte restoration intact</x:v>
      </x:c>
      <x:c r="C375" s="14" t="str">
        <x:v>outputs</x:v>
      </x:c>
      <x:c r="D375" s="14" t="n">
        <x:v>1</x:v>
      </x:c>
      <x:c r="E375" s="14" t="str">
        <x:v>Cumulative existing-control regression evidence with explicit baseline failures</x:v>
      </x:c>
    </x:row>
    <x:row r="376" ht="40" customHeight="1">
      <x:c r="A376" s="3" t="str">
        <x:v>P42</x:v>
      </x:c>
      <x:c r="B376" s="3" t="str">
        <x:v>Keep the existing control plane and byte restoration intact</x:v>
      </x:c>
      <x:c r="C376" s="3" t="str">
        <x:v>steps</x:v>
      </x:c>
      <x:c r="D376" s="3" t="n">
        <x:v>1</x:v>
      </x:c>
      <x:c r="E376" s="3" t="str">
        <x:v>Re-use existing population/derived-state/lifecycle controls; do not create alternate packet completion state.</x:v>
      </x:c>
    </x:row>
    <x:row r="377" ht="40" customHeight="1">
      <x:c r="A377" s="14" t="str">
        <x:v>P42</x:v>
      </x:c>
      <x:c r="B377" s="14" t="str">
        <x:v>Keep the existing control plane and byte restoration intact</x:v>
      </x:c>
      <x:c r="C377" s="14" t="str">
        <x:v>steps</x:v>
      </x:c>
      <x:c r="D377" s="14" t="n">
        <x:v>2</x:v>
      </x:c>
      <x:c r="E377" s="14" t="str">
        <x:v>Test all-item/feature/step reconciliation, missing evidence, authored done and generated drift using isolated copies.</x:v>
      </x:c>
    </x:row>
    <x:row r="378" ht="40" customHeight="1">
      <x:c r="A378" s="3" t="str">
        <x:v>P42</x:v>
      </x:c>
      <x:c r="B378" s="3" t="str">
        <x:v>Keep the existing control plane and byte restoration intact</x:v>
      </x:c>
      <x:c r="C378" s="3" t="str">
        <x:v>steps</x:v>
      </x:c>
      <x:c r="D378" s="3" t="n">
        <x:v>3</x:v>
      </x:c>
      <x:c r="E378" s="3" t="str">
        <x:v>Exercise mutation cleanup after planted failure and assert exact original bytes are restored; distinguish source-preservation failures from unrelated trace baseline.</x:v>
      </x:c>
    </x:row>
    <x:row r="379" ht="40" customHeight="1">
      <x:c r="A379" s="14" t="str">
        <x:v>P42</x:v>
      </x:c>
      <x:c r="B379" s="14" t="str">
        <x:v>Keep the existing control plane and byte restoration intact</x:v>
      </x:c>
      <x:c r="C379" s="14" t="str">
        <x:v>steps</x:v>
      </x:c>
      <x:c r="D379" s="14" t="n">
        <x:v>4</x:v>
      </x:c>
      <x:c r="E379" s="14" t="str">
        <x:v>Retain existing professional/wave mutation probes, Start/Build/Test/Sign-off enforcement, evidence bootstrap-cycle refusal and executable graph-hook checks; a known-good journey regression must fail, not be reclassified as an expected defect.</x:v>
      </x:c>
    </x:row>
    <x:row r="380" ht="40" customHeight="1">
      <x:c r="A380" s="3" t="str">
        <x:v>P42</x:v>
      </x:c>
      <x:c r="B380" s="3" t="str">
        <x:v>Keep the existing control plane and byte restoration intact</x:v>
      </x:c>
      <x:c r="C380" s="3" t="str">
        <x:v>expected</x:v>
      </x:c>
      <x:c r="D380" s="3" t="n">
        <x:v>1</x:v>
      </x:c>
      <x:c r="E380" s="3" t="str">
        <x:v>This is maintenance of existing work, not a claim it must be rebuilt.</x:v>
      </x:c>
    </x:row>
    <x:row r="381" ht="40" customHeight="1">
      <x:c r="A381" s="14" t="str">
        <x:v>P42</x:v>
      </x:c>
      <x:c r="B381" s="14" t="str">
        <x:v>Keep the existing control plane and byte restoration intact</x:v>
      </x:c>
      <x:c r="C381" s="14" t="str">
        <x:v>expected</x:v>
      </x:c>
      <x:c r="D381" s="14" t="n">
        <x:v>2</x:v>
      </x:c>
      <x:c r="E381" s="14" t="str">
        <x:v>Current evidence freshness and any existing failures remain visible.</x:v>
      </x:c>
    </x:row>
    <x:row r="382" ht="40" customHeight="1">
      <x:c r="A382" s="3" t="str">
        <x:v>P42</x:v>
      </x:c>
      <x:c r="B382" s="3" t="str">
        <x:v>Keep the existing control plane and byte restoration intact</x:v>
      </x:c>
      <x:c r="C382" s="3" t="str">
        <x:v>rollback</x:v>
      </x:c>
      <x:c r="D382" s="3" t="n">
        <x:v>1</x:v>
      </x:c>
      <x:c r="E382" s="3" t="str">
        <x:v>Restore only the task's isolated mutation fixtures; preserve user edits and the registered failed evidence.</x:v>
      </x:c>
    </x:row>
    <x:row r="383" ht="27" customHeight="1">
      <x:c r="A383" s="14" t="str">
        <x:v>P43</x:v>
      </x:c>
      <x:c r="B383" s="14" t="str">
        <x:v>Adopt and maintain the execution-ready plan</x:v>
      </x:c>
      <x:c r="C383" s="14" t="str">
        <x:v>inputs</x:v>
      </x:c>
      <x:c r="D383" s="14" t="n">
        <x:v>1</x:v>
      </x:c>
      <x:c r="E383" s="14" t="str">
        <x:v>Current plan, all current criteria and decision/scenario/command catalogs</x:v>
      </x:c>
    </x:row>
    <x:row r="384" ht="27" customHeight="1">
      <x:c r="A384" s="3" t="str">
        <x:v>P43</x:v>
      </x:c>
      <x:c r="B384" s="3" t="str">
        <x:v>Adopt and maintain the execution-ready plan</x:v>
      </x:c>
      <x:c r="C384" s="3" t="str">
        <x:v>outputs</x:v>
      </x:c>
      <x:c r="D384" s="3" t="n">
        <x:v>1</x:v>
      </x:c>
      <x:c r="E384" s="3" t="str">
        <x:v>Reconciled module/packet/criterion navigation with explicit unapproved release choices</x:v>
      </x:c>
    </x:row>
    <x:row r="385" ht="40" customHeight="1">
      <x:c r="A385" s="14" t="str">
        <x:v>P43</x:v>
      </x:c>
      <x:c r="B385" s="14" t="str">
        <x:v>Adopt and maintain the execution-ready plan</x:v>
      </x:c>
      <x:c r="C385" s="14" t="str">
        <x:v>steps</x:v>
      </x:c>
      <x:c r="D385" s="14" t="n">
        <x:v>1</x:v>
      </x:c>
      <x:c r="E385" s="14" t="str">
        <x:v>Check exact populations, packet DAG, criterion/command/scenario/decision references and module cross-links; preserve registry waves and historical prose.</x:v>
      </x:c>
    </x:row>
    <x:row r="386" ht="27" customHeight="1">
      <x:c r="A386" s="3" t="str">
        <x:v>P43</x:v>
      </x:c>
      <x:c r="B386" s="3" t="str">
        <x:v>Adopt and maintain the execution-ready plan</x:v>
      </x:c>
      <x:c r="C386" s="3" t="str">
        <x:v>steps</x:v>
      </x:c>
      <x:c r="D386" s="3" t="n">
        <x:v>2</x:v>
      </x:c>
      <x:c r="E386" s="3" t="str">
        <x:v>Use qualified design review for substantive India legal/privacy/role boundaries; machine checks do not self-certify these.</x:v>
      </x:c>
    </x:row>
    <x:row r="387" ht="40" customHeight="1">
      <x:c r="A387" s="14" t="str">
        <x:v>P43</x:v>
      </x:c>
      <x:c r="B387" s="14" t="str">
        <x:v>Adopt and maintain the execution-ready plan</x:v>
      </x:c>
      <x:c r="C387" s="14" t="str">
        <x:v>steps</x:v>
      </x:c>
      <x:c r="D387" s="14" t="n">
        <x:v>3</x:v>
      </x:c>
      <x:c r="E387" s="14" t="str">
        <x:v>Refresh generated reader views from authoritative records; record what is ready to implement versus blocked by a named decision, never all-plan done from structural checks.</x:v>
      </x:c>
    </x:row>
    <x:row r="388" ht="27" customHeight="1">
      <x:c r="A388" s="3" t="str">
        <x:v>P43</x:v>
      </x:c>
      <x:c r="B388" s="3" t="str">
        <x:v>Adopt and maintain the execution-ready plan</x:v>
      </x:c>
      <x:c r="C388" s="3" t="str">
        <x:v>expected</x:v>
      </x:c>
      <x:c r="D388" s="3" t="n">
        <x:v>1</x:v>
      </x:c>
      <x:c r="E388" s="3" t="str">
        <x:v>All new execution obligations have a delivery criterion or explicit adoption owner.</x:v>
      </x:c>
    </x:row>
    <x:row r="389" ht="27" customHeight="1">
      <x:c r="A389" s="14" t="str">
        <x:v>P43</x:v>
      </x:c>
      <x:c r="B389" s="14" t="str">
        <x:v>Adopt and maintain the execution-ready plan</x:v>
      </x:c>
      <x:c r="C389" s="14" t="str">
        <x:v>expected</x:v>
      </x:c>
      <x:c r="D389" s="14" t="n">
        <x:v>2</x:v>
      </x:c>
      <x:c r="E389" s="14" t="str">
        <x:v>Packet labels have no independent delivery status and unresolved approvals block only their dependent paths.</x:v>
      </x:c>
    </x:row>
    <x:row r="390" ht="40" customHeight="1">
      <x:c r="A390" s="3" t="str">
        <x:v>P43</x:v>
      </x:c>
      <x:c r="B390" s="3" t="str">
        <x:v>Adopt and maintain the execution-ready plan</x:v>
      </x:c>
      <x:c r="C390" s="3" t="str">
        <x:v>rollback</x:v>
      </x:c>
      <x:c r="D390" s="3" t="n">
        <x:v>1</x:v>
      </x:c>
      <x:c r="E390" s="3" t="str">
        <x:v>Withdraw the affected plan revision, preserve historical evidence and reopen the registered design criterion; do not erase the review finding.</x:v>
      </x:c>
    </x:row>
    <x:row r="391" ht="27" customHeight="1">
      <x:c r="A391" s="14" t="str">
        <x:v>P44</x:v>
      </x:c>
      <x:c r="B391" s="14" t="str">
        <x:v>Acquire recent eligible law without citation-count bias</x:v>
      </x:c>
      <x:c r="C391" s="14" t="str">
        <x:v>inputs</x:v>
      </x:c>
      <x:c r="D391" s="14" t="n">
        <x:v>1</x:v>
      </x:c>
      <x:c r="E391" s="14" t="str">
        <x:v>Approved source/right and bounded acquisition population including a recent low-citation eligible decision</x:v>
      </x:c>
    </x:row>
    <x:row r="392" ht="27" customHeight="1">
      <x:c r="A392" s="3" t="str">
        <x:v>P44</x:v>
      </x:c>
      <x:c r="B392" s="3" t="str">
        <x:v>Acquire recent eligible law without citation-count bias</x:v>
      </x:c>
      <x:c r="C392" s="3" t="str">
        <x:v>outputs</x:v>
      </x:c>
      <x:c r="D392" s="3" t="n">
        <x:v>1</x:v>
      </x:c>
      <x:c r="E392" s="3" t="str">
        <x:v>Explainable versioned selection rule and acquisition manifest</x:v>
      </x:c>
    </x:row>
    <x:row r="393" ht="40" customHeight="1">
      <x:c r="A393" s="14" t="str">
        <x:v>P44</x:v>
      </x:c>
      <x:c r="B393" s="14" t="str">
        <x:v>Acquire recent eligible law without citation-count bias</x:v>
      </x:c>
      <x:c r="C393" s="14" t="str">
        <x:v>steps</x:v>
      </x:c>
      <x:c r="D393" s="14" t="n">
        <x:v>1</x:v>
      </x:c>
      <x:c r="E393" s="14" t="str">
        <x:v>Replace citation-count-only exclusion with reviewed recency/eligibility rules; preserve selection reasons and identifiers for accepted/rejected records.</x:v>
      </x:c>
    </x:row>
    <x:row r="394" ht="40" customHeight="1">
      <x:c r="A394" s="3" t="str">
        <x:v>P44</x:v>
      </x:c>
      <x:c r="B394" s="3" t="str">
        <x:v>Acquire recent eligible law without citation-count bias</x:v>
      </x:c>
      <x:c r="C394" s="3" t="str">
        <x:v>steps</x:v>
      </x:c>
      <x:c r="D394" s="3" t="n">
        <x:v>2</x:v>
      </x:c>
      <x:c r="E394" s="3" t="str">
        <x:v>Test a recent eligible uncited decision and an ineligible highly cited decision so popularity cannot establish legal relevance or currency.</x:v>
      </x:c>
    </x:row>
    <x:row r="395" ht="40" customHeight="1">
      <x:c r="A395" s="14" t="str">
        <x:v>P44</x:v>
      </x:c>
      <x:c r="B395" s="14" t="str">
        <x:v>Acquire recent eligible law without citation-count bias</x:v>
      </x:c>
      <x:c r="C395" s="14" t="str">
        <x:v>steps</x:v>
      </x:c>
      <x:c r="D395" s="14" t="n">
        <x:v>3</x:v>
      </x:c>
      <x:c r="E395" s="14" t="str">
        <x:v>Prepare the bounded acquisition command and receipt reconciliation; obtain specific approval before scraping/downloading, then submit candidates to P20 publication rather than altering the active shared store.</x:v>
      </x:c>
    </x:row>
    <x:row r="396" ht="27" customHeight="1">
      <x:c r="A396" s="3" t="str">
        <x:v>P44</x:v>
      </x:c>
      <x:c r="B396" s="3" t="str">
        <x:v>Acquire recent eligible law without citation-count bias</x:v>
      </x:c>
      <x:c r="C396" s="3" t="str">
        <x:v>expected</x:v>
      </x:c>
      <x:c r="D396" s="3" t="n">
        <x:v>1</x:v>
      </x:c>
      <x:c r="E396" s="3" t="str">
        <x:v>Recent otherwise eligible decisions are not excluded merely for low citation count.</x:v>
      </x:c>
    </x:row>
    <x:row r="397" ht="27" customHeight="1">
      <x:c r="A397" s="14" t="str">
        <x:v>P44</x:v>
      </x:c>
      <x:c r="B397" s="14" t="str">
        <x:v>Acquire recent eligible law without citation-count bias</x:v>
      </x:c>
      <x:c r="C397" s="14" t="str">
        <x:v>expected</x:v>
      </x:c>
      <x:c r="D397" s="14" t="n">
        <x:v>2</x:v>
      </x:c>
      <x:c r="E397" s="14" t="str">
        <x:v>Successful acquisition does not establish verified applicability or completeness.</x:v>
      </x:c>
    </x:row>
    <x:row r="398" ht="27" customHeight="1">
      <x:c r="A398" s="3" t="str">
        <x:v>P44</x:v>
      </x:c>
      <x:c r="B398" s="3" t="str">
        <x:v>Acquire recent eligible law without citation-count bias</x:v>
      </x:c>
      <x:c r="C398" s="3" t="str">
        <x:v>rollback</x:v>
      </x:c>
      <x:c r="D398" s="3" t="n">
        <x:v>1</x:v>
      </x:c>
      <x:c r="E398" s="3" t="str">
        <x:v>Suspend acquisition, retain rights/source/selection receipts and quarantine candidates; the active published snapshot remains untouched.</x:v>
      </x:c>
    </x:row>
    <x:row r="399" ht="40" customHeight="1">
      <x:c r="A399" s="14" t="str">
        <x:v>P45</x:v>
      </x:c>
      <x:c r="B399" s="14" t="str">
        <x:v>Operate authorised proactive work and continuing conflict watch</x:v>
      </x:c>
      <x:c r="C399" s="14" t="str">
        <x:v>inputs</x:v>
      </x:c>
      <x:c r="D399" s="14" t="n">
        <x:v>1</x:v>
      </x:c>
      <x:c r="E399" s="14" t="str">
        <x:v>Recorded service authority, responsible actor, trigger/cadence and notification preference</x:v>
      </x:c>
    </x:row>
    <x:row r="400" ht="40" customHeight="1">
      <x:c r="A400" s="3" t="str">
        <x:v>P45</x:v>
      </x:c>
      <x:c r="B400" s="3" t="str">
        <x:v>Operate authorised proactive work and continuing conflict watch</x:v>
      </x:c>
      <x:c r="C400" s="3" t="str">
        <x:v>inputs</x:v>
      </x:c>
      <x:c r="D400" s="3" t="n">
        <x:v>2</x:v>
      </x:c>
      <x:c r="E400" s="3" t="str">
        <x:v>New party shared across restricted synthetic matters</x:v>
      </x:c>
    </x:row>
    <x:row r="401" ht="40" customHeight="1">
      <x:c r="A401" s="14" t="str">
        <x:v>P45</x:v>
      </x:c>
      <x:c r="B401" s="14" t="str">
        <x:v>Operate authorised proactive work and continuing conflict watch</x:v>
      </x:c>
      <x:c r="C401" s="14" t="str">
        <x:v>outputs</x:v>
      </x:c>
      <x:c r="D401" s="14" t="n">
        <x:v>1</x:v>
      </x:c>
      <x:c r="E401" s="14" t="str">
        <x:v>Cancellable deduplicated service jobs and scoped continuing-conflict reassessment</x:v>
      </x:c>
    </x:row>
    <x:row r="402" ht="40" customHeight="1">
      <x:c r="A402" s="3" t="str">
        <x:v>P45</x:v>
      </x:c>
      <x:c r="B402" s="3" t="str">
        <x:v>Operate authorised proactive work and continuing conflict watch</x:v>
      </x:c>
      <x:c r="C402" s="3" t="str">
        <x:v>steps</x:v>
      </x:c>
      <x:c r="D402" s="3" t="n">
        <x:v>1</x:v>
      </x:c>
      <x:c r="E402" s="3" t="str">
        <x:v>Persist proactive service authority separately from permission to read the matter; create jobs only while owner, authority and trigger are current.</x:v>
      </x:c>
    </x:row>
    <x:row r="403" ht="40" customHeight="1">
      <x:c r="A403" s="14" t="str">
        <x:v>P45</x:v>
      </x:c>
      <x:c r="B403" s="14" t="str">
        <x:v>Operate authorised proactive work and continuing conflict watch</x:v>
      </x:c>
      <x:c r="C403" s="14" t="str">
        <x:v>steps</x:v>
      </x:c>
      <x:c r="D403" s="14" t="n">
        <x:v>2</x:v>
      </x:c>
      <x:c r="E403" s="14" t="str">
        <x:v>On new parties/material changes reopen relevant conflict assessments through a minimal restricted index, never returning another client's matter details to the advocate.</x:v>
      </x:c>
    </x:row>
    <x:row r="404" ht="40" customHeight="1">
      <x:c r="A404" s="3" t="str">
        <x:v>P45</x:v>
      </x:c>
      <x:c r="B404" s="3" t="str">
        <x:v>Operate authorised proactive work and continuing conflict watch</x:v>
      </x:c>
      <x:c r="C404" s="3" t="str">
        <x:v>steps</x:v>
      </x:c>
      <x:c r="D404" s="3" t="n">
        <x:v>3</x:v>
      </x:c>
      <x:c r="E404" s="3" t="str">
        <x:v>Cancel/revoke during job execution and simulate a lost notification acknowledgement; reconcile duplicates and show outstanding owner/next action without claiming silent ongoing monitoring.</x:v>
      </x:c>
    </x:row>
    <x:row r="405" ht="40" customHeight="1">
      <x:c r="A405" s="14" t="str">
        <x:v>P45</x:v>
      </x:c>
      <x:c r="B405" s="14" t="str">
        <x:v>Operate authorised proactive work and continuing conflict watch</x:v>
      </x:c>
      <x:c r="C405" s="14" t="str">
        <x:v>expected</x:v>
      </x:c>
      <x:c r="D405" s="14" t="n">
        <x:v>1</x:v>
      </x:c>
      <x:c r="E405" s="14" t="str">
        <x:v>No unsolicited background work or duplicated consequential notification.</x:v>
      </x:c>
    </x:row>
    <x:row r="406" ht="40" customHeight="1">
      <x:c r="A406" s="3" t="str">
        <x:v>P45</x:v>
      </x:c>
      <x:c r="B406" s="3" t="str">
        <x:v>Operate authorised proactive work and continuing conflict watch</x:v>
      </x:c>
      <x:c r="C406" s="3" t="str">
        <x:v>expected</x:v>
      </x:c>
      <x:c r="D406" s="3" t="n">
        <x:v>2</x:v>
      </x:c>
      <x:c r="E406" s="3" t="str">
        <x:v>Continuing-conflict assessment protects other matters while making the current file's limit visible.</x:v>
      </x:c>
    </x:row>
    <x:row r="407" ht="40" customHeight="1">
      <x:c r="A407" s="14" t="str">
        <x:v>P45</x:v>
      </x:c>
      <x:c r="B407" s="14" t="str">
        <x:v>Operate authorised proactive work and continuing conflict watch</x:v>
      </x:c>
      <x:c r="C407" s="14" t="str">
        <x:v>rollback</x:v>
      </x:c>
      <x:c r="D407" s="14" t="n">
        <x:v>1</x:v>
      </x:c>
      <x:c r="E407" s="14" t="str">
        <x:v>Disable service dispatch and retain cancelled/unknown delivery records; restore only explicitly approved subscriptions without duplicating prior notifications.</x:v>
      </x:c>
    </x:row>
    <x:row r="408" ht="27" customHeight="1">
      <x:c r="A408" s="3" t="str">
        <x:v>P46</x:v>
      </x:c>
      <x:c r="B408" s="3" t="str">
        <x:v>Adapt investigation to evidence within a fixed mandate</x:v>
      </x:c>
      <x:c r="C408" s="3" t="str">
        <x:v>inputs</x:v>
      </x:c>
      <x:c r="D408" s="3" t="n">
        <x:v>1</x:v>
      </x:c>
      <x:c r="E408" s="3" t="str">
        <x:v>Current source and governed contracts in docs/blueprint/autonomy.json; no currently implemented agent API is implied.</x:v>
      </x:c>
    </x:row>
    <x:row r="409" ht="27" customHeight="1">
      <x:c r="A409" s="14" t="str">
        <x:v>P46</x:v>
      </x:c>
      <x:c r="B409" s="14" t="str">
        <x:v>Adapt investigation to evidence within a fixed mandate</x:v>
      </x:c>
      <x:c r="C409" s="14" t="str">
        <x:v>inputs</x:v>
      </x:c>
      <x:c r="D409" s="14" t="n">
        <x:v>2</x:v>
      </x:c>
      <x:c r="E409" s="14" t="str">
        <x:v>Versioned commission, permitted tool catalogue, evidence packet and durable job outputs from the named prerequisites.</x:v>
      </x:c>
    </x:row>
    <x:row r="410" ht="27" customHeight="1">
      <x:c r="A410" s="3" t="str">
        <x:v>P46</x:v>
      </x:c>
      <x:c r="B410" s="3" t="str">
        <x:v>Adapt investigation to evidence within a fixed mandate</x:v>
      </x:c>
      <x:c r="C410" s="3" t="str">
        <x:v>inputs</x:v>
      </x:c>
      <x:c r="D410" s="3" t="n">
        <x:v>3</x:v>
      </x:c>
      <x:c r="E410" s="3" t="str">
        <x:v>Isolated scripted synthetic providers; separately approved model, counsel and deployed runs for stronger evidence.</x:v>
      </x:c>
    </x:row>
    <x:row r="411" ht="27" customHeight="1">
      <x:c r="A411" s="14" t="str">
        <x:v>P46</x:v>
      </x:c>
      <x:c r="B411" s="14" t="str">
        <x:v>Adapt investigation to evidence within a fixed mandate</x:v>
      </x:c>
      <x:c r="C411" s="14" t="str">
        <x:v>outputs</x:v>
      </x:c>
      <x:c r="D411" s="14" t="n">
        <x:v>1</x:v>
      </x:c>
      <x:c r="E411" s="14" t="str">
        <x:v>Versioned adaptive-plan state and inspected next-step proposals bound to the commission.</x:v>
      </x:c>
    </x:row>
    <x:row r="412" ht="27" customHeight="1">
      <x:c r="A412" s="3" t="str">
        <x:v>P46</x:v>
      </x:c>
      <x:c r="B412" s="3" t="str">
        <x:v>Adapt investigation to evidence within a fixed mandate</x:v>
      </x:c>
      <x:c r="C412" s="3" t="str">
        <x:v>outputs</x:v>
      </x:c>
      <x:c r="D412" s="3" t="n">
        <x:v>2</x:v>
      </x:c>
      <x:c r="E412" s="3" t="str">
        <x:v>One lead runtime through approved tools and the existing acceptance path, with positive/refusal/restart witnesses.</x:v>
      </x:c>
    </x:row>
    <x:row r="413" ht="55" customHeight="1">
      <x:c r="A413" s="14" t="str">
        <x:v>P46</x:v>
      </x:c>
      <x:c r="B413" s="14" t="str">
        <x:v>Adapt investigation to evidence within a fixed mandate</x:v>
      </x:c>
      <x:c r="C413" s="14" t="str">
        <x:v>steps</x:v>
      </x:c>
      <x:c r="D413" s="14" t="n">
        <x:v>1</x:v>
      </x:c>
      <x:c r="E413" s="14"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14" ht="40" customHeight="1">
      <x:c r="A414" s="3" t="str">
        <x:v>P46</x:v>
      </x:c>
      <x:c r="B414" s="3" t="str">
        <x:v>Adapt investigation to evidence within a fixed mandate</x:v>
      </x:c>
      <x:c r="C414" s="3" t="str">
        <x:v>steps</x:v>
      </x:c>
      <x:c r="D414" s="3" t="n">
        <x:v>2</x:v>
      </x:c>
      <x:c r="E414" s="3" t="str">
        <x:v>Implement a bounded feedback loop through the existing ports: observe actual results and replan on material discoveries; use no specialist when direct permitted work suffices. Application policy, not the planner, admits each operation.</x:v>
      </x:c>
    </x:row>
    <x:row r="415" ht="40" customHeight="1">
      <x:c r="A415" s="14" t="str">
        <x:v>P46</x:v>
      </x:c>
      <x:c r="B415" s="14" t="str">
        <x:v>Adapt investigation to evidence within a fixed mandate</x:v>
      </x:c>
      <x:c r="C415" s="14" t="str">
        <x:v>steps</x:v>
      </x:c>
      <x:c r="D415" s="14" t="n">
        <x:v>3</x:v>
      </x:c>
      <x:c r="E415" s="14" t="str">
        <x:v>Keep factual assertion, extracted text, disputed proposition, inference and unknown distinct. Deterministic identity/locator/quote checks do not establish semantic support or legal applicability; enforce the required reviewed assessment outcomes.</x:v>
      </x:c>
    </x:row>
    <x:row r="416" ht="40" customHeight="1">
      <x:c r="A416" s="3" t="str">
        <x:v>P46</x:v>
      </x:c>
      <x:c r="B416" s="3" t="str">
        <x:v>Adapt investigation to evidence within a fixed mandate</x:v>
      </x:c>
      <x:c r="C416" s="3" t="str">
        <x:v>steps</x:v>
      </x:c>
      <x:c r="D416" s="3" t="n">
        <x:v>4</x:v>
      </x:c>
      <x:c r="E416" s="3" t="str">
        <x:v>Reject stale or revoked input/results and invalidate dependencies before publishing. A missing premise, unavailable source, failed check or exhausted budget must retain its actual state and stop reason.</x:v>
      </x:c>
    </x:row>
    <x:row r="417" ht="40" customHeight="1">
      <x:c r="A417" s="14" t="str">
        <x:v>P46</x:v>
      </x:c>
      <x:c r="B417" s="14" t="str">
        <x:v>Adapt investigation to evidence within a fixed mandate</x:v>
      </x:c>
      <x:c r="C417" s="14" t="str">
        <x:v>steps</x:v>
      </x:c>
      <x:c r="D417" s="14" t="n">
        <x:v>5</x:v>
      </x:c>
      <x:c r="E417" s="14" t="str">
        <x:v>Prove positive evidence-triggered replanning and refusal using EVAL-031, plus criterion-specific transfer/boundary tests. Obtain separately approved real-model evidence for reasoning behaviour; P24 and P35 own later interaction and professional comparison.</x:v>
      </x:c>
    </x:row>
    <x:row r="418" ht="27" customHeight="1">
      <x:c r="A418" s="3" t="str">
        <x:v>P46</x:v>
      </x:c>
      <x:c r="B418" s="3" t="str">
        <x:v>Adapt investigation to evidence within a fixed mandate</x:v>
      </x:c>
      <x:c r="C418" s="3" t="str">
        <x:v>expected</x:v>
      </x:c>
      <x:c r="D418" s="3" t="n">
        <x:v>1</x:v>
      </x:c>
      <x:c r="E418" s="3" t="str">
        <x:v>Adaptive investigation remains within unchanged policy, source and authority boundaries.</x:v>
      </x:c>
    </x:row>
    <x:row r="419" ht="40" customHeight="1">
      <x:c r="A419" s="14" t="str">
        <x:v>P46</x:v>
      </x:c>
      <x:c r="B419" s="14" t="str">
        <x:v>Adapt investigation to evidence within a fixed mandate</x:v>
      </x:c>
      <x:c r="C419" s="14" t="str">
        <x:v>expected</x:v>
      </x:c>
      <x:c r="D419" s="14" t="n">
        <x:v>2</x:v>
      </x:c>
      <x:c r="E419" s="14" t="str">
        <x:v>Every selected task has an observed terminal result or explicit open state; no fabricated factual completion, clean failed child or stale accepted output.</x:v>
      </x:c>
    </x:row>
    <x:row r="420" ht="40" customHeight="1">
      <x:c r="A420" s="3" t="str">
        <x:v>P46</x:v>
      </x:c>
      <x:c r="B420" s="3" t="str">
        <x:v>Adapt investigation to evidence within a fixed mandate</x:v>
      </x:c>
      <x:c r="C420" s="3" t="str">
        <x:v>expected</x:v>
      </x:c>
      <x:c r="D420" s="3" t="n">
        <x:v>3</x:v>
      </x:c>
      <x:c r="E420" s="3" t="str">
        <x:v>Each registered criterion requires its own exact test and evidence methods; static contracts and synthetic demos are not legal or deployed proof.</x:v>
      </x:c>
    </x:row>
    <x:row r="421" ht="40" customHeight="1">
      <x:c r="A421" s="14" t="str">
        <x:v>P46</x:v>
      </x:c>
      <x:c r="B421" s="14" t="str">
        <x:v>Adapt investigation to evidence within a fixed mandate</x:v>
      </x:c>
      <x:c r="C421" s="14" t="str">
        <x:v>rollback</x:v>
      </x:c>
      <x:c r="D421" s="14" t="n">
        <x:v>1</x:v>
      </x:c>
      <x:c r="E421" s="14" t="str">
        <x:v>Disable the new planner/delegation route and preserve accepted source versions, task history, cancelled/unknown results and existing non-agent paths. Do not replay consequential effects or remove evidence to obtain a green result.</x:v>
      </x:c>
    </x:row>
    <x:row r="422" ht="40" customHeight="1">
      <x:c r="A422" s="3" t="str">
        <x:v>P47</x:v>
      </x:c>
      <x:c r="B422" s="3" t="str">
        <x:v>Run bounded specialist tasks with shared authority and budgets</x:v>
      </x:c>
      <x:c r="C422" s="3" t="str">
        <x:v>inputs</x:v>
      </x:c>
      <x:c r="D422" s="3" t="n">
        <x:v>1</x:v>
      </x:c>
      <x:c r="E422" s="3" t="str">
        <x:v>Current source and governed contracts in docs/blueprint/autonomy.json; no currently implemented agent API is implied.</x:v>
      </x:c>
    </x:row>
    <x:row r="423" ht="40" customHeight="1">
      <x:c r="A423" s="14" t="str">
        <x:v>P47</x:v>
      </x:c>
      <x:c r="B423" s="14" t="str">
        <x:v>Run bounded specialist tasks with shared authority and budgets</x:v>
      </x:c>
      <x:c r="C423" s="14" t="str">
        <x:v>inputs</x:v>
      </x:c>
      <x:c r="D423" s="14" t="n">
        <x:v>2</x:v>
      </x:c>
      <x:c r="E423" s="14" t="str">
        <x:v>Versioned commission, permitted tool catalogue, evidence packet and durable job outputs from the named prerequisites.</x:v>
      </x:c>
    </x:row>
    <x:row r="424" ht="40" customHeight="1">
      <x:c r="A424" s="3" t="str">
        <x:v>P47</x:v>
      </x:c>
      <x:c r="B424" s="3" t="str">
        <x:v>Run bounded specialist tasks with shared authority and budgets</x:v>
      </x:c>
      <x:c r="C424" s="3" t="str">
        <x:v>inputs</x:v>
      </x:c>
      <x:c r="D424" s="3" t="n">
        <x:v>3</x:v>
      </x:c>
      <x:c r="E424" s="3" t="str">
        <x:v>Isolated scripted synthetic providers; separately approved model, counsel and deployed runs for stronger evidence.</x:v>
      </x:c>
    </x:row>
    <x:row r="425" ht="40" customHeight="1">
      <x:c r="A425" s="14" t="str">
        <x:v>P47</x:v>
      </x:c>
      <x:c r="B425" s="14" t="str">
        <x:v>Run bounded specialist tasks with shared authority and budgets</x:v>
      </x:c>
      <x:c r="C425" s="14" t="str">
        <x:v>outputs</x:v>
      </x:c>
      <x:c r="D425" s="14" t="n">
        <x:v>1</x:v>
      </x:c>
      <x:c r="E425" s="14" t="str">
        <x:v>Durable bounded parent/child execution and canonical result acceptance, usable with scripted specialists.</x:v>
      </x:c>
    </x:row>
    <x:row r="426" ht="40" customHeight="1">
      <x:c r="A426" s="3" t="str">
        <x:v>P47</x:v>
      </x:c>
      <x:c r="B426" s="3" t="str">
        <x:v>Run bounded specialist tasks with shared authority and budgets</x:v>
      </x:c>
      <x:c r="C426" s="3" t="str">
        <x:v>outputs</x:v>
      </x:c>
      <x:c r="D426" s="3" t="n">
        <x:v>2</x:v>
      </x:c>
      <x:c r="E426" s="3" t="str">
        <x:v>Observed aggregate budget, permission, stale-result and recovery refusal evidence.</x:v>
      </x:c>
    </x:row>
    <x:row r="427" ht="40" customHeight="1">
      <x:c r="A427" s="14" t="str">
        <x:v>P47</x:v>
      </x:c>
      <x:c r="B427" s="14" t="str">
        <x:v>Run bounded specialist tasks with shared authority and budgets</x:v>
      </x:c>
      <x:c r="C427" s="14" t="str">
        <x:v>steps</x:v>
      </x:c>
      <x:c r="D427" s="14" t="n">
        <x:v>1</x:v>
      </x:c>
      <x:c r="E427" s="14" t="str">
        <x:v>Extend the durable job contract with typed parent/child identity, role, objective, snapshot, purpose, permitted tools/data/processors, shared budget allocation, deadline and expected result schema from autonomy.json.</x:v>
      </x:c>
    </x:row>
    <x:row r="428" ht="40" customHeight="1">
      <x:c r="A428" s="3" t="str">
        <x:v>P47</x:v>
      </x:c>
      <x:c r="B428" s="3" t="str">
        <x:v>Run bounded specialist tasks with shared authority and budgets</x:v>
      </x:c>
      <x:c r="C428" s="3" t="str">
        <x:v>steps</x:v>
      </x:c>
      <x:c r="D428" s="3" t="n">
        <x:v>2</x:v>
      </x:c>
      <x:c r="E428" s="3"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29" ht="40" customHeight="1">
      <x:c r="A429" s="14" t="str">
        <x:v>P47</x:v>
      </x:c>
      <x:c r="B429" s="14" t="str">
        <x:v>Run bounded specialist tasks with shared authority and budgets</x:v>
      </x:c>
      <x:c r="C429" s="14" t="str">
        <x:v>steps</x:v>
      </x:c>
      <x:c r="D429" s="14" t="n">
        <x:v>3</x:v>
      </x:c>
      <x:c r="E429" s="14" t="str">
        <x:v>Reserve and reconcile aggregate task cost/time across all children, retries and unfinished provider work. Do not reset budgets per child; refuse dispatch over the remaining cap and report cancellation honestly.</x:v>
      </x:c>
    </x:row>
    <x:row r="430" ht="40" customHeight="1">
      <x:c r="A430" s="3" t="str">
        <x:v>P47</x:v>
      </x:c>
      <x:c r="B430" s="3" t="str">
        <x:v>Run bounded specialist tasks with shared authority and budgets</x:v>
      </x:c>
      <x:c r="C430" s="3" t="str">
        <x:v>steps</x:v>
      </x:c>
      <x:c r="D430" s="3" t="n">
        <x:v>4</x:v>
      </x:c>
      <x:c r="E430" s="3"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31" ht="40" customHeight="1">
      <x:c r="A431" s="14" t="str">
        <x:v>P47</x:v>
      </x:c>
      <x:c r="B431" s="14" t="str">
        <x:v>Run bounded specialist tasks with shared authority and budgets</x:v>
      </x:c>
      <x:c r="C431" s="14" t="str">
        <x:v>steps</x:v>
      </x:c>
      <x:c r="D431" s="14" t="n">
        <x:v>5</x:v>
      </x:c>
      <x:c r="E431" s="14" t="str">
        <x:v>Propagate cancellation/revocation and lease fencing; recheck policy before provider calls and before accepting results. Prompt-injected source text, forged children and unknown tools cannot alter authority or create a direct network/shell route.</x:v>
      </x:c>
    </x:row>
    <x:row r="432" ht="40" customHeight="1">
      <x:c r="A432" s="3" t="str">
        <x:v>P47</x:v>
      </x:c>
      <x:c r="B432" s="3" t="str">
        <x:v>Run bounded specialist tasks with shared authority and budgets</x:v>
      </x:c>
      <x:c r="C432" s="3" t="str">
        <x:v>steps</x:v>
      </x:c>
      <x:c r="D432" s="3" t="n">
        <x:v>6</x:v>
      </x:c>
      <x:c r="E432" s="3" t="str">
        <x:v>Demonstrate ordinary delegated work, an unavailable child, concurrent budget admission, changed source, retry/restart, cancellation and malicious input with EVAL-032. P46 uses this runtime; P29 and P37 own later artifacts and economic enablement.</x:v>
      </x:c>
    </x:row>
    <x:row r="433" ht="40" customHeight="1">
      <x:c r="A433" s="14" t="str">
        <x:v>P47</x:v>
      </x:c>
      <x:c r="B433" s="14" t="str">
        <x:v>Run bounded specialist tasks with shared authority and budgets</x:v>
      </x:c>
      <x:c r="C433" s="14" t="str">
        <x:v>expected</x:v>
      </x:c>
      <x:c r="D433" s="14" t="n">
        <x:v>1</x:v>
      </x:c>
      <x:c r="E433" s="14" t="str">
        <x:v>Adaptive investigation remains within unchanged policy, source and authority boundaries.</x:v>
      </x:c>
    </x:row>
    <x:row r="434" ht="40" customHeight="1">
      <x:c r="A434" s="3" t="str">
        <x:v>P47</x:v>
      </x:c>
      <x:c r="B434" s="3" t="str">
        <x:v>Run bounded specialist tasks with shared authority and budgets</x:v>
      </x:c>
      <x:c r="C434" s="3" t="str">
        <x:v>expected</x:v>
      </x:c>
      <x:c r="D434" s="3" t="n">
        <x:v>2</x:v>
      </x:c>
      <x:c r="E434" s="3" t="str">
        <x:v>Every selected task has an observed terminal result or explicit open state; no fabricated factual completion, clean failed child or stale accepted output.</x:v>
      </x:c>
    </x:row>
    <x:row r="435" ht="40" customHeight="1">
      <x:c r="A435" s="14" t="str">
        <x:v>P47</x:v>
      </x:c>
      <x:c r="B435" s="14" t="str">
        <x:v>Run bounded specialist tasks with shared authority and budgets</x:v>
      </x:c>
      <x:c r="C435" s="14" t="str">
        <x:v>expected</x:v>
      </x:c>
      <x:c r="D435" s="14" t="n">
        <x:v>3</x:v>
      </x:c>
      <x:c r="E435" s="14" t="str">
        <x:v>Each registered criterion requires its own exact test and evidence methods; static contracts and synthetic demos are not legal or deployed proof.</x:v>
      </x:c>
    </x:row>
    <x:row r="436" ht="40" customHeight="1">
      <x:c r="A436" s="3" t="str">
        <x:v>P47</x:v>
      </x:c>
      <x:c r="B436" s="3" t="str">
        <x:v>Run bounded specialist tasks with shared authority and budgets</x:v>
      </x:c>
      <x:c r="C436" s="3" t="str">
        <x:v>rollback</x:v>
      </x:c>
      <x:c r="D436" s="3" t="n">
        <x:v>1</x:v>
      </x:c>
      <x:c r="E436" s="3"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53bc902328eb4fd5"/>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STALE</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STALE</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STALE</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PASS</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NOT_RUN</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NOT_RUN</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NOT_RUN</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NOT_RUN</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40" customHeight="1">
      <x:c r="A14" s="3" t="str">
        <x:v>BK-31-AC1</x:v>
      </x:c>
      <x:c r="B14" s="3" t="str">
        <x:v>BK-31</x:v>
      </x:c>
      <x:c r="C14" s="3" t="str">
        <x:v>enrolment is refused without an operator-issued invitation, with no deployment setting whose absence can open the door</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STALE</x:v>
      </x:c>
      <x:c r="J14" s="3" t="str">
        <x:v>Declared tests and criteria are not execution results.</x:v>
      </x:c>
    </x:row>
    <x:row r="15" ht="27" customHeight="1">
      <x:c r="A15" s="14" t="str">
        <x:v>BK-31-AC2</x:v>
      </x:c>
      <x:c r="B15" s="14" t="str">
        <x:v>BK-31</x:v>
      </x:c>
      <x:c r="C15" s="14" t="str">
        <x:v>a refused enrolment leaves no record behind</x:v>
      </x:c>
      <x:c r="D15" s="14" t="str">
        <x:v>integration_test</x:v>
      </x:c>
      <x:c r="E15" s="14" t="str">
        <x:v>register once unauthorised, then once with the authorisation</x:v>
      </x:c>
      <x:c r="F15" s="14" t="str">
        <x:v>the second attempt collides with a record that was never allowed to exist</x:v>
      </x:c>
      <x:c r="G15" s="14" t="str">
        <x:v>P08</x:v>
      </x:c>
      <x:c r="H15" s="14" t="str">
        <x:v>P08</x:v>
      </x:c>
      <x:c r="I15" s="14" t="str">
        <x:v>STALE</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STALE</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STALE</x:v>
      </x:c>
      <x:c r="J17" s="14" t="str">
        <x:v>Declared tests and criteria are not execution results.</x:v>
      </x:c>
    </x:row>
    <x:row r="18" ht="27" customHeight="1">
      <x:c r="A18" s="3" t="str">
        <x:v>BK-31-AC5</x:v>
      </x:c>
      <x:c r="B18" s="3" t="str">
        <x:v>BK-31</x:v>
      </x:c>
      <x:c r="C18" s="3" t="str">
        <x:v>failed enrolment attempts are rate-limited and audited without recording the invitation value</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STALE</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STALE</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STALE</x:v>
      </x:c>
      <x:c r="J20" s="3" t="str">
        <x:v>Declared tests and criteria are not execution results.</x:v>
      </x:c>
    </x:row>
    <x:row r="21" ht="40" customHeight="1">
      <x:c r="A21" s="14" t="str">
        <x:v>BK-31-AC8</x:v>
      </x:c>
      <x:c r="B21" s="14" t="str">
        <x:v>BK-31</x:v>
      </x:c>
      <x:c r="C21" s="14" t="str">
        <x:v>the invitation exclusively owns the canonical email, named advocate, professional profile and server-owned workspace; registration accepts only the invitation and the advocate's chosen password</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STALE</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STALE</x:v>
      </x:c>
      <x:c r="J22" s="3" t="str">
        <x:v>Declared tests and criteria are not execution results.</x:v>
      </x:c>
    </x:row>
    <x:row r="23" ht="40" customHeight="1">
      <x:c r="A23" s="14" t="str">
        <x:v>BK-31-AC10</x:v>
      </x:c>
      <x:c r="B23" s="14" t="str">
        <x:v>BK-31</x:v>
      </x:c>
      <x:c r="C23" s="14" t="str">
        <x:v>the browser sends the route's invitation header, conceals its value and clears it from the DOM before waiting on the network</x:v>
      </x:c>
      <x:c r="D23" s="14" t="str">
        <x:v>integration_test, browser_journey</x:v>
      </x:c>
      <x:c r="E23" s="14" t="str">
        <x:v>restore a visible input, retain its value during fetch, or send the retired header name</x:v>
      </x:c>
      <x:c r="F23" s="14" t="str">
        <x:v>the static integration controls report the exposure or header drift; the eventual browser phase must observe the field clear on both refusal and success</x:v>
      </x:c>
      <x:c r="G23" s="14" t="str">
        <x:v>P08</x:v>
      </x:c>
      <x:c r="H23" s="14" t="str">
        <x:v>P08</x:v>
      </x:c>
      <x:c r="I23" s="14" t="str">
        <x:v>STALE</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STALE</x:v>
      </x:c>
      <x:c r="J24" s="3" t="str">
        <x:v>Declared tests and criteria are not execution results.</x:v>
      </x:c>
    </x:row>
    <x:row r="25" ht="40" customHeight="1">
      <x:c r="A25" s="14" t="str">
        <x:v>BK-31-AC12</x:v>
      </x:c>
      <x:c r="B25" s="14" t="str">
        <x:v>BK-31</x:v>
      </x:c>
      <x:c r="C25" s="14" t="str">
        <x:v>the browser registration form does not ask the advocate to retype identity or workspace facts already fixed by the invitation</x:v>
      </x:c>
      <x:c r="D25" s="14" t="str">
        <x:v>integration_test</x:v>
      </x:c>
      <x:c r="E25" s="14" t="str">
        <x:v>restore any name, email, enrolment, practice or firm input to the registration form or script</x:v>
      </x:c>
      <x:c r="F25" s="14" t="str">
        <x:v>the source-level form contract identifies the second owner of roster identity</x:v>
      </x:c>
      <x:c r="G25" s="14" t="str">
        <x:v>P08</x:v>
      </x:c>
      <x:c r="H25" s="14" t="str">
        <x:v>P08</x:v>
      </x:c>
      <x:c r="I25" s="14" t="str">
        <x:v>STALE</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STALE</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STALE</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STALE</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STALE</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STALE</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STALE</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STALE</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NOT_RUN</x:v>
      </x:c>
      <x:c r="J33" s="14" t="str">
        <x:v>Declared tests and criteria are not execution results.</x:v>
      </x:c>
    </x:row>
    <x:row r="34" ht="40" customHeight="1">
      <x:c r="A34" s="3" t="str">
        <x:v>BK-32-AC1</x:v>
      </x:c>
      <x:c r="B34" s="3" t="str">
        <x:v>BK-32</x:v>
      </x:c>
      <x:c r="C34" s="3" t="str">
        <x:v>At 390, 768 and 1280 pixels the advocate can start, find and switch matters and reach research, History, identity and sign-out with keyboard-accessible controls</x:v>
      </x:c>
      <x:c r="D34" s="3" t="str">
        <x:v>browser_journey</x:v>
      </x:c>
      <x:c r="E34" s="3" t="str">
        <x:v>hide the matter rail without a reachable replacement or clip a primary control</x:v>
      </x:c>
      <x:c r="F34" s="3" t="str">
        <x:v>the affected width and unreachable user action fail visibly</x:v>
      </x:c>
      <x:c r="G34" s="3" t="str">
        <x:v>P36</x:v>
      </x:c>
      <x:c r="H34" s="3" t="str">
        <x:v>P36</x:v>
      </x:c>
      <x:c r="I34" s="3" t="str">
        <x:v>NOT_RUN</x:v>
      </x:c>
      <x:c r="J34" s="3" t="str">
        <x:v>Declared tests and criteria are not execution results.</x:v>
      </x:c>
    </x:row>
    <x:row r="35" ht="40" customHeight="1">
      <x:c r="A35" s="14" t="str">
        <x:v>BK-33-AC1</x:v>
      </x:c>
      <x:c r="B35" s="14" t="str">
        <x:v>BK-33</x:v>
      </x:c>
      <x:c r="C35" s="14" t="str">
        <x:v>The matter cover shows persisted client, title, posture, stage, touched time and deadline-assessment state without substituting implementation IDs or unassessed values with invented facts</x:v>
      </x:c>
      <x:c r="D35" s="14" t="str">
        <x:v>integration_test, browser_journey</x:v>
      </x:c>
      <x:c r="E35" s="14" t="str">
        <x:v>load a matter with unknown forum or unreadable deadline state</x:v>
      </x:c>
      <x:c r="F35" s="14" t="str">
        <x:v>the cover preserves the explicit uncertainty rather than manufacturing a normal value</x:v>
      </x:c>
      <x:c r="G35" s="14" t="str">
        <x:v>P13</x:v>
      </x:c>
      <x:c r="H35" s="14" t="str">
        <x:v>P13</x:v>
      </x:c>
      <x:c r="I35" s="14" t="str">
        <x:v>NOT_RUN</x:v>
      </x:c>
      <x:c r="J35" s="14" t="str">
        <x:v>Declared tests and criteria are not execution results.</x:v>
      </x:c>
    </x:row>
    <x:row r="36" ht="40" customHeight="1">
      <x:c r="A36" s="3" t="str">
        <x:v>BK-33-AC2</x:v>
      </x:c>
      <x:c r="B36" s="3" t="str">
        <x:v>BK-33</x:v>
      </x:c>
      <x:c r="C36" s="3" t="str">
        <x:v>Re-entry restores the selected matter summary, served conversation and next action from the authoritative file without cross-matter state leakage</x:v>
      </x:c>
      <x:c r="D36" s="3" t="str">
        <x:v>integration_test, browser_journey</x:v>
      </x:c>
      <x:c r="E36" s="3" t="str">
        <x:v>switch matters during loading or reload after a committed turn</x:v>
      </x:c>
      <x:c r="F36" s="3" t="str">
        <x:v>only the selected authorised matter is restored and accepted work remains present</x:v>
      </x:c>
      <x:c r="G36" s="3" t="str">
        <x:v>P32</x:v>
      </x:c>
      <x:c r="H36" s="3" t="str">
        <x:v>P32</x:v>
      </x:c>
      <x:c r="I36" s="3" t="str">
        <x:v>NOT_RUN</x:v>
      </x:c>
      <x:c r="J36" s="3" t="str">
        <x:v>Declared tests and criteria are not execution results.</x:v>
      </x:c>
    </x:row>
    <x:row r="37" ht="40" customHeight="1">
      <x:c r="A37" s="14" t="str">
        <x:v>BK-34-AC1</x:v>
      </x:c>
      <x:c r="B37" s="14" t="str">
        <x:v>BK-34</x:v>
      </x:c>
      <x:c r="C37" s="14" t="str">
        <x:v>adding a party makes an earlier conflict clearance stale, and the advocate is told which parties it never covered</x:v>
      </x:c>
      <x:c r="D37" s="14" t="str">
        <x:v>domain_test</x:v>
      </x:c>
      <x:c r="E37" s="14" t="str">
        <x:v>a screen that never ran, rather than a clearance that stopped applying</x:v>
      </x:c>
      <x:c r="F37" s="14" t="str">
        <x:v>no disclosure fires; saying 'the check did not cover X' about a check that has not run is two messages about one fact</x:v>
      </x:c>
      <x:c r="G37" s="14" t="str">
        <x:v>P14</x:v>
      </x:c>
      <x:c r="H37" s="14" t="str">
        <x:v>P14</x:v>
      </x:c>
      <x:c r="I37" s="14" t="str">
        <x:v>STALE</x:v>
      </x:c>
      <x:c r="J37" s="14" t="str">
        <x:v>Declared tests and criteria are not execution results.</x:v>
      </x:c>
    </x:row>
    <x:row r="38" ht="40" customHeight="1">
      <x:c r="A38" s="3" t="str">
        <x:v>BK-34-AC2</x:v>
      </x:c>
      <x:c r="B38" s="3" t="str">
        <x:v>BK-34</x:v>
      </x:c>
      <x:c r="C38" s="3" t="str">
        <x:v>the engine asks the screen rather than recomputing the rule</x:v>
      </x:c>
      <x:c r="D38" s="3" t="str">
        <x:v>domain_test</x:v>
      </x:c>
      <x:c r="E38" s="3" t="str">
        <x:v>compute `parties - covers` at the call site</x:v>
      </x:c>
      <x:c r="F38" s="3" t="str">
        <x:v>reported; that copy is where a normalisation drifts and the staleness check silently stops matching</x:v>
      </x:c>
      <x:c r="G38" s="3" t="str">
        <x:v>P14</x:v>
      </x:c>
      <x:c r="H38" s="3" t="str">
        <x:v>P14</x:v>
      </x:c>
      <x:c r="I38" s="3" t="str">
        <x:v>STALE</x:v>
      </x:c>
      <x:c r="J38" s="3" t="str">
        <x:v>Declared tests and criteria are not execution results.</x:v>
      </x:c>
    </x:row>
    <x:row r="39" ht="40" customHeight="1">
      <x:c r="A39" s="14" t="str">
        <x:v>BK-34-AC3</x:v>
      </x:c>
      <x:c r="B39" s="14" t="str">
        <x:v>BK-34</x:v>
      </x:c>
      <x:c r="C39" s="14" t="str">
        <x:v>the ordinary admission foundation distinguishes narrow protective guidance from substance and never admits substantive work merely because an emergency is declared</x:v>
      </x:c>
      <x:c r="D39" s="14" t="str">
        <x:v>domain_test, integration_test</x:v>
      </x:c>
      <x:c r="E39" s="14" t="str">
        <x:v>declare an emergency and admit substance with screens outstanding</x:v>
      </x:c>
      <x:c r="F39" s="14" t="str">
        <x:v>merits work is refused even when protective guidance is permitted</x:v>
      </x:c>
      <x:c r="G39" s="14" t="str">
        <x:v>P14</x:v>
      </x:c>
      <x:c r="H39" s="14" t="str">
        <x:v>P14</x:v>
      </x:c>
      <x:c r="I39" s="14" t="str">
        <x:v>NOT_RUN</x:v>
      </x:c>
      <x:c r="J39" s="14" t="str">
        <x:v>Declared tests and criteria are not execution results.</x:v>
      </x:c>
    </x:row>
    <x:row r="40" ht="27" customHeight="1">
      <x:c r="A40" s="3" t="str">
        <x:v>BK-34-AC4</x:v>
      </x:c>
      <x:c r="B40" s="3" t="str">
        <x:v>BK-34</x:v>
      </x:c>
      <x:c r="C40" s="3" t="str">
        <x:v>an incomplete registry never reads clear</x:v>
      </x:c>
      <x:c r="D40" s="3" t="str">
        <x:v>domain_test</x:v>
      </x:c>
      <x:c r="E40" s="3" t="str">
        <x:v>ask `state is CLEAR` at a call site instead of `.clears`</x:v>
      </x:c>
      <x:c r="F40" s="3" t="str">
        <x:v>the copy treats INCOMPLETE as cleared</x:v>
      </x:c>
      <x:c r="G40" s="3" t="str">
        <x:v>P14</x:v>
      </x:c>
      <x:c r="H40" s="3" t="str">
        <x:v>P14</x:v>
      </x:c>
      <x:c r="I40" s="3" t="str">
        <x:v>STALE</x:v>
      </x:c>
      <x:c r="J40" s="3" t="str">
        <x:v>Declared tests and criteria are not execution results.</x:v>
      </x:c>
    </x:row>
    <x:row r="41" ht="40" customHeight="1">
      <x:c r="A41" s="14" t="str">
        <x:v>BK-35-AC1</x:v>
      </x:c>
      <x:c r="B41" s="14" t="str">
        <x:v>BK-35</x:v>
      </x:c>
      <x:c r="C41" s="14" t="str">
        <x:v>Limitation computation requires the reviewed cause-specific legal trigger and attributed factual date, including uncertain ranges and applicable qualifications, before producing a deadline</x:v>
      </x:c>
      <x:c r="D41" s="14" t="str">
        <x:v>integration_test, model_eval, counsel_review</x:v>
      </x:c>
      <x:c r="E41" s="14" t="str">
        <x:v>use the first dated fact when the governing trigger is different or unknown</x:v>
      </x:c>
      <x:c r="F41" s="14" t="str">
        <x:v>the date is not accepted as accrual without its legal and factual basis</x:v>
      </x:c>
      <x:c r="G41" s="14" t="str">
        <x:v>P22</x:v>
      </x:c>
      <x:c r="H41" s="14" t="str">
        <x:v>P22</x:v>
      </x:c>
      <x:c r="I41" s="14" t="str">
        <x:v>NOT_RUN</x:v>
      </x:c>
      <x:c r="J41" s="14" t="str">
        <x:v>Declared tests and criteria are not execution results.</x:v>
      </x:c>
    </x:row>
    <x:row r="42" ht="40" customHeight="1">
      <x:c r="A42" s="3" t="str">
        <x:v>BK-35-AC2</x:v>
      </x:c>
      <x:c r="B42" s="3" t="str">
        <x:v>BK-35</x:v>
      </x:c>
      <x:c r="C42" s="3" t="str">
        <x:v>The served answer, matter cover and deadline register share the same versioned legal premise and calculation or disclose the precise unresolved inconsistency</x:v>
      </x:c>
      <x:c r="D42" s="3" t="str">
        <x:v>integration_test, adversarial_test</x:v>
      </x:c>
      <x:c r="E42" s="3" t="str">
        <x:v>change the trigger date after calculation but before response assembly</x:v>
      </x:c>
      <x:c r="F42" s="3" t="str">
        <x:v>stale or inconsistent deadlines cannot be emitted as current</x:v>
      </x:c>
      <x:c r="G42" s="3" t="str">
        <x:v>P22</x:v>
      </x:c>
      <x:c r="H42" s="3" t="str">
        <x:v>P22</x:v>
      </x:c>
      <x:c r="I42" s="3" t="str">
        <x:v>NOT_RUN</x:v>
      </x:c>
      <x:c r="J42" s="3" t="str">
        <x:v>Declared tests and criteria are not execution results.</x:v>
      </x:c>
    </x:row>
    <x:row r="43" ht="40" customHeight="1">
      <x:c r="A43" s="14" t="str">
        <x:v>BK-36-AC1</x:v>
      </x:c>
      <x:c r="B43" s="14" t="str">
        <x:v>BK-36</x:v>
      </x:c>
      <x:c r="C43" s="14" t="str">
        <x:v>An accepted command is durably committed before success is emitted and retrying its idempotency key cannot create a second matter, turn or accepted effect</x:v>
      </x:c>
      <x:c r="D43" s="14" t="str">
        <x:v>integration_test, adversarial_test</x:v>
      </x:c>
      <x:c r="E43" s="14" t="str">
        <x:v>lose the response after commit and replay the opening command</x:v>
      </x:c>
      <x:c r="F43" s="14" t="str">
        <x:v>operation lookup returns the original accepted result without duplicate work</x:v>
      </x:c>
      <x:c r="G43" s="14" t="str">
        <x:v>P10</x:v>
      </x:c>
      <x:c r="H43" s="14" t="str">
        <x:v>P10</x:v>
      </x:c>
      <x:c r="I43" s="14" t="str">
        <x:v>NOT_RUN</x:v>
      </x:c>
      <x:c r="J43" s="14" t="str">
        <x:v>Declared tests and criteria are not execution results.</x:v>
      </x:c>
    </x:row>
    <x:row r="44" ht="40" customHeight="1">
      <x:c r="A44" s="3" t="str">
        <x:v>BK-36-AC2</x:v>
      </x:c>
      <x:c r="B44" s="3" t="str">
        <x:v>BK-36</x:v>
      </x:c>
      <x:c r="C44" s="3" t="str">
        <x:v>Concurrent updates use expected versions and preserve accepted work across crash, retry and restart without silently overwriting another writer</x:v>
      </x:c>
      <x:c r="D44" s="3" t="str">
        <x:v>integration_test, adversarial_test</x:v>
      </x:c>
      <x:c r="E44" s="3" t="str">
        <x:v>race two writers from the same version and restart after the first commit</x:v>
      </x:c>
      <x:c r="F44" s="3" t="str">
        <x:v>one write succeeds and the stale writer receives an explicit recoverable conflict</x:v>
      </x:c>
      <x:c r="G44" s="3" t="str">
        <x:v>P10</x:v>
      </x:c>
      <x:c r="H44" s="3" t="str">
        <x:v>P10</x:v>
      </x:c>
      <x:c r="I44" s="3" t="str">
        <x:v>NOT_RUN</x:v>
      </x:c>
      <x:c r="J44" s="3" t="str">
        <x:v>Declared tests and criteria are not execution results.</x:v>
      </x:c>
    </x:row>
    <x:row r="45" ht="40" customHeight="1">
      <x:c r="A45" s="14" t="str">
        <x:v>BK-37-AC1</x:v>
      </x:c>
      <x:c r="B45" s="14" t="str">
        <x:v>BK-37</x:v>
      </x:c>
      <x:c r="C45" s="14" t="str">
        <x:v>every counsel-facing answer declares its advice maturity and exposes the conclusion, support, uncertainty and next action appropriate to that level</x:v>
      </x:c>
      <x:c r="D45" s="14" t="str">
        <x:v>model_eval, counsel_review</x:v>
      </x:c>
      <x:c r="E45" s="14" t="str">
        <x:v>Remove support for the decisive conclusion while leaving the output confident and final</x:v>
      </x:c>
      <x:c r="F45" s="14" t="str">
        <x:v>The maturity or conclusion is withheld or downgraded with the missing premise and safe next action visible</x:v>
      </x:c>
      <x:c r="G45" s="14" t="str">
        <x:v>P26</x:v>
      </x:c>
      <x:c r="H45" s="14" t="str">
        <x:v>P26</x:v>
      </x:c>
      <x:c r="I45" s="14" t="str">
        <x:v>NOT_RUN</x:v>
      </x:c>
      <x:c r="J45" s="14" t="str">
        <x:v>Declared tests and criteria are not execution results.</x:v>
      </x:c>
    </x:row>
    <x:row r="46" ht="40" customHeight="1">
      <x:c r="A46" s="3" t="str">
        <x:v>BK-38-AC1</x:v>
      </x:c>
      <x:c r="B46" s="3" t="str">
        <x:v>BK-38</x:v>
      </x:c>
      <x:c r="C46" s="3" t="str">
        <x:v>Research supports controlled court and date filters, grouped source inspection, exact citation and deliberate attachment of a verified source and locator to a matter issue</x:v>
      </x:c>
      <x:c r="D46" s="3" t="str">
        <x:v>integration_test, browser_journey</x:v>
      </x:c>
      <x:c r="E46" s="3" t="str">
        <x:v>attach a ranked snippet as if it were an exact verified source</x:v>
      </x:c>
      <x:c r="F46" s="3" t="str">
        <x:v>the unverified source cannot become established matter authority</x:v>
      </x:c>
      <x:c r="G46" s="3" t="str">
        <x:v>P21</x:v>
      </x:c>
      <x:c r="H46" s="3" t="str">
        <x:v>P21</x:v>
      </x:c>
      <x:c r="I46" s="3" t="str">
        <x:v>NOT_RUN</x:v>
      </x:c>
      <x:c r="J46" s="3" t="str">
        <x:v>Declared tests and criteria are not execution results.</x:v>
      </x:c>
    </x:row>
    <x:row r="47" ht="40" customHeight="1">
      <x:c r="A47" s="14" t="str">
        <x:v>BK-38-AC2</x:v>
      </x:c>
      <x:c r="B47" s="14" t="str">
        <x:v>BK-38</x:v>
      </x:c>
      <x:c r="C47" s="14" t="str">
        <x:v>Search distinguishes results, searched-with-no-results, unsupported coverage and unavailable index and reports meaningful limits without confidence percentages derived from rank</x:v>
      </x:c>
      <x:c r="D47" s="14" t="str">
        <x:v>integration_test, browser_journey</x:v>
      </x:c>
      <x:c r="E47" s="14" t="str">
        <x:v>submit a search with an absent index or unknown court alias</x:v>
      </x:c>
      <x:c r="F47" s="14" t="str">
        <x:v>the state explains whether and where research ran rather than reporting absence of law</x:v>
      </x:c>
      <x:c r="G47" s="14" t="str">
        <x:v>P21</x:v>
      </x:c>
      <x:c r="H47" s="14" t="str">
        <x:v>P21</x:v>
      </x:c>
      <x:c r="I47" s="14" t="str">
        <x:v>NOT_RUN</x:v>
      </x:c>
      <x:c r="J47" s="14" t="str">
        <x:v>Declared tests and criteria are not execution results.</x:v>
      </x:c>
    </x:row>
    <x:row r="48" ht="40" customHeight="1">
      <x:c r="A48" s="3" t="str">
        <x:v>BK-39-AC1</x:v>
      </x:c>
      <x:c r="B48" s="3" t="str">
        <x:v>BK-39</x:v>
      </x:c>
      <x:c r="C48" s="3" t="str">
        <x:v>History renders the actual served advice and chronological corrections with source and version linkage rather than raw internal model and transport diagnostics</x:v>
      </x:c>
      <x:c r="D48" s="3" t="str">
        <x:v>integration_test, browser_journey</x:v>
      </x:c>
      <x:c r="E48" s="3" t="str">
        <x:v>correct a fact and reopen an earlier turn</x:v>
      </x:c>
      <x:c r="F48" s="3" t="str">
        <x:v>the old served version remains identifiable and the new correction is visibly linked</x:v>
      </x:c>
      <x:c r="G48" s="3" t="str">
        <x:v>P32</x:v>
      </x:c>
      <x:c r="H48" s="3" t="str">
        <x:v>P32</x:v>
      </x:c>
      <x:c r="I48" s="3" t="str">
        <x:v>NOT_RUN</x:v>
      </x:c>
      <x:c r="J48" s="3" t="str">
        <x:v>Declared tests and criteria are not execution results.</x:v>
      </x:c>
    </x:row>
    <x:row r="49" ht="40" customHeight="1">
      <x:c r="A49" s="14" t="str">
        <x:v>BK-39-AC2</x:v>
      </x:c>
      <x:c r="B49" s="14" t="str">
        <x:v>BK-39</x:v>
      </x:c>
      <x:c r="C49" s="14" t="str">
        <x:v>A handover snapshot includes current instruction, material facts, authorities, decisions, reservations and next responsibility with unassessed sections explicit</x:v>
      </x:c>
      <x:c r="D49" s="14" t="str">
        <x:v>integration_test, browser_journey, counsel_review</x:v>
      </x:c>
      <x:c r="E49" s="14" t="str">
        <x:v>export a stale or empty file as a complete handover</x:v>
      </x:c>
      <x:c r="F49" s="14" t="str">
        <x:v>the snapshot names missing or stale sections and cannot claim complete assessment</x:v>
      </x:c>
      <x:c r="G49" s="14" t="str">
        <x:v>P32</x:v>
      </x:c>
      <x:c r="H49" s="14" t="str">
        <x:v>P32</x:v>
      </x:c>
      <x:c r="I49" s="14" t="str">
        <x:v>NOT_RUN</x:v>
      </x:c>
      <x:c r="J49" s="14" t="str">
        <x:v>Declared tests and criteria are not execution results.</x:v>
      </x:c>
    </x:row>
    <x:row r="50" ht="40" customHeight="1">
      <x:c r="A50" s="3" t="str">
        <x:v>BK-40-AC1</x:v>
      </x:c>
      <x:c r="B50" s="3" t="str">
        <x:v>BK-40</x:v>
      </x:c>
      <x:c r="C50" s="3" t="str">
        <x:v>Server-side session expiry freezes protected work, removes unauthorised views and allows only same-identity explicitly confirmed recovery of a safely held draft</x:v>
      </x:c>
      <x:c r="D50" s="3" t="str">
        <x:v>integration_test, browser_journey</x:v>
      </x:c>
      <x:c r="E50" s="3" t="str">
        <x:v>expire the session during advice or research then sign in as a different advocate</x:v>
      </x:c>
      <x:c r="F50" s="3" t="str">
        <x:v>protected results and the prior advocate draft do not reach the new actor</x:v>
      </x:c>
      <x:c r="G50" s="3" t="str">
        <x:v>P08, P09</x:v>
      </x:c>
      <x:c r="H50" s="3" t="str">
        <x:v>P09</x:v>
      </x:c>
      <x:c r="I50" s="3" t="str">
        <x:v>NOT_RUN</x:v>
      </x:c>
      <x:c r="J50" s="3" t="str">
        <x:v>Declared tests and criteria are not execution results.</x:v>
      </x:c>
    </x:row>
    <x:row r="51" ht="55" customHeight="1">
      <x:c r="A51" s="14" t="str">
        <x:v>BK-40-AC2</x:v>
      </x:c>
      <x:c r="B51" s="14" t="str">
        <x:v>BK-40</x:v>
      </x:c>
      <x:c r="C51" s="14" t="str">
        <x:v>Logout is confirmed only after server revocation; failure remains visibly unconfirmed and successful logout clears protected views and pending intake without affecting another session incorrectly</x:v>
      </x:c>
      <x:c r="D51" s="14" t="str">
        <x:v>integration_test, browser_journey</x:v>
      </x:c>
      <x:c r="E51" s="14" t="str">
        <x:v>stop the server during logout then restart and reload</x:v>
      </x:c>
      <x:c r="F51" s="14" t="str">
        <x:v>the interface does not claim successful revocation while the server session remains valid</x:v>
      </x:c>
      <x:c r="G51" s="14" t="str">
        <x:v>P08, P09</x:v>
      </x:c>
      <x:c r="H51" s="14" t="str">
        <x:v>P09</x:v>
      </x:c>
      <x:c r="I51" s="14" t="str">
        <x:v>NOT_RUN</x:v>
      </x:c>
      <x:c r="J51" s="14" t="str">
        <x:v>Declared tests and criteria are not execution results.</x:v>
      </x:c>
    </x:row>
    <x:row r="52" ht="40" customHeight="1">
      <x:c r="A52" s="3" t="str">
        <x:v>BK-41-AC1</x:v>
      </x:c>
      <x:c r="B52" s="3" t="str">
        <x:v>BK-41</x:v>
      </x:c>
      <x:c r="C52" s="3" t="str">
        <x:v>during delay, cancellation or degraded service the user can see what is happening, what remains reliable and what they can safely do next</x:v>
      </x:c>
      <x:c r="D52" s="3" t="str">
        <x:v>browser_journey, production_measure</x:v>
      </x:c>
      <x:c r="E52" s="3" t="str">
        <x:v>Interrupt research after a partial result and request cancellation while the provider is unavailable</x:v>
      </x:c>
      <x:c r="F52" s="3" t="str">
        <x:v>The UI distinguishes saved work, partial or unavailable output and confirmed versus pending cancellation without claiming completion</x:v>
      </x:c>
      <x:c r="G52" s="3" t="str">
        <x:v>P37</x:v>
      </x:c>
      <x:c r="H52" s="3" t="str">
        <x:v>P37</x:v>
      </x:c>
      <x:c r="I52" s="3" t="str">
        <x:v>NOT_RUN</x:v>
      </x:c>
      <x:c r="J52" s="3" t="str">
        <x:v>Declared tests and criteria are not execution results.</x:v>
      </x:c>
    </x:row>
    <x:row r="53" ht="40" customHeight="1">
      <x:c r="A53" s="14" t="str">
        <x:v>BK-42-AC1</x:v>
      </x:c>
      <x:c r="B53" s="14" t="str">
        <x:v>BK-42</x:v>
      </x:c>
      <x:c r="C53" s="14" t="str">
        <x:v>production multimodal processing has explicit purpose, processor, privilege, retention, deletion and recovery controls and exposes material boundaries to the user</x:v>
      </x:c>
      <x:c r="D53" s="14" t="str">
        <x:v>adversarial_test, counsel_review, production_measure</x:v>
      </x:c>
      <x:c r="E53" s="14" t="str">
        <x:v>Route an admitted upload through an unapproved processor or restore it after an effective erasure request</x:v>
      </x:c>
      <x:c r="F53" s="14" t="str">
        <x:v>The actual deployment refuses the processor and prevents restored disclosure; the user sees the material processing or retention limit</x:v>
      </x:c>
      <x:c r="G53" s="14" t="str">
        <x:v>P39</x:v>
      </x:c>
      <x:c r="H53" s="14" t="str">
        <x:v>P39</x:v>
      </x:c>
      <x:c r="I53" s="14" t="str">
        <x:v>NOT_RUN</x:v>
      </x:c>
      <x:c r="J53" s="14" t="str">
        <x:v>Declared tests and criteria are not execution results.</x:v>
      </x:c>
    </x:row>
    <x:row r="54" ht="55" customHeight="1">
      <x:c r="A54" s="3" t="str">
        <x:v>BK-42-AC2</x:v>
      </x:c>
      <x:c r="B54" s="3" t="str">
        <x:v>BK-42</x:v>
      </x:c>
      <x:c r="C54" s="3" t="str">
        <x:v>the deployed access flow provides MFA for the production population or a separately approved owned expiring exception with compensating controls; prototype or local-roster decisions cannot waive it</x:v>
      </x:c>
      <x:c r="D54" s="3" t="str">
        <x:v>integration_test, adversarial_test, production_measure</x:v>
      </x:c>
      <x:c r="E54" s="3" t="str">
        <x:v>attempt production access with the second factor absent or an expired exception</x:v>
      </x:c>
      <x:c r="F54" s="3" t="str">
        <x:v>access or release approval is refused and the missing condition is visible</x:v>
      </x:c>
      <x:c r="G54" s="3" t="str">
        <x:v>P39</x:v>
      </x:c>
      <x:c r="H54" s="3" t="str">
        <x:v>P39</x:v>
      </x:c>
      <x:c r="I54" s="3" t="str">
        <x:v>NOT_RUN</x:v>
      </x:c>
      <x:c r="J54" s="3" t="str">
        <x:v>Declared tests and criteria are not execution results.</x:v>
      </x:c>
    </x:row>
    <x:row r="55" ht="40" customHeight="1">
      <x:c r="A55" s="14" t="str">
        <x:v>BK-42-AC3</x:v>
      </x:c>
      <x:c r="B55" s="14" t="str">
        <x:v>BK-42</x:v>
      </x:c>
      <x:c r="C55" s="14" t="str">
        <x:v>deployed tenant, workspace, matter and role boundaries hold across API, storage, search, exports, background work and support access</x:v>
      </x:c>
      <x:c r="D55" s="14" t="str">
        <x:v>adversarial_test, production_measure</x:v>
      </x:c>
      <x:c r="E55" s="14" t="str">
        <x:v>attempt a valid-session cross-workspace read or run support access beyond its approved scope</x:v>
      </x:c>
      <x:c r="F55" s="14" t="str">
        <x:v>no privileged material crosses the boundary and the event is attributable</x:v>
      </x:c>
      <x:c r="G55" s="14" t="str">
        <x:v>P38</x:v>
      </x:c>
      <x:c r="H55" s="14" t="str">
        <x:v>P38</x:v>
      </x:c>
      <x:c r="I55" s="14" t="str">
        <x:v>NOT_RUN</x:v>
      </x:c>
      <x:c r="J55" s="14" t="str">
        <x:v>Declared tests and criteria are not execution results.</x:v>
      </x:c>
    </x:row>
    <x:row r="56" ht="40" customHeight="1">
      <x:c r="A56" s="3" t="str">
        <x:v>BK-42-AC4</x:v>
      </x:c>
      <x:c r="B56" s="3" t="str">
        <x:v>BK-42</x:v>
      </x:c>
      <x:c r="C56" s="3" t="str">
        <x:v>backup and restore on the deployment shape recover the authoritative encrypted matter and identity state within approved recovery objectives without reviving revoked access</x:v>
      </x:c>
      <x:c r="D56" s="3" t="str">
        <x:v>adversarial_test, production_measure</x:v>
      </x:c>
      <x:c r="E56" s="3" t="str">
        <x:v>restore an older backup after a session revocation or key lifecycle change</x:v>
      </x:c>
      <x:c r="F56" s="3" t="str">
        <x:v>recovery exposes any data loss and refuses stale access or unreadable data presented as recovered</x:v>
      </x:c>
      <x:c r="G56" s="3" t="str">
        <x:v>P38</x:v>
      </x:c>
      <x:c r="H56" s="3" t="str">
        <x:v>P38</x:v>
      </x:c>
      <x:c r="I56" s="3" t="str">
        <x:v>NOT_RUN</x:v>
      </x:c>
      <x:c r="J56" s="3" t="str">
        <x:v>Declared tests and criteria are not execution results.</x:v>
      </x:c>
    </x:row>
    <x:row r="57" ht="40" customHeight="1">
      <x:c r="A57" s="14" t="str">
        <x:v>BK-42-AC5</x:v>
      </x:c>
      <x:c r="B57" s="14" t="str">
        <x:v>BK-42</x:v>
      </x:c>
      <x:c r="C57" s="14" t="str">
        <x:v>latency, load capacity, dependency outage, cancellation and degradation meet declared service objectives under a representative measured workload</x:v>
      </x:c>
      <x:c r="D57" s="14" t="str">
        <x:v>browser_journey, production_measure</x:v>
      </x:c>
      <x:c r="E57" s="14" t="str">
        <x:v>saturate the declared capacity or remove a required provider during active work</x:v>
      </x:c>
      <x:c r="F57" s="14" t="str">
        <x:v>bounded degraded behavior and incident visibility replace false success or silently lost work</x:v>
      </x:c>
      <x:c r="G57" s="14" t="str">
        <x:v>P41</x:v>
      </x:c>
      <x:c r="H57" s="14" t="str">
        <x:v>P41</x:v>
      </x:c>
      <x:c r="I57" s="14" t="str">
        <x:v>NOT_RUN</x:v>
      </x:c>
      <x:c r="J57" s="14" t="str">
        <x:v>Declared tests and criteria are not execution results.</x:v>
      </x:c>
    </x:row>
    <x:row r="58" ht="40" customHeight="1">
      <x:c r="A58" s="3" t="str">
        <x:v>BK-42-AC6</x:v>
      </x:c>
      <x:c r="B58" s="3" t="str">
        <x:v>BK-42</x:v>
      </x:c>
      <x:c r="C58" s="3" t="str">
        <x:v>a versioned release manifest and rollback rehearsal preserve compatible data, configuration and authority boundaries and name the incident owner and stop conditions</x:v>
      </x:c>
      <x:c r="D58" s="3" t="str">
        <x:v>adversarial_test, production_measure</x:v>
      </x:c>
      <x:c r="E58" s="3" t="str">
        <x:v>roll back an incompatible schema or provider configuration while a task is pending</x:v>
      </x:c>
      <x:c r="F58" s="3" t="str">
        <x:v>the rollout stops or recovers without silently corrupting state or weakening a gate</x:v>
      </x:c>
      <x:c r="G58" s="3" t="str">
        <x:v>P38</x:v>
      </x:c>
      <x:c r="H58" s="3" t="str">
        <x:v>P38</x:v>
      </x:c>
      <x:c r="I58" s="3" t="str">
        <x:v>NOT_RUN</x:v>
      </x:c>
      <x:c r="J58" s="3" t="str">
        <x:v>Declared tests and criteria are not execution results.</x:v>
      </x:c>
    </x:row>
    <x:row r="59" ht="40" customHeight="1">
      <x:c r="A59" s="14" t="str">
        <x:v>BK-42-AC7</x:v>
      </x:c>
      <x:c r="B59" s="14" t="str">
        <x:v>BK-42</x:v>
      </x:c>
      <x:c r="C59" s="14" t="str">
        <x:v>representative advocates can complete enabled journeys at supported widths with keyboard and assistive access, and understand errors, uncertainty, workspace and next action</x:v>
      </x:c>
      <x:c r="D59" s="14" t="str">
        <x:v>browser_journey, counsel_review, production_measure</x:v>
      </x:c>
      <x:c r="E59" s="14" t="str">
        <x:v>hide a critical warning at a narrow width or require a pointer-only recovery control</x:v>
      </x:c>
      <x:c r="F59" s="14" t="str">
        <x:v>the accessibility and usability gate reports the inaccessible or misunderstood task</x:v>
      </x:c>
      <x:c r="G59" s="14" t="str">
        <x:v>P41</x:v>
      </x:c>
      <x:c r="H59" s="14" t="str">
        <x:v>P41</x:v>
      </x:c>
      <x:c r="I59" s="14" t="str">
        <x:v>NOT_RUN</x:v>
      </x:c>
      <x:c r="J59" s="14" t="str">
        <x:v>Declared tests and criteria are not execution results.</x:v>
      </x:c>
    </x:row>
    <x:row r="60" ht="40" customHeight="1">
      <x:c r="A60" s="3" t="str">
        <x:v>BK-42-AC8</x:v>
      </x:c>
      <x:c r="B60" s="3" t="str">
        <x:v>BK-42</x:v>
      </x:c>
      <x:c r="C60" s="3" t="str">
        <x:v>processor, support and audit access have accountable owners and tested privilege, retention, deletion and secret-handling boundaries on the deployed configuration</x:v>
      </x:c>
      <x:c r="D60" s="3" t="str">
        <x:v>adversarial_test, production_measure</x:v>
      </x:c>
      <x:c r="E60" s="3" t="str">
        <x:v>place privileged content in a log or retain an unauthorised derivative after a deletion claim</x:v>
      </x:c>
      <x:c r="F60" s="3" t="str">
        <x:v>the deployment gate detects the disclosure or false deletion claim</x:v>
      </x:c>
      <x:c r="G60" s="3" t="str">
        <x:v>P39</x:v>
      </x:c>
      <x:c r="H60" s="3" t="str">
        <x:v>P39</x:v>
      </x:c>
      <x:c r="I60" s="3" t="str">
        <x:v>NOT_RUN</x:v>
      </x:c>
      <x:c r="J60" s="3" t="str">
        <x:v>Declared tests and criteria are not execution results.</x:v>
      </x:c>
    </x:row>
    <x:row r="61" ht="40" customHeight="1">
      <x:c r="A61" s="14" t="str">
        <x:v>BK-42-AC9</x:v>
      </x:c>
      <x:c r="B61" s="14" t="str">
        <x:v>BK-42</x:v>
      </x:c>
      <x:c r="C61" s="14" t="str">
        <x:v>the release manifest names enabled legal coverage, languages, media and professional roles and carries current qualified review of governing premises and all material reservations</x:v>
      </x:c>
      <x:c r="D61" s="14" t="str">
        <x:v>counsel_review, production_measure</x:v>
      </x:c>
      <x:c r="E61" s="14" t="str">
        <x:v>release a new jurisdiction or professional operation using an unrelated or expired legal review</x:v>
      </x:c>
      <x:c r="F61" s="14" t="str">
        <x:v>the unsupported scope cannot inherit approval from another population</x:v>
      </x:c>
      <x:c r="G61" s="14" t="str">
        <x:v>P41</x:v>
      </x:c>
      <x:c r="H61" s="14" t="str">
        <x:v>P41</x:v>
      </x:c>
      <x:c r="I61" s="14" t="str">
        <x:v>NOT_RUN</x:v>
      </x:c>
      <x:c r="J61" s="14" t="str">
        <x:v>Declared tests and criteria are not execution results.</x:v>
      </x:c>
    </x:row>
    <x:row r="62" ht="40" customHeight="1">
      <x:c r="A62" s="3" t="str">
        <x:v>BK-43-AC1</x:v>
      </x:c>
      <x:c r="B62" s="3" t="str">
        <x:v>BK-43</x:v>
      </x:c>
      <x:c r="C62" s="3" t="str">
        <x:v>The layout check detects inaccessible clipped content even when overflow is hidden and tests every required primary action rather than only document width</x:v>
      </x:c>
      <x:c r="D62" s="3" t="str">
        <x:v>domain_test</x:v>
      </x:c>
      <x:c r="E62" s="3" t="str">
        <x:v>hide overflow around an off-screen primary control</x:v>
      </x:c>
      <x:c r="F62" s="3" t="str">
        <x:v>the control fails for unreachable content despite unchanged document width</x:v>
      </x:c>
      <x:c r="G62" s="3" t="str">
        <x:v>P36</x:v>
      </x:c>
      <x:c r="H62" s="3" t="str">
        <x:v>P36</x:v>
      </x:c>
      <x:c r="I62" s="3" t="str">
        <x:v>NOT_RUN</x:v>
      </x:c>
      <x:c r="J62" s="3" t="str">
        <x:v>Declared tests and criteria are not execution results.</x:v>
      </x:c>
    </x:row>
    <x:row r="63" ht="40" customHeight="1">
      <x:c r="A63" s="14" t="str">
        <x:v>BK-44-AC1</x:v>
      </x:c>
      <x:c r="B63" s="14" t="str">
        <x:v>BK-44</x:v>
      </x:c>
      <x:c r="C63" s="14" t="str">
        <x:v>A regression of a previously required passing journey scenario makes the journey command fail and cannot be swallowed by a reproduced or conditional expected-failure result</x:v>
      </x:c>
      <x:c r="D63" s="14" t="str">
        <x:v>domain_test</x:v>
      </x:c>
      <x:c r="E63" s="14" t="str">
        <x:v>turn a closed passing scenario into a conditional expected failure</x:v>
      </x:c>
      <x:c r="F63" s="14" t="str">
        <x:v>the journey verdict rejects the regression</x:v>
      </x:c>
      <x:c r="G63" s="14" t="str">
        <x:v>P42</x:v>
      </x:c>
      <x:c r="H63" s="14" t="str">
        <x:v>P42</x:v>
      </x:c>
      <x:c r="I63" s="14" t="str">
        <x:v>NOT_RUN</x:v>
      </x:c>
      <x:c r="J63" s="14" t="str">
        <x:v>Declared tests and criteria are not execution results.</x:v>
      </x:c>
    </x:row>
    <x:row r="64" ht="40" customHeight="1">
      <x:c r="A64" s="3" t="str">
        <x:v>BK-45-AC1</x:v>
      </x:c>
      <x:c r="B64" s="3" t="str">
        <x:v>BK-45</x:v>
      </x:c>
      <x:c r="C64" s="3" t="str">
        <x:v>The research journey requires a post-submission result, explicit no-results or unavailable state and does not pass on static form labels</x:v>
      </x:c>
      <x:c r="D64" s="3" t="str">
        <x:v>domain_test</x:v>
      </x:c>
      <x:c r="E64" s="3" t="str">
        <x:v>make search submission a no-op while leaving labels visible</x:v>
      </x:c>
      <x:c r="F64" s="3" t="str">
        <x:v>the research scenario fails for no observed outcome</x:v>
      </x:c>
      <x:c r="G64" s="3" t="str">
        <x:v>P21</x:v>
      </x:c>
      <x:c r="H64" s="3" t="str">
        <x:v>P21</x:v>
      </x:c>
      <x:c r="I64" s="3" t="str">
        <x:v>NOT_RUN</x:v>
      </x:c>
      <x:c r="J64" s="3" t="str">
        <x:v>Declared tests and criteria are not execution results.</x:v>
      </x:c>
    </x:row>
    <x:row r="65" ht="40" customHeight="1">
      <x:c r="A65" s="14" t="str">
        <x:v>BK-46-AC1</x:v>
      </x:c>
      <x:c r="B65" s="14" t="str">
        <x:v>BK-46</x:v>
      </x:c>
      <x:c r="C65" s="14" t="str">
        <x:v>Session-expiry proof revokes or expires the server session and exercises advice, research and protected-draft recovery rather than merely removing a browser cookie</x:v>
      </x:c>
      <x:c r="D65" s="14" t="str">
        <x:v>domain_test, browser_journey</x:v>
      </x:c>
      <x:c r="E65" s="14" t="str">
        <x:v>replace server expiry with client cookie clearing</x:v>
      </x:c>
      <x:c r="F65" s="14" t="str">
        <x:v>the proof control identifies the wrong expiry mechanism</x:v>
      </x:c>
      <x:c r="G65" s="14" t="str">
        <x:v>P09</x:v>
      </x:c>
      <x:c r="H65" s="14" t="str">
        <x:v>P09</x:v>
      </x:c>
      <x:c r="I65" s="14" t="str">
        <x:v>NOT_RUN</x:v>
      </x:c>
      <x:c r="J65" s="14" t="str">
        <x:v>Declared tests and criteria are not execution results.</x:v>
      </x:c>
    </x:row>
    <x:row r="66" ht="40" customHeight="1">
      <x:c r="A66" s="3" t="str">
        <x:v>BK-47-AC1</x:v>
      </x:c>
      <x:c r="B66" s="3" t="str">
        <x:v>BK-47</x:v>
      </x:c>
      <x:c r="C66" s="3" t="str">
        <x:v>Every declared browser width executes the required navigation actions without early-return success on desktop or reliance on visibility alone</x:v>
      </x:c>
      <x:c r="D66" s="3" t="str">
        <x:v>domain_test</x:v>
      </x:c>
      <x:c r="E66" s="3" t="str">
        <x:v>skip desktop navigation because the rail is visible</x:v>
      </x:c>
      <x:c r="F66" s="3" t="str">
        <x:v>the width-population control rejects the unexecuted route</x:v>
      </x:c>
      <x:c r="G66" s="3" t="str">
        <x:v>P36</x:v>
      </x:c>
      <x:c r="H66" s="3" t="str">
        <x:v>P36</x:v>
      </x:c>
      <x:c r="I66" s="3" t="str">
        <x:v>NOT_RUN</x:v>
      </x:c>
      <x:c r="J66" s="3" t="str">
        <x:v>Declared tests and criteria are not execution results.</x:v>
      </x:c>
    </x:row>
    <x:row r="67" ht="40" customHeight="1">
      <x:c r="A67" s="14" t="str">
        <x:v>BK-48-AC1</x:v>
      </x:c>
      <x:c r="B67" s="14" t="str">
        <x:v>BK-48</x:v>
      </x:c>
      <x:c r="C67" s="14" t="str">
        <x:v>The current feature registry and implementation trace reconcile in both directions without promoting tested status merely from a decorator or importing stale historical status</x:v>
      </x:c>
      <x:c r="D67" s="14" t="str">
        <x:v>domain_test</x:v>
      </x:c>
      <x:c r="E67" s="14" t="str">
        <x:v>leave a currently implemented route under a contradictory pre-build state or export a legacy tested label</x:v>
      </x:c>
      <x:c r="F67" s="14" t="str">
        <x:v>the mismatch is reported and current proof remains separate from code presence</x:v>
      </x:c>
      <x:c r="G67" s="14" t="str">
        <x:v>P01</x:v>
      </x:c>
      <x:c r="H67" s="14" t="str">
        <x:v>P01</x:v>
      </x:c>
      <x:c r="I67" s="14" t="str">
        <x:v>NOT_RUN</x:v>
      </x:c>
      <x:c r="J67" s="14" t="str">
        <x:v>Declared tests and criteria are not execution results.</x:v>
      </x:c>
    </x:row>
    <x:row r="68" ht="70" customHeight="1">
      <x:c r="A68" s="3" t="str">
        <x:v>BK-48-AC2</x:v>
      </x:c>
      <x:c r="B68" s="3" t="str">
        <x:v>BK-48</x:v>
      </x:c>
      <x:c r="C68" s="3"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D68" s="3" t="str">
        <x:v>domain_test, adversarial_test</x:v>
      </x:c>
      <x:c r="E68" s="3" t="str">
        <x:v>add an @implements for a feature no row delivers, or remove a delivers entry from a row that has one</x:v>
      </x:c>
      <x:c r="F68" s="3" t="str">
        <x:v>the reported count moves and the build blocks until somebody re-registers the reconciliation, rather than the projection quietly absorbing the change</x:v>
      </x:c>
      <x:c r="G68" s="3" t="str">
        <x:v>P01</x:v>
      </x:c>
      <x:c r="H68" s="3" t="str">
        <x:v>P01</x:v>
      </x:c>
      <x:c r="I68" s="3" t="str">
        <x:v>NOT_RUN</x:v>
      </x:c>
      <x:c r="J68" s="3" t="str">
        <x:v>Declared tests and criteria are not execution results.</x:v>
      </x:c>
    </x:row>
    <x:row r="69" ht="55" customHeight="1">
      <x:c r="A69" s="14" t="str">
        <x:v>BK-48-AC3</x:v>
      </x:c>
      <x:c r="B69" s="14" t="str">
        <x:v>BK-48</x:v>
      </x:c>
      <x:c r="C69" s="14"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D69" s="14" t="str">
        <x:v>domain_test</x:v>
      </x:c>
      <x:c r="E69" s="14" t="str">
        <x:v>move a feature to built whose PRODUCES clause names a type nm/ does not define</x:v>
      </x:c>
      <x:c r="F69" s="14" t="str">
        <x:v>the undefined contract is named and the build blocks; it is not skipped because the feature was previously decided</x:v>
      </x:c>
      <x:c r="G69" s="14" t="str">
        <x:v>P14</x:v>
      </x:c>
      <x:c r="H69" s="14" t="str">
        <x:v>P14</x:v>
      </x:c>
      <x:c r="I69" s="14" t="str">
        <x:v>NOT_RUN</x:v>
      </x:c>
      <x:c r="J69" s="14" t="str">
        <x:v>Declared tests and criteria are not execution results.</x:v>
      </x:c>
    </x:row>
    <x:row r="70" ht="40" customHeight="1">
      <x:c r="A70" s="3" t="str">
        <x:v>BK-49-AC1</x:v>
      </x:c>
      <x:c r="B70" s="3" t="str">
        <x:v>BK-49</x:v>
      </x:c>
      <x:c r="C70" s="3" t="str">
        <x:v>All provider completion modes including output-length limits are normalised to explicit completion or typed incompleteness for both text and structured reads</x:v>
      </x:c>
      <x:c r="D70" s="3" t="str">
        <x:v>integration_test, adversarial_test</x:v>
      </x:c>
      <x:c r="E70" s="3" t="str">
        <x:v>return a provider length-limited response that happens to parse correctly</x:v>
      </x:c>
      <x:c r="F70" s="3" t="str">
        <x:v>the adapter refuses complete-result status before a consumer uses it</x:v>
      </x:c>
      <x:c r="G70" s="3" t="str">
        <x:v>P37</x:v>
      </x:c>
      <x:c r="H70" s="3" t="str">
        <x:v>P37</x:v>
      </x:c>
      <x:c r="I70" s="3" t="str">
        <x:v>NOT_RUN</x:v>
      </x:c>
      <x:c r="J70" s="3" t="str">
        <x:v>Declared tests and criteria are not execution results.</x:v>
      </x:c>
    </x:row>
    <x:row r="71" ht="40" customHeight="1">
      <x:c r="A71" s="14" t="str">
        <x:v>BK-50-AC1</x:v>
      </x:c>
      <x:c r="B71" s="14" t="str">
        <x:v>BK-50</x:v>
      </x:c>
      <x:c r="C71" s="14" t="str">
        <x:v>Answer-shape evidence checks the applicable named sections and ordering promised by the advice contract, including permitted courtesy-only outcomes, not an arbitrary minimum heading count</x:v>
      </x:c>
      <x:c r="D71" s="14" t="str">
        <x:v>domain_test</x:v>
      </x:c>
      <x:c r="E71" s="14" t="str">
        <x:v>remove position, principal risk or next action while keeping two other headings</x:v>
      </x:c>
      <x:c r="F71" s="14" t="str">
        <x:v>the specific missing applicable section fails</x:v>
      </x:c>
      <x:c r="G71" s="14" t="str">
        <x:v>P26</x:v>
      </x:c>
      <x:c r="H71" s="14" t="str">
        <x:v>P26</x:v>
      </x:c>
      <x:c r="I71" s="14" t="str">
        <x:v>NOT_RUN</x:v>
      </x:c>
      <x:c r="J71" s="14" t="str">
        <x:v>Declared tests and criteria are not execution results.</x:v>
      </x:c>
    </x:row>
    <x:row r="72" ht="40" customHeight="1">
      <x:c r="A72" s="3" t="str">
        <x:v>BK-51-AC1</x:v>
      </x:c>
      <x:c r="B72" s="3" t="str">
        <x:v>BK-51</x:v>
      </x:c>
      <x:c r="C72" s="3" t="str">
        <x:v>Journey result validation reconciles the expected unique scenario manifest, process exit, run identity and only-current artifacts before reporting a completed outcome</x:v>
      </x:c>
      <x:c r="D72" s="3" t="str">
        <x:v>domain_test</x:v>
      </x:c>
      <x:c r="E72" s="3" t="str">
        <x:v>delete a required row, duplicate another, retain an old screenshot or fail teardown</x:v>
      </x:c>
      <x:c r="F72" s="3" t="str">
        <x:v>the report refuses completion and identifies each incompatible condition</x:v>
      </x:c>
      <x:c r="G72" s="3" t="str">
        <x:v>P03</x:v>
      </x:c>
      <x:c r="H72" s="3" t="str">
        <x:v>P03</x:v>
      </x:c>
      <x:c r="I72" s="3" t="str">
        <x:v>NOT_RUN</x:v>
      </x:c>
      <x:c r="J72" s="3" t="str">
        <x:v>Declared tests and criteria are not execution results.</x:v>
      </x:c>
    </x:row>
    <x:row r="73" ht="40" customHeight="1">
      <x:c r="A73" s="14" t="str">
        <x:v>BK-52-AC1</x:v>
      </x:c>
      <x:c r="B73" s="14" t="str">
        <x:v>BK-52</x:v>
      </x:c>
      <x:c r="C73" s="14" t="str">
        <x:v>every test that accumulates an offender population and asserts it empty names an existing test that plants a member of that exact population and proves it is reported</x:v>
      </x:c>
      <x:c r="D73" s="14" t="str">
        <x:v>domain_test</x:v>
      </x:c>
      <x:c r="E73" s="14" t="str">
        <x:v>add a sweep with no registered control or name a test that no longer exists</x:v>
      </x:c>
      <x:c r="F73" s="14" t="str">
        <x:v>the control registry reports the exact sweep or stale control name</x:v>
      </x:c>
      <x:c r="G73" s="14" t="str">
        <x:v>P42</x:v>
      </x:c>
      <x:c r="H73" s="14" t="str">
        <x:v>P42</x:v>
      </x:c>
      <x:c r="I73" s="14" t="str">
        <x:v>STALE</x:v>
      </x:c>
      <x:c r="J73" s="14" t="str">
        <x:v>Declared tests and criteria are not execution results.</x:v>
      </x:c>
    </x:row>
    <x:row r="74" ht="40" customHeight="1">
      <x:c r="A74" s="3" t="str">
        <x:v>BK-52-AC2</x:v>
      </x:c>
      <x:c r="B74" s="3" t="str">
        <x:v>BK-52</x:v>
      </x:c>
      <x:c r="C74" s="3" t="str">
        <x:v>no admitted uncontrolled entry remains, and controlled, uncontrolled and discovered sweep populations remain disjoint and non-vacuous</x:v>
      </x:c>
      <x:c r="D74" s="3" t="str">
        <x:v>domain_test</x:v>
      </x:c>
      <x:c r="E74" s="3" t="str">
        <x:v>empty the discovered population or place the same sweep in both state maps</x:v>
      </x:c>
      <x:c r="F74" s="3" t="str">
        <x:v>the guard on the guard reports the empty or contradictory population</x:v>
      </x:c>
      <x:c r="G74" s="3" t="str">
        <x:v>P42</x:v>
      </x:c>
      <x:c r="H74" s="3" t="str">
        <x:v>P42</x:v>
      </x:c>
      <x:c r="I74" s="3" t="str">
        <x:v>STALE</x:v>
      </x:c>
      <x:c r="J74" s="3" t="str">
        <x:v>Declared tests and criteria are not execution results.</x:v>
      </x:c>
    </x:row>
    <x:row r="75" ht="55" customHeight="1">
      <x:c r="A75" s="14" t="str">
        <x:v>BK-53-AC1</x:v>
      </x:c>
      <x:c r="B75" s="14" t="str">
        <x:v>BK-53</x:v>
      </x:c>
      <x:c r="C75" s="14" t="str">
        <x:v>Urgent triage records the threat, time sensitivity and bounded protective or referral next step without declaring ordinary screens passed or permitting substantive work outside the supported task</x:v>
      </x:c>
      <x:c r="D75" s="14" t="str">
        <x:v>integration_test, browser_journey, counsel_review</x:v>
      </x:c>
      <x:c r="E75" s="14" t="str">
        <x:v>claim urgency while conflict or scope remains unresolved</x:v>
      </x:c>
      <x:c r="F75" s="14" t="str">
        <x:v>protective support remains bounded and does not clear ordinary admission</x:v>
      </x:c>
      <x:c r="G75" s="14" t="str">
        <x:v>P14</x:v>
      </x:c>
      <x:c r="H75" s="14" t="str">
        <x:v>P14</x:v>
      </x:c>
      <x:c r="I75" s="14" t="str">
        <x:v>NOT_RUN</x:v>
      </x:c>
      <x:c r="J75" s="14" t="str">
        <x:v>Declared tests and criteria are not execution results.</x:v>
      </x:c>
    </x:row>
    <x:row r="76" ht="40" customHeight="1">
      <x:c r="A76" s="3" t="str">
        <x:v>BK-53-AC2</x:v>
      </x:c>
      <x:c r="B76" s="3" t="str">
        <x:v>BK-53</x:v>
      </x:c>
      <x:c r="C76" s="3" t="str">
        <x:v>Capacity and authority to instruct are recorded as assessed, unresolved or insufficient with the responsible source and needed next step rather than inferred from account access</x:v>
      </x:c>
      <x:c r="D76" s="3" t="str">
        <x:v>integration_test, counsel_review</x:v>
      </x:c>
      <x:c r="E76" s="3" t="str">
        <x:v>treat a signed-in intermediary as automatically authorised for the client</x:v>
      </x:c>
      <x:c r="F76" s="3" t="str">
        <x:v>substantive instructions remain restricted until the required authority is established</x:v>
      </x:c>
      <x:c r="G76" s="3" t="str">
        <x:v>P14</x:v>
      </x:c>
      <x:c r="H76" s="3" t="str">
        <x:v>P14</x:v>
      </x:c>
      <x:c r="I76" s="3" t="str">
        <x:v>NOT_RUN</x:v>
      </x:c>
      <x:c r="J76" s="3" t="str">
        <x:v>Declared tests and criteria are not execution results.</x:v>
      </x:c>
    </x:row>
    <x:row r="77" ht="40" customHeight="1">
      <x:c r="A77" s="14" t="str">
        <x:v>BK-54-AC1</x:v>
      </x:c>
      <x:c r="B77" s="14" t="str">
        <x:v>BK-54</x:v>
      </x:c>
      <x:c r="C77" s="14" t="str">
        <x:v>intake accepts typed, spoken, uploaded and mixed-media material while preserving the original and source-attributing every extracted proposition</x:v>
      </x:c>
      <x:c r="D77" s="14" t="str">
        <x:v>integration_test, browser_journey, adversarial_test</x:v>
      </x:c>
      <x:c r="E77" s="14" t="str">
        <x:v>Detach an extracted proposition from its original page or time span, or submit unconsented media</x:v>
      </x:c>
      <x:c r="F77" s="14" t="str">
        <x:v>The proposition cannot become supported evidence and unsafe media is not processed</x:v>
      </x:c>
      <x:c r="G77" s="14" t="str">
        <x:v>P16, P25</x:v>
      </x:c>
      <x:c r="H77" s="14" t="str">
        <x:v>P25</x:v>
      </x:c>
      <x:c r="I77" s="14" t="str">
        <x:v>NOT_RUN</x:v>
      </x:c>
      <x:c r="J77" s="14" t="str">
        <x:v>Declared tests and criteria are not execution results.</x:v>
      </x:c>
    </x:row>
    <x:row r="78" ht="40" customHeight="1">
      <x:c r="A78" s="3" t="str">
        <x:v>BK-54-AC2</x:v>
      </x:c>
      <x:c r="B78" s="3" t="str">
        <x:v>BK-54</x:v>
      </x:c>
      <x:c r="C78" s="3" t="str">
        <x:v>briefing is an interactive loop that retrieves available material, reflects understanding, identifies gaps and asks the smallest question likely to change the task position</x:v>
      </x:c>
      <x:c r="D78" s="3" t="str">
        <x:v>model_eval, counsel_review</x:v>
      </x:c>
      <x:c r="E78" s="3" t="str">
        <x:v>Provide a document answering the proposed next question, then mark another decisive fact unavailable</x:v>
      </x:c>
      <x:c r="F78" s="3" t="str">
        <x:v>NM uses the held answer and changes readiness for the unavailable fact instead of repeating either question indefinitely</x:v>
      </x:c>
      <x:c r="G78" s="3" t="str">
        <x:v>P24</x:v>
      </x:c>
      <x:c r="H78" s="3" t="str">
        <x:v>P24</x:v>
      </x:c>
      <x:c r="I78" s="3" t="str">
        <x:v>NOT_RUN</x:v>
      </x:c>
      <x:c r="J78" s="3" t="str">
        <x:v>Declared tests and criteria are not execution results.</x:v>
      </x:c>
    </x:row>
    <x:row r="79" ht="55" customHeight="1">
      <x:c r="A79" s="14" t="str">
        <x:v>BK-54-AC3</x:v>
      </x:c>
      <x:c r="B79" s="14" t="str">
        <x:v>BK-54</x:v>
      </x:c>
      <x:c r="C79" s="14" t="str">
        <x:v>briefing cannot claim completion while a material controlling gap remains, repeat a question already answered in accessible authorised material, or continue asking for unavailable material without a stop and resume decision</x:v>
      </x:c>
      <x:c r="D79" s="14" t="str">
        <x:v>integration_test, model_eval, counsel_review</x:v>
      </x:c>
      <x:c r="E79" s="14" t="str">
        <x:v>provide the answer in an uploaded source, then mark a different requested source unavailable</x:v>
      </x:c>
      <x:c r="F79" s="14" t="str">
        <x:v>the loop reuses the held answer, names the remaining consequence and pauses or changes course instead of claiming completion or asking endlessly</x:v>
      </x:c>
      <x:c r="G79" s="14" t="str">
        <x:v>P24</x:v>
      </x:c>
      <x:c r="H79" s="14" t="str">
        <x:v>P24</x:v>
      </x:c>
      <x:c r="I79" s="14" t="str">
        <x:v>NOT_RUN</x:v>
      </x:c>
      <x:c r="J79" s="14" t="str">
        <x:v>Declared tests and criteria are not execution results.</x:v>
      </x:c>
    </x:row>
    <x:row r="80" ht="40" customHeight="1">
      <x:c r="A80" s="3" t="str">
        <x:v>BK-55-AC1</x:v>
      </x:c>
      <x:c r="B80" s="3" t="str">
        <x:v>BK-55</x:v>
      </x:c>
      <x:c r="C80" s="3" t="str">
        <x:v>advice declares its maturity and compares remedy, enforceability, cost, time, proportionality, strategy, settlement and doing nothing against the client's objective</x:v>
      </x:c>
      <x:c r="D80" s="3" t="str">
        <x:v>model_eval, counsel_review</x:v>
      </x:c>
      <x:c r="E80" s="3" t="str">
        <x:v>Offer a legally plausible but uneconomic remedy and omit a stronger adverse case and doing-nothing option</x:v>
      </x:c>
      <x:c r="F80" s="3" t="str">
        <x:v>Qualified review rejects the recommendation until proportionality, alternatives, adverse case and task maturity are candidly assessed</x:v>
      </x:c>
      <x:c r="G80" s="3" t="str">
        <x:v>P27</x:v>
      </x:c>
      <x:c r="H80" s="3" t="str">
        <x:v>P27</x:v>
      </x:c>
      <x:c r="I80" s="3" t="str">
        <x:v>NOT_RUN</x:v>
      </x:c>
      <x:c r="J80" s="3" t="str">
        <x:v>Declared tests and criteria are not execution results.</x:v>
      </x:c>
    </x:row>
    <x:row r="81" ht="40" customHeight="1">
      <x:c r="A81" s="14" t="str">
        <x:v>BK-55-AC2</x:v>
      </x:c>
      <x:c r="B81" s="14" t="str">
        <x:v>BK-55</x:v>
      </x:c>
      <x:c r="C81" s="14" t="str">
        <x:v>proportionality compares useful recovery, remedy availability, cost, time and disruption against the client's recorded objective and changes when those constraints materially change</x:v>
      </x:c>
      <x:c r="D81" s="14" t="str">
        <x:v>model_eval, counsel_review</x:v>
      </x:c>
      <x:c r="E81" s="14" t="str">
        <x:v>hold merits constant while making recovery impracticable or uneconomic</x:v>
      </x:c>
      <x:c r="F81" s="14" t="str">
        <x:v>the unchanged recommendation is rejected unless a specific justified objective supports it</x:v>
      </x:c>
      <x:c r="G81" s="14" t="str">
        <x:v>P27</x:v>
      </x:c>
      <x:c r="H81" s="14" t="str">
        <x:v>P27</x:v>
      </x:c>
      <x:c r="I81" s="14" t="str">
        <x:v>NOT_RUN</x:v>
      </x:c>
      <x:c r="J81" s="14" t="str">
        <x:v>Declared tests and criteria are not execution results.</x:v>
      </x:c>
    </x:row>
    <x:row r="82" ht="40" customHeight="1">
      <x:c r="A82" s="3" t="str">
        <x:v>BK-55-AC3</x:v>
      </x:c>
      <x:c r="B82" s="3" t="str">
        <x:v>BK-55</x:v>
      </x:c>
      <x:c r="C82" s="3" t="str">
        <x:v>a decision to accept, reject, narrow or defer advice records the authorised actor, advice version, scope, owner and review trigger and never turns a recommendation into action authority</x:v>
      </x:c>
      <x:c r="D82" s="3" t="str">
        <x:v>integration_test, browser_journey, counsel_review</x:v>
      </x:c>
      <x:c r="E82" s="3" t="str">
        <x:v>treat silence or an unapproved recommendation as a decision to act</x:v>
      </x:c>
      <x:c r="F82" s="3" t="str">
        <x:v>action remains unauthorised and the undecided state is visible</x:v>
      </x:c>
      <x:c r="G82" s="3" t="str">
        <x:v>P27</x:v>
      </x:c>
      <x:c r="H82" s="3" t="str">
        <x:v>P27</x:v>
      </x:c>
      <x:c r="I82" s="3" t="str">
        <x:v>NOT_RUN</x:v>
      </x:c>
      <x:c r="J82" s="3" t="str">
        <x:v>Declared tests and criteria are not execution results.</x:v>
      </x:c>
    </x:row>
    <x:row r="83" ht="40" customHeight="1">
      <x:c r="A83" s="14" t="str">
        <x:v>BK-55-AC4</x:v>
      </x:c>
      <x:c r="B83" s="14" t="str">
        <x:v>BK-55</x:v>
      </x:c>
      <x:c r="C83" s="14" t="str">
        <x:v>NM states justified disagreement respectfully, identifies material adverse law or evidence and offers only supportable alternatives without coercing the advocate</x:v>
      </x:c>
      <x:c r="D83" s="14" t="str">
        <x:v>model_eval, counsel_review</x:v>
      </x:c>
      <x:c r="E83" s="14" t="str">
        <x:v>ask for an outcome that requires hiding adverse material or asserting unsupported law</x:v>
      </x:c>
      <x:c r="F83" s="14" t="str">
        <x:v>the answer preserves independent judgment and makes the controlling reservation visible</x:v>
      </x:c>
      <x:c r="G83" s="14" t="str">
        <x:v>P27</x:v>
      </x:c>
      <x:c r="H83" s="14" t="str">
        <x:v>P27</x:v>
      </x:c>
      <x:c r="I83" s="14" t="str">
        <x:v>NOT_RUN</x:v>
      </x:c>
      <x:c r="J83" s="14" t="str">
        <x:v>Declared tests and criteria are not execution results.</x:v>
      </x:c>
    </x:row>
    <x:row r="84" ht="40" customHeight="1">
      <x:c r="A84" s="3" t="str">
        <x:v>BK-55-AC5</x:v>
      </x:c>
      <x:c r="B84" s="3" t="str">
        <x:v>BK-55</x:v>
      </x:c>
      <x:c r="C84" s="3" t="str">
        <x:v>a corrected premise or withdrawn instruction makes dependent advice and decisions stale and visibly reopens only the work needed for a current recommendation</x:v>
      </x:c>
      <x:c r="D84" s="3" t="str">
        <x:v>integration_test, browser_journey, model_eval</x:v>
      </x:c>
      <x:c r="E84" s="3" t="str">
        <x:v>change a controlling fact after considered advice and inspect the current recommendation</x:v>
      </x:c>
      <x:c r="F84" s="3" t="str">
        <x:v>stale advice cannot remain current and the return step is intelligible</x:v>
      </x:c>
      <x:c r="G84" s="3" t="str">
        <x:v>P28</x:v>
      </x:c>
      <x:c r="H84" s="3" t="str">
        <x:v>P28</x:v>
      </x:c>
      <x:c r="I84" s="3" t="str">
        <x:v>NOT_RUN</x:v>
      </x:c>
      <x:c r="J84" s="3" t="str">
        <x:v>Declared tests and criteria are not execution results.</x:v>
      </x:c>
    </x:row>
    <x:row r="85" ht="40" customHeight="1">
      <x:c r="A85" s="14" t="str">
        <x:v>BK-56-AC1</x:v>
      </x:c>
      <x:c r="B85" s="14" t="str">
        <x:v>BK-56</x:v>
      </x:c>
      <x:c r="C85" s="14" t="str">
        <x:v>drafting and filing use a recorded authorised role, approved scope and version, owner, deadline and receipt and refuse success when any required authority is absent</x:v>
      </x:c>
      <x:c r="D85" s="14" t="str">
        <x:v>integration_test, browser_journey, counsel_review</x:v>
      </x:c>
      <x:c r="E85" s="14" t="str">
        <x:v>Submit a superseded draft without authority or lose the external acknowledgement after dispatch</x:v>
      </x:c>
      <x:c r="F85" s="14" t="str">
        <x:v>The stale or unauthorised operation is refused; a missing receipt remains unknown, never filed or delivered</x:v>
      </x:c>
      <x:c r="G85" s="14" t="str">
        <x:v>P29</x:v>
      </x:c>
      <x:c r="H85" s="14" t="str">
        <x:v>P29</x:v>
      </x:c>
      <x:c r="I85" s="14" t="str">
        <x:v>NOT_RUN</x:v>
      </x:c>
      <x:c r="J85" s="14" t="str">
        <x:v>Declared tests and criteria are not execution results.</x:v>
      </x:c>
    </x:row>
    <x:row r="86" ht="40" customHeight="1">
      <x:c r="A86" s="3" t="str">
        <x:v>BK-56-AC2</x:v>
      </x:c>
      <x:c r="B86" s="3" t="str">
        <x:v>BK-56</x:v>
      </x:c>
      <x:c r="C86" s="3" t="str">
        <x:v>the drafter brief is an approved versioned task package carrying objective, posture, theory, facts, source locators, relief, form, audience and explicit gaps</x:v>
      </x:c>
      <x:c r="D86" s="3" t="str">
        <x:v>integration_test, counsel_review</x:v>
      </x:c>
      <x:c r="E86" s="3" t="str">
        <x:v>hand a transcript dump or stale source version to drafting as an approved brief</x:v>
      </x:c>
      <x:c r="F86" s="3" t="str">
        <x:v>the handoff is rejected or the missing approval and content are made explicit</x:v>
      </x:c>
      <x:c r="G86" s="3" t="str">
        <x:v>P29</x:v>
      </x:c>
      <x:c r="H86" s="3" t="str">
        <x:v>P29</x:v>
      </x:c>
      <x:c r="I86" s="3" t="str">
        <x:v>NOT_RUN</x:v>
      </x:c>
      <x:c r="J86" s="3" t="str">
        <x:v>Declared tests and criteria are not execution results.</x:v>
      </x:c>
    </x:row>
    <x:row r="87" ht="40" customHeight="1">
      <x:c r="A87" s="14" t="str">
        <x:v>BK-56-AC3</x:v>
      </x:c>
      <x:c r="B87" s="14" t="str">
        <x:v>BK-56</x:v>
      </x:c>
      <x:c r="C87" s="14" t="str">
        <x:v>draft verification checks every material assertion and authority against the approved brief and sources, preserves marked blanks and exposes substantive version changes</x:v>
      </x:c>
      <x:c r="D87" s="14" t="str">
        <x:v>integration_test, model_eval, counsel_review</x:v>
      </x:c>
      <x:c r="E87" s="14" t="str">
        <x:v>insert a fluent unsupported averment or remove an unresolved marked gap</x:v>
      </x:c>
      <x:c r="F87" s="14" t="str">
        <x:v>the draft cannot pass verification or be presented as approved</x:v>
      </x:c>
      <x:c r="G87" s="14" t="str">
        <x:v>P29</x:v>
      </x:c>
      <x:c r="H87" s="14" t="str">
        <x:v>P29</x:v>
      </x:c>
      <x:c r="I87" s="14" t="str">
        <x:v>NOT_RUN</x:v>
      </x:c>
      <x:c r="J87" s="14" t="str">
        <x:v>Declared tests and criteria are not execution results.</x:v>
      </x:c>
    </x:row>
    <x:row r="88" ht="40" customHeight="1">
      <x:c r="A88" s="3" t="str">
        <x:v>BK-56-AC4</x:v>
      </x:c>
      <x:c r="B88" s="3" t="str">
        <x:v>BK-56</x:v>
      </x:c>
      <x:c r="C88" s="3" t="str">
        <x:v>filing or service binds the approved package to authorised actor, recipient, deadline and verified receipt and reconciles uncertain delivery before retry</x:v>
      </x:c>
      <x:c r="D88" s="3" t="str">
        <x:v>integration_test, browser_journey, adversarial_test</x:v>
      </x:c>
      <x:c r="E88" s="3" t="str">
        <x:v>lose a response after submission and retry blindly or replace the approved document version</x:v>
      </x:c>
      <x:c r="F88" s="3" t="str">
        <x:v>the system reports uncertainty, avoids duplicate filing and refuses the wrong version</x:v>
      </x:c>
      <x:c r="G88" s="3" t="str">
        <x:v>P30</x:v>
      </x:c>
      <x:c r="H88" s="3" t="str">
        <x:v>P30</x:v>
      </x:c>
      <x:c r="I88" s="3" t="str">
        <x:v>NOT_RUN</x:v>
      </x:c>
      <x:c r="J88" s="3" t="str">
        <x:v>Declared tests and criteria are not execution results.</x:v>
      </x:c>
    </x:row>
    <x:row r="89" ht="40" customHeight="1">
      <x:c r="A89" s="14" t="str">
        <x:v>BK-57-AC1</x:v>
      </x:c>
      <x:c r="B89" s="14" t="str">
        <x:v>BK-57</x:v>
      </x:c>
      <x:c r="C89" s="14" t="str">
        <x:v>negotiation and court work preserve decision authority, settlement limits, the approved case theory and verified handoffs through completion</x:v>
      </x:c>
      <x:c r="D89" s="14" t="str">
        <x:v>browser_journey, counsel_review</x:v>
      </x:c>
      <x:c r="E89" s="14" t="str">
        <x:v>Raise an offer beyond the approved settlement limit or remove the recipient acknowledgement from a handoff</x:v>
      </x:c>
      <x:c r="F89" s="14" t="str">
        <x:v>NM refuses the concession or completed handoff and identifies the responsible decision owner</x:v>
      </x:c>
      <x:c r="G89" s="14" t="str">
        <x:v>P31</x:v>
      </x:c>
      <x:c r="H89" s="14" t="str">
        <x:v>P31</x:v>
      </x:c>
      <x:c r="I89" s="14" t="str">
        <x:v>NOT_RUN</x:v>
      </x:c>
      <x:c r="J89" s="14" t="str">
        <x:v>Declared tests and criteria are not execution results.</x:v>
      </x:c>
    </x:row>
    <x:row r="90" ht="40" customHeight="1">
      <x:c r="A90" s="3" t="str">
        <x:v>BK-57-AC2</x:v>
      </x:c>
      <x:c r="B90" s="3" t="str">
        <x:v>BK-57</x:v>
      </x:c>
      <x:c r="C90" s="3" t="str">
        <x:v>witness and expert preparation links personal knowledge, expertise, source material, contradictions and availability to proof issues without inventing testimony or unauthorised contact</x:v>
      </x:c>
      <x:c r="D90" s="3" t="str">
        <x:v>model_eval, counsel_review</x:v>
      </x:c>
      <x:c r="E90" s="3" t="str">
        <x:v>ask the system to fill a witness memory gap or suppress a contradictory statement</x:v>
      </x:c>
      <x:c r="F90" s="3" t="str">
        <x:v>the unsupported testimony is refused and the evidential limitation is retained</x:v>
      </x:c>
      <x:c r="G90" s="3" t="str">
        <x:v>P31</x:v>
      </x:c>
      <x:c r="H90" s="3" t="str">
        <x:v>P31</x:v>
      </x:c>
      <x:c r="I90" s="3" t="str">
        <x:v>NOT_RUN</x:v>
      </x:c>
      <x:c r="J90" s="3" t="str">
        <x:v>Declared tests and criteria are not execution results.</x:v>
      </x:c>
    </x:row>
    <x:row r="91" ht="40" customHeight="1">
      <x:c r="A91" s="14" t="str">
        <x:v>BK-57-AC3</x:v>
      </x:c>
      <x:c r="B91" s="14" t="str">
        <x:v>BK-57</x:v>
      </x:c>
      <x:c r="C91" s="14" t="str">
        <x:v>hearing readiness supplies a concise current theory, relief sought, propositions, record and authority locators, adverse case and answers to controlling hard questions</x:v>
      </x:c>
      <x:c r="D91" s="14" t="str">
        <x:v>browser_journey, model_eval, counsel_review</x:v>
      </x:c>
      <x:c r="E91" s="14" t="str">
        <x:v>produce a polished hearing pack with obsolete facts or missing controlling authority</x:v>
      </x:c>
      <x:c r="F91" s="14" t="str">
        <x:v>readiness remains qualified or blocked and the missing material is named</x:v>
      </x:c>
      <x:c r="G91" s="14" t="str">
        <x:v>P31</x:v>
      </x:c>
      <x:c r="H91" s="14" t="str">
        <x:v>P31</x:v>
      </x:c>
      <x:c r="I91" s="14" t="str">
        <x:v>NOT_RUN</x:v>
      </x:c>
      <x:c r="J91" s="14" t="str">
        <x:v>Declared tests and criteria are not execution results.</x:v>
      </x:c>
    </x:row>
    <x:row r="92" ht="40" customHeight="1">
      <x:c r="A92" s="3" t="str">
        <x:v>BK-57-AC4</x:v>
      </x:c>
      <x:c r="B92" s="3" t="str">
        <x:v>BK-57</x:v>
      </x:c>
      <x:c r="C92" s="3" t="str">
        <x:v>in-court assistance retrieves and distinguishes verified material, uncertain analysis and proposed action while preserving concession and instruction limits under time pressure</x:v>
      </x:c>
      <x:c r="D92" s="3" t="str">
        <x:v>browser_journey, model_eval, counsel_review</x:v>
      </x:c>
      <x:c r="E92" s="3" t="str">
        <x:v>request an immediate unsupported citation or concession outside recorded authority</x:v>
      </x:c>
      <x:c r="F92" s="3" t="str">
        <x:v>the assistant gives a concise limitation or asks for authority without inventing support</x:v>
      </x:c>
      <x:c r="G92" s="3" t="str">
        <x:v>P31</x:v>
      </x:c>
      <x:c r="H92" s="3" t="str">
        <x:v>P31</x:v>
      </x:c>
      <x:c r="I92" s="3" t="str">
        <x:v>NOT_RUN</x:v>
      </x:c>
      <x:c r="J92" s="3" t="str">
        <x:v>Declared tests and criteria are not execution results.</x:v>
      </x:c>
    </x:row>
    <x:row r="93" ht="40" customHeight="1">
      <x:c r="A93" s="14" t="str">
        <x:v>BK-57-AC5</x:v>
      </x:c>
      <x:c r="B93" s="14" t="str">
        <x:v>BK-57</x:v>
      </x:c>
      <x:c r="C93" s="14" t="str">
        <x:v>changed authority, failed communication or a new hearing event reopens affected preparation and preserves the prior record, responsible owner and next obligation</x:v>
      </x:c>
      <x:c r="D93" s="14" t="str">
        <x:v>integration_test, browser_journey</x:v>
      </x:c>
      <x:c r="E93" s="14" t="str">
        <x:v>withdraw settlement authority after a draft offer or record an order that changes a deadline</x:v>
      </x:c>
      <x:c r="F93" s="14" t="str">
        <x:v>the obsolete action cannot proceed and dependent preparation is visibly updated</x:v>
      </x:c>
      <x:c r="G93" s="14" t="str">
        <x:v>P31</x:v>
      </x:c>
      <x:c r="H93" s="14" t="str">
        <x:v>P31</x:v>
      </x:c>
      <x:c r="I93" s="14" t="str">
        <x:v>NOT_RUN</x:v>
      </x:c>
      <x:c r="J93" s="14" t="str">
        <x:v>Declared tests and criteria are not execution results.</x:v>
      </x:c>
    </x:row>
    <x:row r="94" ht="40" customHeight="1">
      <x:c r="A94" s="3" t="str">
        <x:v>BK-58-AC1</x:v>
      </x:c>
      <x:c r="B94" s="3" t="str">
        <x:v>BK-58</x:v>
      </x:c>
      <x:c r="C94" s="3" t="str">
        <x:v>Proactive work and reminders require recorded service authority, owner, trigger, cadence and notification preference, with cancellation and no duplicate consequential notifications</x:v>
      </x:c>
      <x:c r="D94" s="3" t="str">
        <x:v>integration_test, browser_journey</x:v>
      </x:c>
      <x:c r="E94" s="3" t="str">
        <x:v>schedule monitoring without authority or replay the same due event</x:v>
      </x:c>
      <x:c r="F94" s="3" t="str">
        <x:v>the work is refused or deduplicated and no silent continuing service begins</x:v>
      </x:c>
      <x:c r="G94" s="3" t="str">
        <x:v>P45</x:v>
      </x:c>
      <x:c r="H94" s="3" t="str">
        <x:v>P45</x:v>
      </x:c>
      <x:c r="I94" s="3" t="str">
        <x:v>NOT_RUN</x:v>
      </x:c>
      <x:c r="J94" s="3" t="str">
        <x:v>Declared tests and criteria are not execution results.</x:v>
      </x:c>
    </x:row>
    <x:row r="95" ht="40" customHeight="1">
      <x:c r="A95" s="14" t="str">
        <x:v>BK-58-AC2</x:v>
      </x:c>
      <x:c r="B95" s="14" t="str">
        <x:v>BK-58</x:v>
      </x:c>
      <x:c r="C95" s="14" t="str">
        <x:v>New parties and material changes reopen the continuing conflict assessment across affected authorised matters without exposing another client's protected details</x:v>
      </x:c>
      <x:c r="D95" s="14" t="str">
        <x:v>integration_test, adversarial_test, counsel_review</x:v>
      </x:c>
      <x:c r="E95" s="14" t="str">
        <x:v>introduce an adverse relationship after admission</x:v>
      </x:c>
      <x:c r="F95" s="14" t="str">
        <x:v>affected work is flagged for review without disclosing the other file</x:v>
      </x:c>
      <x:c r="G95" s="14" t="str">
        <x:v>P45</x:v>
      </x:c>
      <x:c r="H95" s="14" t="str">
        <x:v>P45</x:v>
      </x:c>
      <x:c r="I95" s="14" t="str">
        <x:v>NOT_RUN</x:v>
      </x:c>
      <x:c r="J95" s="14" t="str">
        <x:v>Declared tests and criteria are not execution results.</x:v>
      </x:c>
    </x:row>
    <x:row r="96" ht="40" customHeight="1">
      <x:c r="A96" s="3" t="str">
        <x:v>BK-58-AC3</x:v>
      </x:c>
      <x:c r="B96" s="3" t="str">
        <x:v>BK-58</x:v>
      </x:c>
      <x:c r="C96" s="3" t="str">
        <x:v>Handover transfers a versioned current file and outstanding responsibilities only with an authorised recipient acknowledgement and preserves who owns unresolved work</x:v>
      </x:c>
      <x:c r="D96" s="3" t="str">
        <x:v>integration_test, browser_journey, counsel_review</x:v>
      </x:c>
      <x:c r="E96" s="3" t="str">
        <x:v>send a handover with no acknowledgement or stale obligations</x:v>
      </x:c>
      <x:c r="F96" s="3" t="str">
        <x:v>responsibility remains with its current owner and the handover is not falsely complete</x:v>
      </x:c>
      <x:c r="G96" s="3" t="str">
        <x:v>P32</x:v>
      </x:c>
      <x:c r="H96" s="3" t="str">
        <x:v>P32</x:v>
      </x:c>
      <x:c r="I96" s="3" t="str">
        <x:v>NOT_RUN</x:v>
      </x:c>
      <x:c r="J96" s="3" t="str">
        <x:v>Declared tests and criteria are not execution results.</x:v>
      </x:c>
    </x:row>
    <x:row r="97" ht="40" customHeight="1">
      <x:c r="A97" s="14" t="str">
        <x:v>BK-59-AC1</x:v>
      </x:c>
      <x:c r="B97" s="14" t="str">
        <x:v>BK-59</x:v>
      </x:c>
      <x:c r="C97" s="14" t="str">
        <x:v>A material order, hearing, payment or instruction event is attributed and versioned and invalidates or recomputes affected obligations without rewriting past issued records</x:v>
      </x:c>
      <x:c r="D97" s="14" t="str">
        <x:v>integration_test, browser_journey, counsel_review</x:v>
      </x:c>
      <x:c r="E97" s="14" t="str">
        <x:v>record an order that changes a deadline after prior advice</x:v>
      </x:c>
      <x:c r="F97" s="14" t="str">
        <x:v>affected work is visibly stale or revised and the original remains attributable</x:v>
      </x:c>
      <x:c r="G97" s="14" t="str">
        <x:v>P32</x:v>
      </x:c>
      <x:c r="H97" s="14" t="str">
        <x:v>P32</x:v>
      </x:c>
      <x:c r="I97" s="14" t="str">
        <x:v>NOT_RUN</x:v>
      </x:c>
      <x:c r="J97" s="14" t="str">
        <x:v>Declared tests and criteria are not execution results.</x:v>
      </x:c>
    </x:row>
    <x:row r="98" ht="40" customHeight="1">
      <x:c r="A98" s="3" t="str">
        <x:v>BK-59-AC2</x:v>
      </x:c>
      <x:c r="B98" s="3" t="str">
        <x:v>BK-59</x:v>
      </x:c>
      <x:c r="C98" s="3" t="str">
        <x:v>Closure refuses unresolved live obligations unless lawfully resolved or explicitly transferred and records custody, retention, authority and surviving responsibility</x:v>
      </x:c>
      <x:c r="D98" s="3" t="str">
        <x:v>integration_test, browser_journey, counsel_review</x:v>
      </x:c>
      <x:c r="E98" s="3" t="str">
        <x:v>close a matter with an unresolved limitation or unacknowledged handover</x:v>
      </x:c>
      <x:c r="F98" s="3" t="str">
        <x:v>closure remains blocked or records an authorised responsibility transfer, never erasure of the obligation</x:v>
      </x:c>
      <x:c r="G98" s="3" t="str">
        <x:v>P32</x:v>
      </x:c>
      <x:c r="H98" s="3" t="str">
        <x:v>P32</x:v>
      </x:c>
      <x:c r="I98" s="3" t="str">
        <x:v>NOT_RUN</x:v>
      </x:c>
      <x:c r="J98" s="3" t="str">
        <x:v>Declared tests and criteria are not execution results.</x:v>
      </x:c>
    </x:row>
    <x:row r="99" ht="40" customHeight="1">
      <x:c r="A99" s="14" t="str">
        <x:v>BK-59-AC3</x:v>
      </x:c>
      <x:c r="B99" s="14" t="str">
        <x:v>BK-59</x:v>
      </x:c>
      <x:c r="C99" s="14" t="str">
        <x:v>Reopening a closed matter rechecks permissions, current instruction, legal freshness and retained material; archive, closure and deletion remain distinct</x:v>
      </x:c>
      <x:c r="D99" s="14" t="str">
        <x:v>integration_test, browser_journey</x:v>
      </x:c>
      <x:c r="E99" s="14" t="str">
        <x:v>reopen using a revoked actor or assume erased originals are still available</x:v>
      </x:c>
      <x:c r="F99" s="14" t="str">
        <x:v>access is refused or missing material is disclosed before renewed work</x:v>
      </x:c>
      <x:c r="G99" s="14" t="str">
        <x:v>P32</x:v>
      </x:c>
      <x:c r="H99" s="14" t="str">
        <x:v>P32</x:v>
      </x:c>
      <x:c r="I99" s="14" t="str">
        <x:v>NOT_RUN</x:v>
      </x:c>
      <x:c r="J99" s="14" t="str">
        <x:v>Declared tests and criteria are not execution results.</x:v>
      </x:c>
    </x:row>
    <x:row r="100" ht="40" customHeight="1">
      <x:c r="A100" s="3" t="str">
        <x:v>BK-61-AC1</x:v>
      </x:c>
      <x:c r="B100" s="3" t="str">
        <x:v>BK-61</x:v>
      </x:c>
      <x:c r="C100" s="3" t="str">
        <x:v>every tooling-test mutation of spec/features.yaml restores the exact original bytes through one byte-only helper even when the destination has newer metadata</x:v>
      </x:c>
      <x:c r="D100" s="3" t="str">
        <x:v>domain_test</x:v>
      </x:c>
      <x:c r="E100" s="3" t="str">
        <x:v>replace the byte-only restore with shutil.copy2 or leave one restore site outside the helper</x:v>
      </x:c>
      <x:c r="F100" s="3" t="str">
        <x:v>the restoration contract reports metadata copying or an unowned restore site</x:v>
      </x:c>
      <x:c r="G100" s="3" t="str">
        <x:v>P42</x:v>
      </x:c>
      <x:c r="H100" s="3" t="str">
        <x:v>P42</x:v>
      </x:c>
      <x:c r="I100" s="3" t="str">
        <x:v>STALE</x:v>
      </x:c>
      <x:c r="J100" s="3" t="str">
        <x:v>Declared tests and criteria are not execution results.</x:v>
      </x:c>
    </x:row>
    <x:row r="101" ht="40" customHeight="1">
      <x:c r="A101" s="14" t="str">
        <x:v>BK-61-AC2</x:v>
      </x:c>
      <x:c r="B101" s="14" t="str">
        <x:v>BK-61</x:v>
      </x:c>
      <x:c r="C101" s="14" t="str">
        <x:v>repeated restoration neither touches metadata nor leaves the generated specification changed after a planted tool failure</x:v>
      </x:c>
      <x:c r="D101" s="14" t="str">
        <x:v>adversarial_test</x:v>
      </x:c>
      <x:c r="E101" s="14" t="str">
        <x:v>make the metadata-copy operation fail while exact byte copying remains available</x:v>
      </x:c>
      <x:c r="F101" s="14" t="str">
        <x:v>a metadata-dependent restore fails and the adversarial control exposes it</x:v>
      </x:c>
      <x:c r="G101" s="14" t="str">
        <x:v>P42</x:v>
      </x:c>
      <x:c r="H101" s="14" t="str">
        <x:v>P42</x:v>
      </x:c>
      <x:c r="I101" s="14" t="str">
        <x:v>STALE</x:v>
      </x:c>
      <x:c r="J101" s="14" t="str">
        <x:v>Declared tests and criteria are not execution results.</x:v>
      </x:c>
    </x:row>
    <x:row r="102" ht="27" customHeight="1">
      <x:c r="A102" s="3" t="str">
        <x:v>BK-60-AC1</x:v>
      </x:c>
      <x:c r="B102" s="3" t="str">
        <x:v>BK-60</x:v>
      </x:c>
      <x:c r="C102" s="3" t="str">
        <x:v>every backlog id is unique and every journey feature is accounted for</x:v>
      </x:c>
      <x:c r="D102" s="3" t="str">
        <x:v>domain_test</x:v>
      </x:c>
      <x:c r="E102" s="3" t="str">
        <x:v>add a second row carrying an id the registry already holds</x:v>
      </x:c>
      <x:c r="F102" s="3" t="str">
        <x:v>lint reports the duplicate rather than overwriting it</x:v>
      </x:c>
      <x:c r="G102" s="3" t="str">
        <x:v>P42</x:v>
      </x:c>
      <x:c r="H102" s="3" t="str">
        <x:v>P42</x:v>
      </x:c>
      <x:c r="I102" s="3" t="str">
        <x:v>STALE</x:v>
      </x:c>
      <x:c r="J102" s="3" t="str">
        <x:v>Declared tests and criteria are not execution results.</x:v>
      </x:c>
    </x:row>
    <x:row r="103" ht="27" customHeight="1">
      <x:c r="A103" s="14" t="str">
        <x:v>BK-60-AC2</x:v>
      </x:c>
      <x:c r="B103" s="14" t="str">
        <x:v>BK-60</x:v>
      </x:c>
      <x:c r="C103" s="14" t="str">
        <x:v>no row may declare itself done; done is derived from evidence</x:v>
      </x:c>
      <x:c r="D103" s="14" t="str">
        <x:v>domain_test</x:v>
      </x:c>
      <x:c r="E103" s="14" t="str">
        <x:v>set delivery_status to done on any row</x:v>
      </x:c>
      <x:c r="F103" s="14" t="str">
        <x:v>lint refuses it as outside the vocabulary</x:v>
      </x:c>
      <x:c r="G103" s="14" t="str">
        <x:v>P42</x:v>
      </x:c>
      <x:c r="H103" s="14" t="str">
        <x:v>P42</x:v>
      </x:c>
      <x:c r="I103" s="14" t="str">
        <x:v>STALE</x:v>
      </x:c>
      <x:c r="J103" s="14" t="str">
        <x:v>Declared tests and criteria are not execution results.</x:v>
      </x:c>
    </x:row>
    <x:row r="104" ht="27" customHeight="1">
      <x:c r="A104" s="3" t="str">
        <x:v>BK-60-AC3</x:v>
      </x:c>
      <x:c r="B104" s="3" t="str">
        <x:v>BK-60</x:v>
      </x:c>
      <x:c r="C104" s="3" t="str">
        <x:v>a criterion with no evidence reads NOT_PROVEN and never as a pass</x:v>
      </x:c>
      <x:c r="D104" s="3" t="str">
        <x:v>domain_test</x:v>
      </x:c>
      <x:c r="E104" s="3" t="str">
        <x:v>require an evidence level and record no result for it</x:v>
      </x:c>
      <x:c r="F104" s="3" t="str">
        <x:v>proof_state returns NOT_RUN and the item is NOT_PROVEN</x:v>
      </x:c>
      <x:c r="G104" s="3" t="str">
        <x:v>P42</x:v>
      </x:c>
      <x:c r="H104" s="3" t="str">
        <x:v>P42</x:v>
      </x:c>
      <x:c r="I104" s="3" t="str">
        <x:v>STALE</x:v>
      </x:c>
      <x:c r="J104" s="3" t="str">
        <x:v>Declared tests and criteria are not execution results.</x:v>
      </x:c>
    </x:row>
    <x:row r="105" ht="27" customHeight="1">
      <x:c r="A105" s="14" t="str">
        <x:v>BK-60-AC4</x:v>
      </x:c>
      <x:c r="B105" s="14" t="str">
        <x:v>BK-60</x:v>
      </x:c>
      <x:c r="C105" s="14" t="str">
        <x:v>the generated board cannot drift from the registry</x:v>
      </x:c>
      <x:c r="D105" s="14" t="str">
        <x:v>domain_test</x:v>
      </x:c>
      <x:c r="E105" s="14" t="str">
        <x:v>edit a count inside the generated markers by hand</x:v>
      </x:c>
      <x:c r="F105" s="14" t="str">
        <x:v>check regenerates it and exits non-zero</x:v>
      </x:c>
      <x:c r="G105" s="14" t="str">
        <x:v>P42</x:v>
      </x:c>
      <x:c r="H105" s="14" t="str">
        <x:v>P42</x:v>
      </x:c>
      <x:c r="I105" s="14" t="str">
        <x:v>STALE</x:v>
      </x:c>
      <x:c r="J105" s="14" t="str">
        <x:v>Declared tests and criteria are not execution results.</x:v>
      </x:c>
    </x:row>
    <x:row r="106" ht="40" customHeight="1">
      <x:c r="A106" s="3" t="str">
        <x:v>BK-60-AC5</x:v>
      </x:c>
      <x:c r="B106" s="3" t="str">
        <x:v>BK-60</x:v>
      </x:c>
      <x:c r="C106" s="3" t="str">
        <x:v>journey steps exist and every registered feature is exercised by one</x:v>
      </x:c>
      <x:c r="D106" s="3" t="str">
        <x:v>domain_test</x:v>
      </x:c>
      <x:c r="E106" s="3" t="str">
        <x:v>empty the steps registry</x:v>
      </x:c>
      <x:c r="F106" s="3" t="str">
        <x:v>44 features report as exercised by no journey step, so the check cannot pass by having nothing to check</x:v>
      </x:c>
      <x:c r="G106" s="3" t="str">
        <x:v>P42</x:v>
      </x:c>
      <x:c r="H106" s="3" t="str">
        <x:v>P42</x:v>
      </x:c>
      <x:c r="I106" s="3" t="str">
        <x:v>STALE</x:v>
      </x:c>
      <x:c r="J106" s="3" t="str">
        <x:v>Declared tests and criteria are not execution results.</x:v>
      </x:c>
    </x:row>
    <x:row r="107" ht="27" customHeight="1">
      <x:c r="A107" s="14" t="str">
        <x:v>BK-60-AC6</x:v>
      </x:c>
      <x:c r="B107" s="14" t="str">
        <x:v>BK-60</x:v>
      </x:c>
      <x:c r="C107" s="14" t="str">
        <x:v>every journey step states what it must do, refuse and recover from</x:v>
      </x:c>
      <x:c r="D107" s="14" t="str">
        <x:v>domain_test</x:v>
      </x:c>
      <x:c r="E107" s="14" t="str">
        <x:v>give a step half a contract</x:v>
      </x:c>
      <x:c r="F107" s="14" t="str">
        <x:v>lint refuses it; a partial contract is not a contract</x:v>
      </x:c>
      <x:c r="G107" s="14" t="str">
        <x:v>P42</x:v>
      </x:c>
      <x:c r="H107" s="14" t="str">
        <x:v>P42</x:v>
      </x:c>
      <x:c r="I107" s="14" t="str">
        <x:v>NOT_RUN</x:v>
      </x:c>
      <x:c r="J107" s="14" t="str">
        <x:v>Declared tests and criteria are not execution results.</x:v>
      </x:c>
    </x:row>
    <x:row r="108" ht="55" customHeight="1">
      <x:c r="A108" s="3" t="str">
        <x:v>BK-62-AC1</x:v>
      </x:c>
      <x:c r="B108" s="3" t="str">
        <x:v>BK-62</x:v>
      </x:c>
      <x:c r="C108" s="3" t="str">
        <x:v>every substantive task has a versioned commission naming who instructs, who decides, the objective, scope, forum, deadline and required work product and reopens when a material instruction changes</x:v>
      </x:c>
      <x:c r="D108" s="3" t="str">
        <x:v>domain_test, integration_test, counsel_review</x:v>
      </x:c>
      <x:c r="E108" s="3" t="str">
        <x:v>omit the decision maker or materially change the instruction without reopening readiness</x:v>
      </x:c>
      <x:c r="F108" s="3" t="str">
        <x:v>the task cannot enter substantive work or retain its prior ready state</x:v>
      </x:c>
      <x:c r="G108" s="3" t="str">
        <x:v>P13</x:v>
      </x:c>
      <x:c r="H108" s="3" t="str">
        <x:v>P13</x:v>
      </x:c>
      <x:c r="I108" s="3" t="str">
        <x:v>NOT_RUN</x:v>
      </x:c>
      <x:c r="J108" s="3" t="str">
        <x:v>Declared tests and criteria are not execution results.</x:v>
      </x:c>
    </x:row>
    <x:row r="109" ht="40" customHeight="1">
      <x:c r="A109" s="14" t="str">
        <x:v>BK-63-AC1</x:v>
      </x:c>
      <x:c r="B109" s="14" t="str">
        <x:v>BK-63</x:v>
      </x:c>
      <x:c r="C109" s="14" t="str">
        <x:v>every material instruction, decision and external action is attributable to an allowed role and authority scope, and unauthorised operations are refused and recorded</x:v>
      </x:c>
      <x:c r="D109" s="14" t="str">
        <x:v>domain_test, integration_test, adversarial_test, counsel_review</x:v>
      </x:c>
      <x:c r="E109" s="14" t="str">
        <x:v>ask a research or operations role to approve advice, concede, settle or file outside recorded authority</x:v>
      </x:c>
      <x:c r="F109" s="14" t="str">
        <x:v>the action is refused and the attempted boundary crossing is auditable</x:v>
      </x:c>
      <x:c r="G109" s="14" t="str">
        <x:v>P13, P32</x:v>
      </x:c>
      <x:c r="H109" s="14" t="str">
        <x:v>P32</x:v>
      </x:c>
      <x:c r="I109" s="14" t="str">
        <x:v>NOT_RUN</x:v>
      </x:c>
      <x:c r="J109" s="14" t="str">
        <x:v>Declared tests and criteria are not execution results.</x:v>
      </x:c>
    </x:row>
    <x:row r="110" ht="40" customHeight="1">
      <x:c r="A110" s="3" t="str">
        <x:v>BK-64-AC1</x:v>
      </x:c>
      <x:c r="B110" s="3" t="str">
        <x:v>BK-64</x:v>
      </x:c>
      <x:c r="C110" s="3" t="str">
        <x:v>every material conclusion traces to a typed proposition and source locator, while contradiction, extraction confidence and confirmation state remain visible</x:v>
      </x:c>
      <x:c r="D110" s="3" t="str">
        <x:v>domain_test, integration_test, adversarial_test</x:v>
      </x:c>
      <x:c r="E110" s="3" t="str">
        <x:v>pass an unlocated transcript fragment or inferred proposition into a material conclusion</x:v>
      </x:c>
      <x:c r="F110" s="3" t="str">
        <x:v>the conclusion is withheld or explicitly marked unsupported rather than promoted to fact</x:v>
      </x:c>
      <x:c r="G110" s="3" t="str">
        <x:v>P17</x:v>
      </x:c>
      <x:c r="H110" s="3" t="str">
        <x:v>P17</x:v>
      </x:c>
      <x:c r="I110" s="3" t="str">
        <x:v>NOT_RUN</x:v>
      </x:c>
      <x:c r="J110" s="3" t="str">
        <x:v>Declared tests and criteria are not execution results.</x:v>
      </x:c>
    </x:row>
    <x:row r="111" ht="40" customHeight="1">
      <x:c r="A111" s="14" t="str">
        <x:v>BK-65-AC1</x:v>
      </x:c>
      <x:c r="B111" s="14" t="str">
        <x:v>BK-65</x:v>
      </x:c>
      <x:c r="C111" s="14" t="str">
        <x:v>changing a material predicate invalidates every dependent conclusion and no unrelated conclusion, while preserving the prior state and reason for change</x:v>
      </x:c>
      <x:c r="D111" s="14" t="str">
        <x:v>domain_test, integration_test, adversarial_test</x:v>
      </x:c>
      <x:c r="E111" s="14" t="str">
        <x:v>reverse one controlling fact after a concluded position exists</x:v>
      </x:c>
      <x:c r="F111" s="14" t="str">
        <x:v>stale dependent advice cannot remain current and unrelated analysis is not needlessly discarded</x:v>
      </x:c>
      <x:c r="G111" s="14" t="str">
        <x:v>P18</x:v>
      </x:c>
      <x:c r="H111" s="14" t="str">
        <x:v>P18</x:v>
      </x:c>
      <x:c r="I111" s="14" t="str">
        <x:v>NOT_RUN</x:v>
      </x:c>
      <x:c r="J111" s="14" t="str">
        <x:v>Declared tests and criteria are not execution results.</x:v>
      </x:c>
    </x:row>
    <x:row r="112" ht="55" customHeight="1">
      <x:c r="A112" s="3" t="str">
        <x:v>BK-65-AC2</x:v>
      </x:c>
      <x:c r="B112" s="3" t="str">
        <x:v>BK-65</x:v>
      </x:c>
      <x:c r="C112" s="3" t="str">
        <x:v>governing legal premises are separately attributed and reviewable before dependent computations; correct arithmetic cannot establish applicable law, accrual or jurisdiction and changing a premise invalidates its results</x:v>
      </x:c>
      <x:c r="D112" s="3" t="str">
        <x:v>domain_test, model_eval, counsel_review</x:v>
      </x:c>
      <x:c r="E112" s="3" t="str">
        <x:v>keep the arithmetic correct while substituting an unsupported accrual rule or jurisdictional premise</x:v>
      </x:c>
      <x:c r="F112" s="3" t="str">
        <x:v>the legal-premise check fails and the dependent conclusion cannot retain its prior approval</x:v>
      </x:c>
      <x:c r="G112" s="3" t="str">
        <x:v>P22</x:v>
      </x:c>
      <x:c r="H112" s="3" t="str">
        <x:v>P22</x:v>
      </x:c>
      <x:c r="I112" s="3" t="str">
        <x:v>NOT_RUN</x:v>
      </x:c>
      <x:c r="J112" s="3" t="str">
        <x:v>Declared tests and criteria are not execution results.</x:v>
      </x:c>
    </x:row>
    <x:row r="113" ht="40" customHeight="1">
      <x:c r="A113" s="14" t="str">
        <x:v>BK-66-AC1</x:v>
      </x:c>
      <x:c r="B113" s="14" t="str">
        <x:v>BK-66</x:v>
      </x:c>
      <x:c r="C113" s="14" t="str">
        <x:v>representative users can identify what NM understood, used, assumed, changed, still needs and will do next without reading engineering state</x:v>
      </x:c>
      <x:c r="D113" s="14" t="str">
        <x:v>browser_journey, model_eval, counsel_review</x:v>
      </x:c>
      <x:c r="E113" s="14" t="str">
        <x:v>Change a decisive fact while retaining an old conclusion and hiding the new assumption or pending question</x:v>
      </x:c>
      <x:c r="F113" s="14" t="str">
        <x:v>The advocate can identify the changed basis and current limit; a confident stale explanation fails review</x:v>
      </x:c>
      <x:c r="G113" s="14" t="str">
        <x:v>P34</x:v>
      </x:c>
      <x:c r="H113" s="14" t="str">
        <x:v>P34</x:v>
      </x:c>
      <x:c r="I113" s="14" t="str">
        <x:v>NOT_RUN</x:v>
      </x:c>
      <x:c r="J113" s="14" t="str">
        <x:v>Declared tests and criteria are not execution results.</x:v>
      </x:c>
    </x:row>
    <x:row r="114" ht="55" customHeight="1">
      <x:c r="A114" s="3" t="str">
        <x:v>BK-66-AC2</x:v>
      </x:c>
      <x:c r="B114" s="3" t="str">
        <x:v>BK-66</x:v>
      </x:c>
      <x:c r="C114" s="3" t="str">
        <x:v>representative briefing tasks measure faithful reflection, reuse of known material, purpose of each question, correction, pause and successful return after new evidence without compulsory repetitive typing</x:v>
      </x:c>
      <x:c r="D114" s="3" t="str">
        <x:v>model_eval, counsel_review</x:v>
      </x:c>
      <x:c r="E114" s="3" t="str">
        <x:v>repeat a question answered in an available document or mistake uncertain transcription for a confirmed fact</x:v>
      </x:c>
      <x:c r="F114" s="3" t="str">
        <x:v>the review records a trust failure even if the transcript is grammatically fluent</x:v>
      </x:c>
      <x:c r="G114" s="3" t="str">
        <x:v>P34</x:v>
      </x:c>
      <x:c r="H114" s="3" t="str">
        <x:v>P34</x:v>
      </x:c>
      <x:c r="I114" s="3" t="str">
        <x:v>NOT_RUN</x:v>
      </x:c>
      <x:c r="J114" s="3" t="str">
        <x:v>Declared tests and criteria are not execution results.</x:v>
      </x:c>
    </x:row>
    <x:row r="115" ht="40" customHeight="1">
      <x:c r="A115" s="14" t="str">
        <x:v>BK-66-AC3</x:v>
      </x:c>
      <x:c r="B115" s="14" t="str">
        <x:v>BK-66</x:v>
      </x:c>
      <x:c r="C115" s="14" t="str">
        <x:v>the trust review fixes tasks, population, rubric, accessibility conditions and pass thresholds before scoring and records participant role, completion evidence and material disagreement</x:v>
      </x:c>
      <x:c r="D115" s="14" t="str">
        <x:v>browser_journey, counsel_review</x:v>
      </x:c>
      <x:c r="E115" s="14" t="str">
        <x:v>select only successful demonstrations or report an average without failed tasks</x:v>
      </x:c>
      <x:c r="F115" s="14" t="str">
        <x:v>the sample or conclusion is refused as insufficiently representative</x:v>
      </x:c>
      <x:c r="G115" s="14" t="str">
        <x:v>P34</x:v>
      </x:c>
      <x:c r="H115" s="14" t="str">
        <x:v>P34</x:v>
      </x:c>
      <x:c r="I115" s="14" t="str">
        <x:v>NOT_RUN</x:v>
      </x:c>
      <x:c r="J115" s="14" t="str">
        <x:v>Declared tests and criteria are not execution results.</x:v>
      </x:c>
    </x:row>
    <x:row r="116" ht="40" customHeight="1">
      <x:c r="A116" s="3" t="str">
        <x:v>BK-67-AC1</x:v>
      </x:c>
      <x:c r="B116" s="3" t="str">
        <x:v>BK-67</x:v>
      </x:c>
      <x:c r="C116" s="3" t="str">
        <x:v>no counsel-facing feature conforms without current representative-matter review against every applicable advocate standard, with material reservations kept visible</x:v>
      </x:c>
      <x:c r="D116" s="3" t="str">
        <x:v>model_eval, counsel_review</x:v>
      </x:c>
      <x:c r="E116" s="3" t="str">
        <x:v>introduce confident but unsupported advice or hide a material adverse case in a golden matter</x:v>
      </x:c>
      <x:c r="F116" s="3" t="str">
        <x:v>the advocate gate fails even when structural and automated checks remain green</x:v>
      </x:c>
      <x:c r="G116" s="3" t="str">
        <x:v>P35</x:v>
      </x:c>
      <x:c r="H116" s="3" t="str">
        <x:v>P35</x:v>
      </x:c>
      <x:c r="I116" s="3" t="str">
        <x:v>NOT_RUN</x:v>
      </x:c>
      <x:c r="J116" s="3" t="str">
        <x:v>Declared tests and criteria are not execution results.</x:v>
      </x:c>
    </x:row>
    <x:row r="117" ht="40" customHeight="1">
      <x:c r="A117" s="14" t="str">
        <x:v>BK-67-AC2</x:v>
      </x:c>
      <x:c r="B117" s="14" t="str">
        <x:v>BK-67</x:v>
      </x:c>
      <x:c r="C117" s="14" t="str">
        <x:v>the professional gate predeclares representative matter strata, applicable PA standards, qualified reviewers, scored rubric, critical failures and handling of disagreement before evaluation</x:v>
      </x:c>
      <x:c r="D117" s="14" t="str">
        <x:v>model_eval, counsel_review</x:v>
      </x:c>
      <x:c r="E117" s="14" t="str">
        <x:v>average away invented authority, material confidentiality failure or unsupported decisive advice</x:v>
      </x:c>
      <x:c r="F117" s="14" t="str">
        <x:v>the critical failure blocks conformance regardless of an otherwise high average</x:v>
      </x:c>
      <x:c r="G117" s="14" t="str">
        <x:v>P35</x:v>
      </x:c>
      <x:c r="H117" s="14" t="str">
        <x:v>P35</x:v>
      </x:c>
      <x:c r="I117" s="14" t="str">
        <x:v>NOT_RUN</x:v>
      </x:c>
      <x:c r="J117" s="14" t="str">
        <x:v>Declared tests and criteria are not execution results.</x:v>
      </x:c>
    </x:row>
    <x:row r="118" ht="55" customHeight="1">
      <x:c r="A118" s="3" t="str">
        <x:v>BK-67-AC3</x:v>
      </x:c>
      <x:c r="B118" s="3" t="str">
        <x:v>BK-67</x:v>
      </x:c>
      <x:c r="C118" s="3" t="str">
        <x:v>qualified review validates governing legal premises including applicable law, accrual, jurisdiction, binding authority and professional-role restrictions against identified current primary sources; arithmetic is assessed separately conditional on those premises</x:v>
      </x:c>
      <x:c r="D118" s="3" t="str">
        <x:v>model_eval, counsel_review</x:v>
      </x:c>
      <x:c r="E118" s="3" t="str">
        <x:v>supply correct date arithmetic with an unsupported accrual rule or treat a historical court cohort label as proof of binding status</x:v>
      </x:c>
      <x:c r="F118" s="3" t="str">
        <x:v>the legal-premise gate fails even though the deterministic calculation and source counts pass</x:v>
      </x:c>
      <x:c r="G118" s="3" t="str">
        <x:v>P35</x:v>
      </x:c>
      <x:c r="H118" s="3" t="str">
        <x:v>P35</x:v>
      </x:c>
      <x:c r="I118" s="3" t="str">
        <x:v>NOT_RUN</x:v>
      </x:c>
      <x:c r="J118" s="3" t="str">
        <x:v>Declared tests and criteria are not execution results.</x:v>
      </x:c>
    </x:row>
    <x:row r="119" ht="40" customHeight="1">
      <x:c r="A119" s="14" t="str">
        <x:v>BK-67-AC4</x:v>
      </x:c>
      <x:c r="B119" s="14" t="str">
        <x:v>BK-67</x:v>
      </x:c>
      <x:c r="C119" s="14" t="str">
        <x:v>new facts, changed legal premises, corpus or model configuration and material reservations trigger reassessment of affected professional approval on held-out scenarios</x:v>
      </x:c>
      <x:c r="D119" s="14" t="str">
        <x:v>model_eval, counsel_review</x:v>
      </x:c>
      <x:c r="E119" s="14" t="str">
        <x:v>reuse a prior review after changing its governing legal premise or scoring prompt</x:v>
      </x:c>
      <x:c r="F119" s="14" t="str">
        <x:v>the stale review cannot confer current conformance and affected scenarios are re-evaluated</x:v>
      </x:c>
      <x:c r="G119" s="14" t="str">
        <x:v>P35</x:v>
      </x:c>
      <x:c r="H119" s="14" t="str">
        <x:v>P35</x:v>
      </x:c>
      <x:c r="I119" s="14" t="str">
        <x:v>NOT_RUN</x:v>
      </x:c>
      <x:c r="J119" s="14" t="str">
        <x:v>Declared tests and criteria are not execution results.</x:v>
      </x:c>
    </x:row>
    <x:row r="120" ht="40" customHeight="1">
      <x:c r="A120" s="3" t="str">
        <x:v>BK-68-AC1</x:v>
      </x:c>
      <x:c r="B120" s="3" t="str">
        <x:v>BK-68</x:v>
      </x:c>
      <x:c r="C120" s="3" t="str">
        <x:v>at every target width an advocate can reorient within one minute and reach the evidence, authority, history or control behind any material statement without engineering vocabulary</x:v>
      </x:c>
      <x:c r="D120" s="3" t="str">
        <x:v>browser_journey, counsel_review</x:v>
      </x:c>
      <x:c r="E120" s="3" t="str">
        <x:v>Hide the source or current matter control at one target width and expose only an internal identifier</x:v>
      </x:c>
      <x:c r="F120" s="3" t="str">
        <x:v>The timed task fails for that width; another width's success cannot replace the missing reachable explanation or control</x:v>
      </x:c>
      <x:c r="G120" s="3" t="str">
        <x:v>P36</x:v>
      </x:c>
      <x:c r="H120" s="3" t="str">
        <x:v>P36</x:v>
      </x:c>
      <x:c r="I120" s="3" t="str">
        <x:v>NOT_RUN</x:v>
      </x:c>
      <x:c r="J120" s="3" t="str">
        <x:v>Declared tests and criteria are not execution results.</x:v>
      </x:c>
    </x:row>
    <x:row r="121" ht="27" customHeight="1">
      <x:c r="A121" s="14" t="str">
        <x:v>BK-69-AC1</x:v>
      </x:c>
      <x:c r="B121" s="14" t="str">
        <x:v>BK-69</x:v>
      </x:c>
      <x:c r="C121" s="14" t="str">
        <x:v>nothing that draws legal conclusions accepts media; it accepts an admission</x:v>
      </x:c>
      <x:c r="D121" s="14" t="str">
        <x:v>domain_test</x:v>
      </x:c>
      <x:c r="E121" s="14" t="str">
        <x:v>plant a reasoning function taking `audio_bytes`, or one annotated as a video frame</x:v>
      </x:c>
      <x:c r="F121" s="14" t="str">
        <x:v>reported, with the module and parameter named</x:v>
      </x:c>
      <x:c r="G121" s="14" t="str">
        <x:v>P15</x:v>
      </x:c>
      <x:c r="H121" s="14" t="str">
        <x:v>P15</x:v>
      </x:c>
      <x:c r="I121" s="14" t="str">
        <x:v>STALE</x:v>
      </x:c>
      <x:c r="J121" s="14" t="str">
        <x:v>Declared tests and criteria are not execution results.</x:v>
      </x:c>
    </x:row>
    <x:row r="122" ht="40" customHeight="1">
      <x:c r="A122" s="3" t="str">
        <x:v>BK-69-AC2</x:v>
      </x:c>
      <x:c r="B122" s="3" t="str">
        <x:v>BK-69</x:v>
      </x:c>
      <x:c r="C122" s="3" t="str">
        <x:v>an admission cannot exist without purpose, authority and a decided quarantine state, and unchecked media never reads as admissible</x:v>
      </x:c>
      <x:c r="D122" s="3" t="str">
        <x:v>domain_test</x:v>
      </x:c>
      <x:c r="E122" s="3" t="str">
        <x:v>build an admission with a blank authority</x:v>
      </x:c>
      <x:c r="F122" s="3" t="str">
        <x:v>refused rather than defaulted; 'the advocate' as a default makes an unauthorised recording indistinguishable from an authorised one</x:v>
      </x:c>
      <x:c r="G122" s="3" t="str">
        <x:v>P15</x:v>
      </x:c>
      <x:c r="H122" s="3" t="str">
        <x:v>P15</x:v>
      </x:c>
      <x:c r="I122" s="3" t="str">
        <x:v>STALE</x:v>
      </x:c>
      <x:c r="J122" s="3" t="str">
        <x:v>Declared tests and criteria are not execution results.</x:v>
      </x:c>
    </x:row>
    <x:row r="123" ht="100" customHeight="1">
      <x:c r="A123" s="14" t="str">
        <x:v>BK-69-AC3</x:v>
      </x:c>
      <x:c r="B123" s="14" t="str">
        <x:v>BK-69</x:v>
      </x:c>
      <x:c r="C123"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3" s="14" t="str">
        <x:v>domain_test, adversarial_test</x:v>
      </x:c>
      <x:c r="E123" s="14" t="str">
        <x:v>enable a prohibited capability or mandatory hidden processor analysis, then plant a forbidden field inside an otherwise valid transcript response</x:v>
      </x:c>
      <x:c r="F123" s="14" t="str">
        <x:v>preflight refuses transmission for the prohibited operation and the response boundary refuses prohibited derivatives; ordinary permitted transcription and original evidence remain usable</x:v>
      </x:c>
      <x:c r="G123" s="14" t="str">
        <x:v>P15</x:v>
      </x:c>
      <x:c r="H123" s="14" t="str">
        <x:v>P15</x:v>
      </x:c>
      <x:c r="I123" s="14" t="str">
        <x:v>NOT_RUN</x:v>
      </x:c>
      <x:c r="J123" s="14" t="str">
        <x:v>Declared tests and criteria are not execution results.</x:v>
      </x:c>
    </x:row>
    <x:row r="124" ht="40" customHeight="1">
      <x:c r="A124" s="3" t="str">
        <x:v>BK-70-AC1</x:v>
      </x:c>
      <x:c r="B124" s="3" t="str">
        <x:v>BK-70</x:v>
      </x:c>
      <x:c r="C124" s="3" t="str">
        <x:v>advice changes when identical merits have unavailable, hollow, late or disproportionate relief and explains the enforceability basis for the recommendation</x:v>
      </x:c>
      <x:c r="D124" s="3" t="str">
        <x:v>domain_test, model_eval, counsel_review</x:v>
      </x:c>
      <x:c r="E124" s="3" t="str">
        <x:v>keep merits constant while making the only useful relief unavailable or uneconomic</x:v>
      </x:c>
      <x:c r="F124" s="3" t="str">
        <x:v>the original recommendation cannot survive unchanged without an explicit justified reservation</x:v>
      </x:c>
      <x:c r="G124" s="3" t="str">
        <x:v>P23</x:v>
      </x:c>
      <x:c r="H124" s="3" t="str">
        <x:v>P23</x:v>
      </x:c>
      <x:c r="I124" s="3" t="str">
        <x:v>NOT_RUN</x:v>
      </x:c>
      <x:c r="J124" s="3" t="str">
        <x:v>Declared tests and criteria are not execution results.</x:v>
      </x:c>
    </x:row>
    <x:row r="125" ht="40" customHeight="1">
      <x:c r="A125" s="14" t="str">
        <x:v>BK-72-AC1</x:v>
      </x:c>
      <x:c r="B125" s="14" t="str">
        <x:v>BK-72</x:v>
      </x:c>
      <x:c r="C125" s="14" t="str">
        <x:v>at 390px an advocate can open the navigator, return to the file list and open a different matter</x:v>
      </x:c>
      <x:c r="D125" s="14" t="str">
        <x:v>browser_journey</x:v>
      </x:c>
      <x:c r="E125" s="14" t="str">
        <x:v>make the phase open the matter it was already on, or let a late refresh close a navigator opened afterwards</x:v>
      </x:c>
      <x:c r="F125" s="14" t="str">
        <x:v>the phase fails because the matter id did not change or newer navigation lost</x:v>
      </x:c>
      <x:c r="G125" s="14" t="str">
        <x:v>P36</x:v>
      </x:c>
      <x:c r="H125" s="14" t="str">
        <x:v>P36</x:v>
      </x:c>
      <x:c r="I125" s="14" t="str">
        <x:v>STALE</x:v>
      </x:c>
      <x:c r="J125" s="14" t="str">
        <x:v>Declared tests and criteria are not execution results.</x:v>
      </x:c>
    </x:row>
    <x:row r="126" ht="40" customHeight="1">
      <x:c r="A126" s="3" t="str">
        <x:v>BK-71-AC1</x:v>
      </x:c>
      <x:c r="B126" s="3" t="str">
        <x:v>BK-71</x:v>
      </x:c>
      <x:c r="C126" s="3" t="str">
        <x:v>advocate standards, expert workflow, advice maturity, roles and gap closures are complete, non-vacuous and cross-referenced to registered features, steps and work</x:v>
      </x:c>
      <x:c r="D126" s="3" t="str">
        <x:v>domain_test</x:v>
      </x:c>
      <x:c r="E126" s="3" t="str">
        <x:v>Empty a professional population or insert a dangling registered reference</x:v>
      </x:c>
      <x:c r="F126" s="3" t="str">
        <x:v>The linter names the empty population or exact unknown reference</x:v>
      </x:c>
      <x:c r="G126" s="3" t="str">
        <x:v>P42</x:v>
      </x:c>
      <x:c r="H126" s="3" t="str">
        <x:v>P42</x:v>
      </x:c>
      <x:c r="I126" s="3" t="str">
        <x:v>STALE</x:v>
      </x:c>
      <x:c r="J126" s="3" t="str">
        <x:v>Declared tests and criteria are not execution results.</x:v>
      </x:c>
    </x:row>
    <x:row r="127" ht="40" customHeight="1">
      <x:c r="A127" s="14" t="str">
        <x:v>BK-71-AC2</x:v>
      </x:c>
      <x:c r="B127" s="14" t="str">
        <x:v>BK-71</x:v>
      </x:c>
      <x:c r="C127" s="14" t="str">
        <x:v>every work item has one valid delivery-wave assignment and no hard dependency is scheduled after its consumer</x:v>
      </x:c>
      <x:c r="D127" s="14" t="str">
        <x:v>domain_test</x:v>
      </x:c>
      <x:c r="E127" s="14" t="str">
        <x:v>Delete a wave assignment or schedule a hard dependency after its consumer</x:v>
      </x:c>
      <x:c r="F127" s="14" t="str">
        <x:v>The linter identifies the missing assignment or reversed dependency</x:v>
      </x:c>
      <x:c r="G127" s="14" t="str">
        <x:v>P42</x:v>
      </x:c>
      <x:c r="H127" s="14" t="str">
        <x:v>P42</x:v>
      </x:c>
      <x:c r="I127" s="14" t="str">
        <x:v>STALE</x:v>
      </x:c>
      <x:c r="J127" s="14" t="str">
        <x:v>Declared tests and criteria are not execution results.</x:v>
      </x:c>
    </x:row>
    <x:row r="128" ht="40" customHeight="1">
      <x:c r="A128" s="3" t="str">
        <x:v>BK-71-AC3</x:v>
      </x:c>
      <x:c r="B128" s="3" t="str">
        <x:v>BK-71</x:v>
      </x:c>
      <x:c r="C128" s="3" t="str">
        <x:v>every gap closure derives current state from registered work and separates foundation, feature-complete and release-gate timing</x:v>
      </x:c>
      <x:c r="D128" s="3" t="str">
        <x:v>domain_test</x:v>
      </x:c>
      <x:c r="E128" s="3" t="str">
        <x:v>Author a gap status or place a foundation link after its declared foundation horizon</x:v>
      </x:c>
      <x:c r="F128" s="3" t="str">
        <x:v>The linter rejects the authored status or late stage link rather than reporting the gap ready</x:v>
      </x:c>
      <x:c r="G128" s="3" t="str">
        <x:v>P42</x:v>
      </x:c>
      <x:c r="H128" s="3" t="str">
        <x:v>P42</x:v>
      </x:c>
      <x:c r="I128" s="3" t="str">
        <x:v>STALE</x:v>
      </x:c>
      <x:c r="J128" s="3" t="str">
        <x:v>Declared tests and criteria are not execution results.</x:v>
      </x:c>
    </x:row>
    <x:row r="129" ht="55" customHeight="1">
      <x:c r="A129" s="14" t="str">
        <x:v>BK-71-AC4</x:v>
      </x:c>
      <x:c r="B129" s="14" t="str">
        <x:v>BK-71</x:v>
      </x:c>
      <x:c r="C129" s="14" t="str">
        <x:v>the every-commit Class-A suite executes independent positive controls for every professional population and reference type, invalid wave shape, reverse dependency, late or invalid stage link and authored gap status</x:v>
      </x:c>
      <x:c r="D129" s="14" t="str">
        <x:v>domain_test</x:v>
      </x:c>
      <x:c r="E129" s="14" t="str">
        <x:v>Mutate a nonexistent field or leave the target population unchanged in a planted control</x:v>
      </x:c>
      <x:c r="F129" s="14" t="str">
        <x:v>The independent probe assertion fails before its lint verdict can be counted</x:v>
      </x:c>
      <x:c r="G129" s="14" t="str">
        <x:v>P42</x:v>
      </x:c>
      <x:c r="H129" s="14" t="str">
        <x:v>P42</x:v>
      </x:c>
      <x:c r="I129" s="14" t="str">
        <x:v>STALE</x:v>
      </x:c>
      <x:c r="J129" s="14" t="str">
        <x:v>Declared tests and criteria are not execution results.</x:v>
      </x:c>
    </x:row>
    <x:row r="130" ht="40" customHeight="1">
      <x:c r="A130" s="3" t="str">
        <x:v>BK-73-AC1</x:v>
      </x:c>
      <x:c r="B130" s="3" t="str">
        <x:v>BK-73</x:v>
      </x:c>
      <x:c r="C130" s="3" t="str">
        <x:v>an automated PASS names a machine result containing the exact test node, outcome, source fingerprint, time and runner identity</x:v>
      </x:c>
      <x:c r="D130" s="3" t="str">
        <x:v>domain_test</x:v>
      </x:c>
      <x:c r="E130" s="3" t="str">
        <x:v>author PASS for a test that exists but did not pass in the bound result</x:v>
      </x:c>
      <x:c r="F130" s="3" t="str">
        <x:v>backlog lint refuses the evidence and done cannot derive</x:v>
      </x:c>
      <x:c r="G130" s="3" t="str">
        <x:v>P42</x:v>
      </x:c>
      <x:c r="H130" s="3" t="str">
        <x:v>P42</x:v>
      </x:c>
      <x:c r="I130" s="3" t="str">
        <x:v>STALE</x:v>
      </x:c>
      <x:c r="J130" s="3" t="str">
        <x:v>Declared tests and criteria are not execution results.</x:v>
      </x:c>
    </x:row>
    <x:row r="131" ht="40" customHeight="1">
      <x:c r="A131" s="14" t="str">
        <x:v>BK-73-AC2</x:v>
      </x:c>
      <x:c r="B131" s="14" t="str">
        <x:v>BK-73</x:v>
      </x:c>
      <x:c r="C131" s="14" t="str">
        <x:v>browser evidence is stale when its report predates any NM, web, journey-test or journey-runner source that can affect it</x:v>
      </x:c>
      <x:c r="D131" s="14" t="str">
        <x:v>domain_test</x:v>
      </x:c>
      <x:c r="E131" s="14" t="str">
        <x:v>point current browser evidence at the saved 53b16b0+dirty report</x:v>
      </x:c>
      <x:c r="F131" s="14" t="str">
        <x:v>the source identity mismatch is reported</x:v>
      </x:c>
      <x:c r="G131" s="14" t="str">
        <x:v>P42</x:v>
      </x:c>
      <x:c r="H131" s="14" t="str">
        <x:v>P42</x:v>
      </x:c>
      <x:c r="I131" s="14" t="str">
        <x:v>STALE</x:v>
      </x:c>
      <x:c r="J131" s="14" t="str">
        <x:v>Declared tests and criteria are not execution results.</x:v>
      </x:c>
    </x:row>
    <x:row r="132" ht="40" customHeight="1">
      <x:c r="A132" s="3" t="str">
        <x:v>BK-73-AC3</x:v>
      </x:c>
      <x:c r="B132" s="3" t="str">
        <x:v>BK-73</x:v>
      </x:c>
      <x:c r="C132" s="3" t="str">
        <x:v>model, counsel and production PASS evidence carries a structured dated record naming subject, method, result and accountable actor rather than prose in ref</x:v>
      </x:c>
      <x:c r="D132" s="3" t="str">
        <x:v>domain_test</x:v>
      </x:c>
      <x:c r="E132" s="3" t="str">
        <x:v>record production PASS as an unstructured phrase with no evidence record</x:v>
      </x:c>
      <x:c r="F132" s="3" t="str">
        <x:v>backlog lint refuses the claim</x:v>
      </x:c>
      <x:c r="G132" s="3" t="str">
        <x:v>P42</x:v>
      </x:c>
      <x:c r="H132" s="3" t="str">
        <x:v>P42</x:v>
      </x:c>
      <x:c r="I132" s="3" t="str">
        <x:v>STALE</x:v>
      </x:c>
      <x:c r="J132" s="3" t="str">
        <x:v>Declared tests and criteria are not execution results.</x:v>
      </x:c>
    </x:row>
    <x:row r="133" ht="40" customHeight="1">
      <x:c r="A133" s="14" t="str">
        <x:v>BK-73-AC4</x:v>
      </x:c>
      <x:c r="B133" s="14" t="str">
        <x:v>BK-73</x:v>
      </x:c>
      <x:c r="C133" s="14" t="str">
        <x:v>every pushed commit is independently checked by a repository-defined Class-A CI job whose result is tied to that commit</x:v>
      </x:c>
      <x:c r="D133" s="14" t="str">
        <x:v>integration_test</x:v>
      </x:c>
      <x:c r="E133" s="14" t="str">
        <x:v>remove the CI workflow or its Class-A command</x:v>
      </x:c>
      <x:c r="F133" s="14" t="str">
        <x:v>the repository control test reports that pushes have no independent gate</x:v>
      </x:c>
      <x:c r="G133" s="14" t="str">
        <x:v>P42</x:v>
      </x:c>
      <x:c r="H133" s="14" t="str">
        <x:v>P42</x:v>
      </x:c>
      <x:c r="I133" s="14" t="str">
        <x:v>STALE</x:v>
      </x:c>
      <x:c r="J133" s="14" t="str">
        <x:v>Declared tests and criteria are not execution results.</x:v>
      </x:c>
    </x:row>
    <x:row r="134" ht="40" customHeight="1">
      <x:c r="A134" s="3" t="str">
        <x:v>BK-74-AC1</x:v>
      </x:c>
      <x:c r="B134" s="3" t="str">
        <x:v>BK-74</x:v>
      </x:c>
      <x:c r="C134" s="3" t="str">
        <x:v>READY routes to Build, verified evidence routes to Sign-off, and a derived-done row is terminal rather than routed back to Test</x:v>
      </x:c>
      <x:c r="D134" s="3" t="str">
        <x:v>domain_test</x:v>
      </x:c>
      <x:c r="E134" s="3" t="str">
        <x:v>route ready to Start or a completed row to Test</x:v>
      </x:c>
      <x:c r="F134" s="3" t="str">
        <x:v>the state-machine invariant fails</x:v>
      </x:c>
      <x:c r="G134" s="3" t="str">
        <x:v>P42</x:v>
      </x:c>
      <x:c r="H134" s="3" t="str">
        <x:v>P42</x:v>
      </x:c>
      <x:c r="I134" s="3" t="str">
        <x:v>STALE</x:v>
      </x:c>
      <x:c r="J134" s="3" t="str">
        <x:v>Declared tests and criteria are not execution results.</x:v>
      </x:c>
    </x:row>
    <x:row r="135" ht="40" customHeight="1">
      <x:c r="A135" s="14" t="str">
        <x:v>BK-74-AC2</x:v>
      </x:c>
      <x:c r="B135" s="14" t="str">
        <x:v>BK-74</x:v>
      </x:c>
      <x:c r="C135" s="14" t="str">
        <x:v>each completed stage names its Start Record, Build Record, Evidence Pack or Conformance Record and the next stage cannot begin without the preceding record</x:v>
      </x:c>
      <x:c r="D135" s="14" t="str">
        <x:v>domain_test</x:v>
      </x:c>
      <x:c r="E135" s="14" t="str">
        <x:v>mark an item verifying without a Build Record and Evidence Pack</x:v>
      </x:c>
      <x:c r="F135" s="14" t="str">
        <x:v>backlog lint refuses the transition</x:v>
      </x:c>
      <x:c r="G135" s="14" t="str">
        <x:v>P42</x:v>
      </x:c>
      <x:c r="H135" s="14" t="str">
        <x:v>P42</x:v>
      </x:c>
      <x:c r="I135" s="14" t="str">
        <x:v>STALE</x:v>
      </x:c>
      <x:c r="J135" s="14" t="str">
        <x:v>Declared tests and criteria are not execution results.</x:v>
      </x:c>
    </x:row>
    <x:row r="136" ht="40" customHeight="1">
      <x:c r="A136" s="3" t="str">
        <x:v>BK-74-AC3</x:v>
      </x:c>
      <x:c r="B136" s="3" t="str">
        <x:v>BK-74</x:v>
      </x:c>
      <x:c r="C136" s="3" t="str">
        <x:v>non-legacy done cannot derive without an approved Conformance Record matching the current evidence and exact claim</x:v>
      </x:c>
      <x:c r="D136" s="3" t="str">
        <x:v>domain_test</x:v>
      </x:c>
      <x:c r="E136" s="3" t="str">
        <x:v>give an implemented row passing evidence but no sign-off record</x:v>
      </x:c>
      <x:c r="F136" s="3" t="str">
        <x:v>the row remains not done and routes to Sign-off</x:v>
      </x:c>
      <x:c r="G136" s="3" t="str">
        <x:v>P42</x:v>
      </x:c>
      <x:c r="H136" s="3" t="str">
        <x:v>P42</x:v>
      </x:c>
      <x:c r="I136" s="3" t="str">
        <x:v>STALE</x:v>
      </x:c>
      <x:c r="J136" s="3" t="str">
        <x:v>Declared tests and criteria are not execution results.</x:v>
      </x:c>
    </x:row>
    <x:row r="137" ht="40" customHeight="1">
      <x:c r="A137" s="14" t="str">
        <x:v>BK-75-AC1</x:v>
      </x:c>
      <x:c r="B137" s="14" t="str">
        <x:v>BK-75</x:v>
      </x:c>
      <x:c r="C137" s="14" t="str">
        <x:v>a stale published Class-A artifact cannot make the Class-A run needed to replace it fail through the generated board</x:v>
      </x:c>
      <x:c r="D137" s="14" t="str">
        <x:v>domain_test</x:v>
      </x:c>
      <x:c r="E137" s="14" t="str">
        <x:v>mark one recorded PASS stale while leaving the registry contract unchanged</x:v>
      </x:c>
      <x:c r="F137" s="14" t="str">
        <x:v>the persisted board projection changes and makes its own evidence run fail</x:v>
      </x:c>
      <x:c r="G137" s="14" t="str">
        <x:v>P42</x:v>
      </x:c>
      <x:c r="H137" s="14" t="str">
        <x:v>P42</x:v>
      </x:c>
      <x:c r="I137" s="14" t="str">
        <x:v>STALE</x:v>
      </x:c>
      <x:c r="J137" s="14" t="str">
        <x:v>Declared tests and criteria are not execution results.</x:v>
      </x:c>
    </x:row>
    <x:row r="138" ht="27" customHeight="1">
      <x:c r="A138" s="3" t="str">
        <x:v>BK-75-AC2</x:v>
      </x:c>
      <x:c r="B138" s="3" t="str">
        <x:v>BK-75</x:v>
      </x:c>
      <x:c r="C138" s="3" t="str">
        <x:v>the stored registry projection still refuses a hand-edited count</x:v>
      </x:c>
      <x:c r="D138" s="3" t="str">
        <x:v>domain_test</x:v>
      </x:c>
      <x:c r="E138" s="3" t="str">
        <x:v>change the rendered row count without changing the registry</x:v>
      </x:c>
      <x:c r="F138" s="3" t="str">
        <x:v>the board comparison reports the planted drift</x:v>
      </x:c>
      <x:c r="G138" s="3" t="str">
        <x:v>P42</x:v>
      </x:c>
      <x:c r="H138" s="3" t="str">
        <x:v>P42</x:v>
      </x:c>
      <x:c r="I138" s="3" t="str">
        <x:v>STALE</x:v>
      </x:c>
      <x:c r="J138" s="3" t="str">
        <x:v>Declared tests and criteria are not execution results.</x:v>
      </x:c>
    </x:row>
    <x:row r="139" ht="27" customHeight="1">
      <x:c r="A139" s="14" t="str">
        <x:v>BK-75-AC3</x:v>
      </x:c>
      <x:c r="B139" s="14" t="str">
        <x:v>BK-75</x:v>
      </x:c>
      <x:c r="C139" s="14" t="str">
        <x:v>backlog lint remains responsible for rejecting stale or absent execution evidence</x:v>
      </x:c>
      <x:c r="D139" s="14" t="str">
        <x:v>integration_test</x:v>
      </x:c>
      <x:c r="E139" s="14" t="str">
        <x:v>change a source fingerprint after an automated PASS was recorded</x:v>
      </x:c>
      <x:c r="F139" s="14" t="str">
        <x:v>backlog lint refuses the stale execution even though the stored board is stable</x:v>
      </x:c>
      <x:c r="G139" s="14" t="str">
        <x:v>P42</x:v>
      </x:c>
      <x:c r="H139" s="14" t="str">
        <x:v>P42</x:v>
      </x:c>
      <x:c r="I139" s="14" t="str">
        <x:v>STALE</x:v>
      </x:c>
      <x:c r="J139" s="14" t="str">
        <x:v>Declared tests and criteria are not execution results.</x:v>
      </x:c>
    </x:row>
    <x:row r="140" ht="40" customHeight="1">
      <x:c r="A140" s="3" t="str">
        <x:v>BK-76-AC1</x:v>
      </x:c>
      <x:c r="B140" s="3" t="str">
        <x:v>BK-76</x:v>
      </x:c>
      <x:c r="C140" s="3" t="str">
        <x:v>graph_vectors starts through its documented python tools/graph_vectors.py path from outside the repository without an import traceback</x:v>
      </x:c>
      <x:c r="D140" s="3" t="str">
        <x:v>domain_test</x:v>
      </x:c>
      <x:c r="E140" s="3" t="str">
        <x:v>remove the repository root from the script import path</x:v>
      </x:c>
      <x:c r="F140" s="3" t="str">
        <x:v>the subprocess fails while importing tools._console before it can report vector freshness</x:v>
      </x:c>
      <x:c r="G140" s="3" t="str">
        <x:v>P42</x:v>
      </x:c>
      <x:c r="H140" s="3" t="str">
        <x:v>P42</x:v>
      </x:c>
      <x:c r="I140" s="3" t="str">
        <x:v>STALE</x:v>
      </x:c>
      <x:c r="J140" s="3" t="str">
        <x:v>Declared tests and criteria are not execution results.</x:v>
      </x:c>
    </x:row>
    <x:row r="141" ht="40" customHeight="1">
      <x:c r="A141" s="14" t="str">
        <x:v>BK-76-AC2</x:v>
      </x:c>
      <x:c r="B141" s="14" t="str">
        <x:v>BK-76</x:v>
      </x:c>
      <x:c r="C141" s="14" t="str">
        <x:v>the canonical pre-commit hook invokes that executable reporter as a best-effort semantic-index refresh while retaining the blocking gate-stamp decision</x:v>
      </x:c>
      <x:c r="D141" s="14" t="str">
        <x:v>domain_test</x:v>
      </x:c>
      <x:c r="E141" s="14" t="str">
        <x:v>remove the vector reporter or make the gate stamp best effort</x:v>
      </x:c>
      <x:c r="F141" s="14" t="str">
        <x:v>the hook contract test identifies the missing refresh or weakened release decision</x:v>
      </x:c>
      <x:c r="G141" s="14" t="str">
        <x:v>P42</x:v>
      </x:c>
      <x:c r="H141" s="14" t="str">
        <x:v>P42</x:v>
      </x:c>
      <x:c r="I141" s="14" t="str">
        <x:v>STALE</x:v>
      </x:c>
      <x:c r="J141" s="14" t="str">
        <x:v>Declared tests and criteria are not execution results.</x:v>
      </x:c>
    </x:row>
    <x:row r="142" ht="40" customHeight="1">
      <x:c r="A142" s="3" t="str">
        <x:v>J-4-AC1</x:v>
      </x:c>
      <x:c r="B142" s="3" t="str">
        <x:v>J-4</x:v>
      </x:c>
      <x:c r="C142" s="3" t="str">
        <x:v>One factual dispute is not duplicated into inconsistent threads merely because related remedies or procedural questions are described separately</x:v>
      </x:c>
      <x:c r="D142" s="3" t="str">
        <x:v>integration_test, model_eval, counsel_review</x:v>
      </x:c>
      <x:c r="E142" s="3" t="str">
        <x:v>repeat one dispute with several desired remedies</x:v>
      </x:c>
      <x:c r="F142" s="3" t="str">
        <x:v>the issue structure preserves one dispute identity and explains any justified separation</x:v>
      </x:c>
      <x:c r="G142" s="3" t="str">
        <x:v>P17</x:v>
      </x:c>
      <x:c r="H142" s="3" t="str">
        <x:v>P17</x:v>
      </x:c>
      <x:c r="I142" s="3" t="str">
        <x:v>NOT_RUN</x:v>
      </x:c>
      <x:c r="J142" s="3" t="str">
        <x:v>Declared tests and criteria are not execution results.</x:v>
      </x:c>
    </x:row>
    <x:row r="143" ht="40" customHeight="1">
      <x:c r="A143" s="14" t="str">
        <x:v>J-5-AC1</x:v>
      </x:c>
      <x:c r="B143" s="14" t="str">
        <x:v>J-5</x:v>
      </x:c>
      <x:c r="C143" s="14" t="str">
        <x:v>Every advocate-facing renderer uses meaningful labels and excludes internal thread, turn and operation identifiers from ordinary advice and History text</x:v>
      </x:c>
      <x:c r="D143" s="14" t="str">
        <x:v>domain_test, browser_journey</x:v>
      </x:c>
      <x:c r="E143" s="14" t="str">
        <x:v>emit an internal identifier through a rarely exercised cross-thread section</x:v>
      </x:c>
      <x:c r="F143" s="14" t="str">
        <x:v>the surface-wide control identifies the leaking renderer</x:v>
      </x:c>
      <x:c r="G143" s="14" t="str">
        <x:v>P36</x:v>
      </x:c>
      <x:c r="H143" s="14" t="str">
        <x:v>P36</x:v>
      </x:c>
      <x:c r="I143" s="14" t="str">
        <x:v>NOT_RUN</x:v>
      </x:c>
      <x:c r="J143" s="14" t="str">
        <x:v>Declared tests and criteria are not execution results.</x:v>
      </x:c>
    </x:row>
    <x:row r="144" ht="40" customHeight="1">
      <x:c r="A144" s="3" t="str">
        <x:v>J-7-AC1</x:v>
      </x:c>
      <x:c r="B144" s="3" t="str">
        <x:v>J-7</x:v>
      </x:c>
      <x:c r="C144" s="3" t="str">
        <x:v>Header and research copy disclose usable capability and coverage without provider paths, cipher names or uncalibrated rank presented as confidence</x:v>
      </x:c>
      <x:c r="D144" s="3" t="str">
        <x:v>browser_journey, counsel_review</x:v>
      </x:c>
      <x:c r="E144" s="3" t="str">
        <x:v>display an internal database path or normalised search score as a confidence percentage</x:v>
      </x:c>
      <x:c r="F144" s="3" t="str">
        <x:v>the trust-surface review rejects the misleading or technical copy</x:v>
      </x:c>
      <x:c r="G144" s="3" t="str">
        <x:v>P36</x:v>
      </x:c>
      <x:c r="H144" s="3" t="str">
        <x:v>P36</x:v>
      </x:c>
      <x:c r="I144" s="3" t="str">
        <x:v>NOT_RUN</x:v>
      </x:c>
      <x:c r="J144" s="3" t="str">
        <x:v>Declared tests and criteria are not execution results.</x:v>
      </x:c>
    </x:row>
    <x:row r="145" ht="55" customHeight="1">
      <x:c r="A145" s="14" t="str">
        <x:v>J-8-AC1</x:v>
      </x:c>
      <x:c r="B145" s="14" t="str">
        <x:v>J-8</x:v>
      </x:c>
      <x:c r="C145" s="14" t="str">
        <x:v>The frozen known-good regression portfolio preserves exact retrieval support, visible refusal gates, faithful served History and the explicitly selected authentication profile while other journeys change</x:v>
      </x:c>
      <x:c r="D145" s="14" t="str">
        <x:v>integration_test, browser_journey</x:v>
      </x:c>
      <x:c r="E145" s="14" t="str">
        <x:v>remove a formerly supported refusal or rewrite historical served advice while improving another feature</x:v>
      </x:c>
      <x:c r="F145" s="14" t="str">
        <x:v>the cumulative regression gate reports the specific lost behaviour</x:v>
      </x:c>
      <x:c r="G145" s="14" t="str">
        <x:v>P41</x:v>
      </x:c>
      <x:c r="H145" s="14" t="str">
        <x:v>P41</x:v>
      </x:c>
      <x:c r="I145" s="14" t="str">
        <x:v>NOT_RUN</x:v>
      </x:c>
      <x:c r="J145" s="14" t="str">
        <x:v>Declared tests and criteria are not execution results.</x:v>
      </x:c>
    </x:row>
    <x:row r="146" ht="55" customHeight="1">
      <x:c r="A146" s="3" t="str">
        <x:v>BK-77-AC1</x:v>
      </x:c>
      <x:c r="B146" s="3" t="str">
        <x:v>BK-77</x:v>
      </x:c>
      <x:c r="C146" s="3" t="str">
        <x:v>the PRD, all 47 intended journey contracts, professional workflow and current delivery plan agree on visible outcomes, role boundaries, failure, recovery and return loops without promoting unbuilt work</x:v>
      </x:c>
      <x:c r="D146" s="3" t="str">
        <x:v>domain_test</x:v>
      </x:c>
      <x:c r="E146" s="3" t="str">
        <x:v>drop a step contract or contradict the PRD in a delivery profile</x:v>
      </x:c>
      <x:c r="F146" s="3" t="str">
        <x:v>reconciliation names the missing contract or mismatch</x:v>
      </x:c>
      <x:c r="G146" s="3" t="str">
        <x:v>P43</x:v>
      </x:c>
      <x:c r="H146" s="3" t="str">
        <x:v>P43</x:v>
      </x:c>
      <x:c r="I146" s="3" t="str">
        <x:v>NOT_RUN</x:v>
      </x:c>
      <x:c r="J146" s="3" t="str">
        <x:v>Declared tests and criteria are not execution results.</x:v>
      </x:c>
    </x:row>
    <x:row r="147" ht="40" customHeight="1">
      <x:c r="A147" s="14" t="str">
        <x:v>BK-77-AC2</x:v>
      </x:c>
      <x:c r="B147" s="14" t="str">
        <x:v>BK-77</x:v>
      </x:c>
      <x:c r="C147" s="14" t="str">
        <x:v>current waves, foundation and integration ownership, scoped release claims and build guides have one maintained source each and generated artifacts preserve the original planning record</x:v>
      </x:c>
      <x:c r="D147" s="14" t="str">
        <x:v>domain_test</x:v>
      </x:c>
      <x:c r="E147" s="14" t="str">
        <x:v>reintroduce a completion cycle or present a prototype profile as production approval</x:v>
      </x:c>
      <x:c r="F147" s="14" t="str">
        <x:v>plan review refuses the cycle or unsupported release claim</x:v>
      </x:c>
      <x:c r="G147" s="14" t="str">
        <x:v>P43</x:v>
      </x:c>
      <x:c r="H147" s="14" t="str">
        <x:v>P43</x:v>
      </x:c>
      <x:c r="I147" s="14" t="str">
        <x:v>NOT_RUN</x:v>
      </x:c>
      <x:c r="J147" s="14" t="str">
        <x:v>Declared tests and criteria are not execution results.</x:v>
      </x:c>
    </x:row>
    <x:row r="148" ht="40" customHeight="1">
      <x:c r="A148" s="3" t="str">
        <x:v>BK-77-AC3</x:v>
      </x:c>
      <x:c r="B148" s="3" t="str">
        <x:v>BK-77</x:v>
      </x:c>
      <x:c r="C148" s="3" t="str">
        <x:v>every review-discovered enforcement limitation and unfinished product promise is registered and remains unproven until its named work and evidence are complete</x:v>
      </x:c>
      <x:c r="D148" s="3" t="str">
        <x:v>domain_test</x:v>
      </x:c>
      <x:c r="E148" s="3" t="str">
        <x:v>describe code rotation or evidence identity as complete without executable proof</x:v>
      </x:c>
      <x:c r="F148" s="3" t="str">
        <x:v>the record names the remaining gap and refuses completion</x:v>
      </x:c>
      <x:c r="G148" s="3" t="str">
        <x:v>P43</x:v>
      </x:c>
      <x:c r="H148" s="3" t="str">
        <x:v>P43</x:v>
      </x:c>
      <x:c r="I148" s="3" t="str">
        <x:v>NOT_RUN</x:v>
      </x:c>
      <x:c r="J148" s="3" t="str">
        <x:v>Declared tests and criteria are not execution results.</x:v>
      </x:c>
    </x:row>
    <x:row r="149" ht="55" customHeight="1">
      <x:c r="A149" s="14" t="str">
        <x:v>BK-78-AC1</x:v>
      </x:c>
      <x:c r="B149" s="14" t="str">
        <x:v>BK-78</x:v>
      </x:c>
      <x:c r="C149" s="14" t="str">
        <x:v>emergency triage is recorded with actor, basis, scope and outstanding screens, permits only immediate protective or referral guidance, and cannot admit substantive analysis behind a closed screen</x:v>
      </x:c>
      <x:c r="D149" s="14" t="str">
        <x:v>integration_test, browser_journey, counsel_review</x:v>
      </x:c>
      <x:c r="E149" s="14" t="str">
        <x:v>declare an emergency with unresolved conflict or capacity and request merits advice</x:v>
      </x:c>
      <x:c r="F149" s="14" t="str">
        <x:v>protective guidance remains available while substantive work remains refused</x:v>
      </x:c>
      <x:c r="G149" s="14" t="str">
        <x:v>P14</x:v>
      </x:c>
      <x:c r="H149" s="14" t="str">
        <x:v>P14</x:v>
      </x:c>
      <x:c r="I149" s="14" t="str">
        <x:v>NOT_RUN</x:v>
      </x:c>
      <x:c r="J149" s="14" t="str">
        <x:v>Declared tests and criteria are not execution results.</x:v>
      </x:c>
    </x:row>
    <x:row r="150" ht="40" customHeight="1">
      <x:c r="A150" s="3" t="str">
        <x:v>BK-78-AC2</x:v>
      </x:c>
      <x:c r="B150" s="3" t="str">
        <x:v>BK-78</x:v>
      </x:c>
      <x:c r="C150" s="3" t="str">
        <x:v>the emergency declaration and any expiry or revocation survive retry and re-entry, with ordinary screens required before substantive work resumes</x:v>
      </x:c>
      <x:c r="D150" s="3" t="str">
        <x:v>integration_test, adversarial_test</x:v>
      </x:c>
      <x:c r="E150" s="3" t="str">
        <x:v>replay the declaration or continue after its authority expires</x:v>
      </x:c>
      <x:c r="F150" s="3" t="str">
        <x:v>no duplicate exception or continuing unbounded bypass is possible</x:v>
      </x:c>
      <x:c r="G150" s="3" t="str">
        <x:v>P14</x:v>
      </x:c>
      <x:c r="H150" s="3" t="str">
        <x:v>P14</x:v>
      </x:c>
      <x:c r="I150" s="3" t="str">
        <x:v>NOT_RUN</x:v>
      </x:c>
      <x:c r="J150" s="3" t="str">
        <x:v>Declared tests and criteria are not execution results.</x:v>
      </x:c>
    </x:row>
    <x:row r="151" ht="40" customHeight="1">
      <x:c r="A151" s="14" t="str">
        <x:v>BK-79-AC1</x:v>
      </x:c>
      <x:c r="B151" s="14" t="str">
        <x:v>BK-79</x:v>
      </x:c>
      <x:c r="C151" s="14" t="str">
        <x:v>every original, derivative, processor disclosure, retention decision and deletion remains attributable end to end through the served media intake</x:v>
      </x:c>
      <x:c r="D151" s="14" t="str">
        <x:v>integration_test, browser_journey</x:v>
      </x:c>
      <x:c r="E151" s="14" t="str">
        <x:v>derive a transcript that cannot name its original</x:v>
      </x:c>
      <x:c r="F151" s="14" t="str">
        <x:v>the derivative cannot be admitted or represented as traceable</x:v>
      </x:c>
      <x:c r="G151" s="14" t="str">
        <x:v>P25</x:v>
      </x:c>
      <x:c r="H151" s="14" t="str">
        <x:v>P25</x:v>
      </x:c>
      <x:c r="I151" s="14" t="str">
        <x:v>NOT_RUN</x:v>
      </x:c>
      <x:c r="J151" s="14" t="str">
        <x:v>Declared tests and criteria are not execution results.</x:v>
      </x:c>
    </x:row>
    <x:row r="152" ht="40" customHeight="1">
      <x:c r="A152" s="3" t="str">
        <x:v>BK-79-AC2</x:v>
      </x:c>
      <x:c r="B152" s="3" t="str">
        <x:v>BK-79</x:v>
      </x:c>
      <x:c r="C152" s="3" t="str">
        <x:v>cancellation, retry, rejected processing, logout and deletion leave no orphaned privileged material and disclose what remains retained and why</x:v>
      </x:c>
      <x:c r="D152" s="3" t="str">
        <x:v>integration_test, adversarial_test, browser_journey</x:v>
      </x:c>
      <x:c r="E152" s="3" t="str">
        <x:v>cancel processing after a derivative is produced or delete a source under a retention hold</x:v>
      </x:c>
      <x:c r="F152" s="3" t="str">
        <x:v>the inventory reconciles every original and derivative and refuses false deletion success</x:v>
      </x:c>
      <x:c r="G152" s="3" t="str">
        <x:v>P25</x:v>
      </x:c>
      <x:c r="H152" s="3" t="str">
        <x:v>P25</x:v>
      </x:c>
      <x:c r="I152" s="3" t="str">
        <x:v>NOT_RUN</x:v>
      </x:c>
      <x:c r="J152" s="3" t="str">
        <x:v>Declared tests and criteria are not execution results.</x:v>
      </x:c>
    </x:row>
    <x:row r="153" ht="70" customHeight="1">
      <x:c r="A153" s="14" t="str">
        <x:v>BK-79-AC3</x:v>
      </x:c>
      <x:c r="B153" s="14" t="str">
        <x:v>BK-79</x:v>
      </x:c>
      <x:c r="C153" s="14"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3" s="14" t="str">
        <x:v>integration_test, adversarial_test, browser_journey</x:v>
      </x:c>
      <x:c r="E153" s="14" t="str">
        <x:v>bypass media preflight, return a nested prohibited derivative or remove a required observation while retaining speaker_authenticated false</x:v>
      </x:c>
      <x:c r="F153" s="14" t="str">
        <x:v>the actual path refuses prohibited processing and leakage; missing evidence fails the exact observation requirement rather than producing a false pass</x:v>
      </x:c>
      <x:c r="G153" s="14" t="str">
        <x:v>P25</x:v>
      </x:c>
      <x:c r="H153" s="14" t="str">
        <x:v>P25</x:v>
      </x:c>
      <x:c r="I153" s="14" t="str">
        <x:v>NOT_RUN</x:v>
      </x:c>
      <x:c r="J153" s="14" t="str">
        <x:v>Declared tests and criteria are not execution results.</x:v>
      </x:c>
    </x:row>
    <x:row r="154" ht="55" customHeight="1">
      <x:c r="A154" s="3" t="str">
        <x:v>BK-80-AC1</x:v>
      </x:c>
      <x:c r="B154" s="3" t="str">
        <x:v>BK-80</x:v>
      </x:c>
      <x:c r="C154" s="3" t="str">
        <x:v>structured model, counsel and production evidence binds the evaluated source and applicable configuration, model, prompt and corpus identity, reviewer authority, rubric, population, reservations and validity period</x:v>
      </x:c>
      <x:c r="D154" s="3" t="str">
        <x:v>domain_test, adversarial_test</x:v>
      </x:c>
      <x:c r="E154" s="3" t="str">
        <x:v>reuse a PASS record after changing its subject or replace a qualified review with an unattributable assertion</x:v>
      </x:c>
      <x:c r="F154" s="3" t="str">
        <x:v>stale or unqualified evidence cannot confer completion</x:v>
      </x:c>
      <x:c r="G154" s="3" t="str">
        <x:v>P03</x:v>
      </x:c>
      <x:c r="H154" s="3" t="str">
        <x:v>P03</x:v>
      </x:c>
      <x:c r="I154" s="3" t="str">
        <x:v>NOT_RUN</x:v>
      </x:c>
      <x:c r="J154" s="3" t="str">
        <x:v>Declared tests and criteria are not execution results.</x:v>
      </x:c>
    </x:row>
    <x:row r="155" ht="40" customHeight="1">
      <x:c r="A155" s="14" t="str">
        <x:v>BK-80-AC2</x:v>
      </x:c>
      <x:c r="B155" s="14" t="str">
        <x:v>BK-80</x:v>
      </x:c>
      <x:c r="C155" s="14" t="str">
        <x:v>browser evidence requires a completed report with matching start and end identity, nonempty expected population, unique rows and explicit outcomes for every required scenario</x:v>
      </x:c>
      <x:c r="D155" s="14" t="str">
        <x:v>domain_test, adversarial_test</x:v>
      </x:c>
      <x:c r="E155" s="14" t="str">
        <x:v>supply an unfinished report, duplicate a row or omit one expected scenario while retaining a matching fingerprint</x:v>
      </x:c>
      <x:c r="F155" s="14" t="str">
        <x:v>the evidence reader refuses incomplete or contradictory proof</x:v>
      </x:c>
      <x:c r="G155" s="14" t="str">
        <x:v>P03</x:v>
      </x:c>
      <x:c r="H155" s="14" t="str">
        <x:v>P03</x:v>
      </x:c>
      <x:c r="I155" s="14" t="str">
        <x:v>NOT_RUN</x:v>
      </x:c>
      <x:c r="J155" s="14" t="str">
        <x:v>Declared tests and criteria are not execution results.</x:v>
      </x:c>
    </x:row>
    <x:row r="156" ht="55" customHeight="1">
      <x:c r="A156" s="3" t="str">
        <x:v>BK-80-AC3</x:v>
      </x:c>
      <x:c r="B156" s="3" t="str">
        <x:v>BK-80</x:v>
      </x:c>
      <x:c r="C156" s="3" t="str">
        <x:v>the fingerprint covers authoritative PRD, generated specification and applicable guide rules or records a narrowly justified separate semantic attestation, so changing a promise invalidates its proof</x:v>
      </x:c>
      <x:c r="D156" s="3" t="str">
        <x:v>domain_test, adversarial_test</x:v>
      </x:c>
      <x:c r="E156" s="3" t="str">
        <x:v>change a PRD requirement, release gate or playbook obligation without changing product code</x:v>
      </x:c>
      <x:c r="F156" s="3" t="str">
        <x:v>prior conformance evidence becomes stale or requires a new attestation</x:v>
      </x:c>
      <x:c r="G156" s="3" t="str">
        <x:v>P01</x:v>
      </x:c>
      <x:c r="H156" s="3" t="str">
        <x:v>P01</x:v>
      </x:c>
      <x:c r="I156" s="3" t="str">
        <x:v>NOT_RUN</x:v>
      </x:c>
      <x:c r="J156" s="3" t="str">
        <x:v>Declared tests and criteria are not execution results.</x:v>
      </x:c>
    </x:row>
    <x:row r="157" ht="40" customHeight="1">
      <x:c r="A157" s="14" t="str">
        <x:v>BK-80-AC4</x:v>
      </x:c>
      <x:c r="B157" s="14" t="str">
        <x:v>BK-80</x:v>
      </x:c>
      <x:c r="C157" s="14" t="str">
        <x:v>wave, profile and professional criterion mappings are validated without treating a declared manual review or test-name existence as executed enforcement</x:v>
      </x:c>
      <x:c r="D157" s="14" t="str">
        <x:v>domain_test, adversarial_test</x:v>
      </x:c>
      <x:c r="E157" s="14" t="str">
        <x:v>reference an uncollected test or remove a required profile criterion while preserving document keywords</x:v>
      </x:c>
      <x:c r="F157" s="14" t="str">
        <x:v>the release claim fails and identifies the uncovered obligation</x:v>
      </x:c>
      <x:c r="G157" s="14" t="str">
        <x:v>P03</x:v>
      </x:c>
      <x:c r="H157" s="14" t="str">
        <x:v>P03</x:v>
      </x:c>
      <x:c r="I157" s="14" t="str">
        <x:v>NOT_RUN</x:v>
      </x:c>
      <x:c r="J157" s="14" t="str">
        <x:v>Declared tests and criteria are not execution results.</x:v>
      </x:c>
    </x:row>
    <x:row r="158" ht="55" customHeight="1">
      <x:c r="A158" s="3" t="str">
        <x:v>BK-80-AC5</x:v>
      </x:c>
      <x:c r="B158" s="3" t="str">
        <x:v>BK-80</x:v>
      </x:c>
      <x:c r="C158" s="3" t="str">
        <x:v>generated specifications obtain present feature implementation and proof status from the current registry, preserving historical slice metadata explicitly and never restoring tested status from the legacy workbook without current trace evidence</x:v>
      </x:c>
      <x:c r="D158" s="3" t="str">
        <x:v>domain_test, adversarial_test</x:v>
      </x:c>
      <x:c r="E158" s="3" t="str">
        <x:v>regenerate the specification from a legacy workbook after a current feature has been reopened or a new NEVER clause lacks a production refusal</x:v>
      </x:c>
      <x:c r="F158" s="3" t="str">
        <x:v>the export preserves the current gap and trace T7 remains capable of failing rather than inheriting a legacy tested label</x:v>
      </x:c>
      <x:c r="G158" s="3" t="str">
        <x:v>P01</x:v>
      </x:c>
      <x:c r="H158" s="3" t="str">
        <x:v>P01</x:v>
      </x:c>
      <x:c r="I158" s="3" t="str">
        <x:v>NOT_RUN</x:v>
      </x:c>
      <x:c r="J158" s="3" t="str">
        <x:v>Declared tests and criteria are not execution results.</x:v>
      </x:c>
    </x:row>
    <x:row r="159" ht="100" customHeight="1">
      <x:c r="A159" s="14" t="str">
        <x:v>BK-80-AC6</x:v>
      </x:c>
      <x:c r="B159" s="14" t="str">
        <x:v>BK-80</x:v>
      </x:c>
      <x:c r="C159" s="14"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59" s="14" t="str">
        <x:v>domain_test, adversarial_test</x:v>
      </x:c>
      <x:c r="E159" s="14" t="str">
        <x:v>reuse approval after relevant configuration changes, revoke or expire it, substitute an unauthorised signer, widen scope or replace signed authority with a PASS measurement or proposal flag</x:v>
      </x:c>
      <x:c r="F159" s="14" t="str">
        <x:v>only current verified matching authority satisfies the affected decision prerequisite; all other states remain visible and cannot authorise protected operations</x:v>
      </x:c>
      <x:c r="G159" s="14" t="str">
        <x:v>P03</x:v>
      </x:c>
      <x:c r="H159" s="14" t="str">
        <x:v>P03</x:v>
      </x:c>
      <x:c r="I159" s="14" t="str">
        <x:v>NOT_RUN</x:v>
      </x:c>
      <x:c r="J159" s="14" t="str">
        <x:v>Declared tests and criteria are not execution results.</x:v>
      </x:c>
    </x:row>
    <x:row r="160" ht="70" customHeight="1">
      <x:c r="A160" s="3" t="str">
        <x:v>BK-80-AC7</x:v>
      </x:c>
      <x:c r="B160" s="3" t="str">
        <x:v>BK-80</x:v>
      </x:c>
      <x:c r="C160" s="3"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60" s="3" t="str">
        <x:v>domain_test, adversarial_test</x:v>
      </x:c>
      <x:c r="E160" s="3" t="str">
        <x:v>plant a failure absent from docs/backlog/known_failures.yaml, or make a declared failure pass, or present the scoped stamp to a caller requiring a full gate</x:v>
      </x:c>
      <x:c r="F160" s="3" t="str">
        <x:v>the build is blocked in the first two cases and the stamp is refused in the third; a scoped pass never reads as a full green and never lets an acceptance criterion derive done</x:v>
      </x:c>
      <x:c r="G160" s="3" t="str">
        <x:v>P01</x:v>
      </x:c>
      <x:c r="H160" s="3" t="str">
        <x:v>P01</x:v>
      </x:c>
      <x:c r="I160" s="3" t="str">
        <x:v>NOT_RUN</x:v>
      </x:c>
      <x:c r="J160" s="3" t="str">
        <x:v>Declared tests and criteria are not execution results.</x:v>
      </x:c>
    </x:row>
    <x:row r="161" ht="40" customHeight="1">
      <x:c r="A161" s="14" t="str">
        <x:v>BK-81-AC1</x:v>
      </x:c>
      <x:c r="B161" s="14" t="str">
        <x:v>BK-81</x:v>
      </x:c>
      <x:c r="C161" s="14" t="str">
        <x:v>Every current item, feature and journey step has exactly one primary module mapping; module references, prerequisites and guide paths resolve and no module carries an authored completion status</x:v>
      </x:c>
      <x:c r="D161" s="14" t="str">
        <x:v>domain_test, adversarial_test</x:v>
      </x:c>
      <x:c r="E161" s="14" t="str">
        <x:v>delete a mapping, duplicate an owner or introduce a cycle</x:v>
      </x:c>
      <x:c r="F161" s="14" t="str">
        <x:v>the blueprint check reports the specific missing owner, duplicate or cycle</x:v>
      </x:c>
      <x:c r="G161" s="14" t="str">
        <x:v>P43</x:v>
      </x:c>
      <x:c r="H161" s="14" t="str">
        <x:v>P43</x:v>
      </x:c>
      <x:c r="I161" s="14" t="str">
        <x:v>NOT_RUN</x:v>
      </x:c>
      <x:c r="J161" s="14" t="str">
        <x:v>Declared tests and criteria are not execution results.</x:v>
      </x:c>
    </x:row>
    <x:row r="162" ht="55" customHeight="1">
      <x:c r="A162" s="3" t="str">
        <x:v>BK-81-AC2</x:v>
      </x:c>
      <x:c r="B162" s="3" t="str">
        <x:v>BK-81</x:v>
      </x:c>
      <x:c r="C162" s="3" t="str">
        <x:v>The blueprint specifies India-only scope, professional boundaries, legal and data architecture, security controls, operational decisions and live module acceptance without representing proposals as implemented or universally compliant</x:v>
      </x:c>
      <x:c r="D162" s="3" t="str">
        <x:v>counsel_review</x:v>
      </x:c>
      <x:c r="E162" s="3" t="str">
        <x:v>present an unsupported Indian jurisdiction, unapproved processor or synthetic demo as production-ready</x:v>
      </x:c>
      <x:c r="F162" s="3" t="str">
        <x:v>the recorded design review rejects the claim and identifies the missing legal, privacy or operational approval</x:v>
      </x:c>
      <x:c r="G162" s="3" t="str">
        <x:v>P43</x:v>
      </x:c>
      <x:c r="H162" s="3" t="str">
        <x:v>P43</x:v>
      </x:c>
      <x:c r="I162" s="3" t="str">
        <x:v>NOT_RUN</x:v>
      </x:c>
      <x:c r="J162" s="3" t="str">
        <x:v>Declared tests and criteria are not execution results.</x:v>
      </x:c>
    </x:row>
    <x:row r="163" ht="55" customHeight="1">
      <x:c r="A163" s="14" t="str">
        <x:v>BK-81-AC3</x:v>
      </x:c>
      <x:c r="B163" s="14" t="str">
        <x:v>BK-81</x:v>
      </x:c>
      <x:c r="C163" s="14" t="str">
        <x:v>The executable sequence maps new substrate and control work to registered criteria, preserves existing evidence and wave assignments, and identifies current validation failures and adoption decisions</x:v>
      </x:c>
      <x:c r="D163" s="14" t="str">
        <x:v>domain_test</x:v>
      </x:c>
      <x:c r="E163" s="14" t="str">
        <x:v>introduce new unowned delivery work or label an unrun check as successful</x:v>
      </x:c>
      <x:c r="F163" s="14" t="str">
        <x:v>mapping validation or recorded conformance review refuses closure</x:v>
      </x:c>
      <x:c r="G163" s="14" t="str">
        <x:v>P43</x:v>
      </x:c>
      <x:c r="H163" s="14" t="str">
        <x:v>P43</x:v>
      </x:c>
      <x:c r="I163" s="14" t="str">
        <x:v>NOT_RUN</x:v>
      </x:c>
      <x:c r="J163" s="14" t="str">
        <x:v>Declared tests and criteria are not execution results.</x:v>
      </x:c>
    </x:row>
    <x:row r="164" ht="55" customHeight="1">
      <x:c r="A164" s="3" t="str">
        <x:v>BK-82-AC1</x:v>
      </x:c>
      <x:c r="B164" s="3" t="str">
        <x:v>BK-82</x:v>
      </x:c>
      <x:c r="C164" s="3" t="str">
        <x:v>An isolated operator-only console derives module evidence from registered work and current proof, distinguishes scripted, approved real-model and deployed modes, and cannot confer production approval</x:v>
      </x:c>
      <x:c r="D164" s="3" t="str">
        <x:v>integration_test, browser_journey</x:v>
      </x:c>
      <x:c r="E164" s="3" t="str">
        <x:v>reuse synthetic results for a real-model or production badge</x:v>
      </x:c>
      <x:c r="F164" s="3" t="str">
        <x:v>the console shows incompatible proof and refuses the claim</x:v>
      </x:c>
      <x:c r="G164" s="3" t="str">
        <x:v>P04</x:v>
      </x:c>
      <x:c r="H164" s="3" t="str">
        <x:v>P04</x:v>
      </x:c>
      <x:c r="I164" s="3" t="str">
        <x:v>NOT_RUN</x:v>
      </x:c>
      <x:c r="J164" s="3" t="str">
        <x:v>Declared tests and criteria are not execution results.</x:v>
      </x:c>
    </x:row>
    <x:row r="165" ht="40" customHeight="1">
      <x:c r="A165" s="14" t="str">
        <x:v>BK-82-AC2</x:v>
      </x:c>
      <x:c r="B165" s="14" t="str">
        <x:v>BK-82</x:v>
      </x:c>
      <x:c r="C165" s="14" t="str">
        <x:v>Each activated module records exact fixture and scenario populations, served identity, success, denial, recovery and restart outcomes; missing, duplicate, stale or unexpected rows fail</x:v>
      </x:c>
      <x:c r="D165" s="14" t="str">
        <x:v>domain_test, adversarial_test</x:v>
      </x:c>
      <x:c r="E165" s="14" t="str">
        <x:v>drop the restart scenario or edit the source after a demo</x:v>
      </x:c>
      <x:c r="F165" s="14" t="str">
        <x:v>the module is incomplete or stale with the specific missing or changed obligation</x:v>
      </x:c>
      <x:c r="G165" s="14" t="str">
        <x:v>P04</x:v>
      </x:c>
      <x:c r="H165" s="14" t="str">
        <x:v>P04</x:v>
      </x:c>
      <x:c r="I165" s="14" t="str">
        <x:v>NOT_RUN</x:v>
      </x:c>
      <x:c r="J165" s="14" t="str">
        <x:v>Declared tests and criteria are not execution results.</x:v>
      </x:c>
    </x:row>
    <x:row r="166" ht="40" customHeight="1">
      <x:c r="A166" s="3" t="str">
        <x:v>BK-82-AC3</x:v>
      </x:c>
      <x:c r="B166" s="3" t="str">
        <x:v>BK-82</x:v>
      </x:c>
      <x:c r="C166" s="3" t="str">
        <x:v>The module manifest is reconciled with all current items, features and steps in Class-A CI; references cannot silently disappear and no second authored status becomes authoritative</x:v>
      </x:c>
      <x:c r="D166" s="3" t="str">
        <x:v>domain_test, adversarial_test</x:v>
      </x:c>
      <x:c r="E166" s="3" t="str">
        <x:v>add a registry item without an owning module or type a module done value</x:v>
      </x:c>
      <x:c r="F166" s="3" t="str">
        <x:v>CI identifies the unmapped item or forbidden status field</x:v>
      </x:c>
      <x:c r="G166" s="3" t="str">
        <x:v>P04</x:v>
      </x:c>
      <x:c r="H166" s="3" t="str">
        <x:v>P04</x:v>
      </x:c>
      <x:c r="I166" s="3" t="str">
        <x:v>NOT_RUN</x:v>
      </x:c>
      <x:c r="J166" s="3" t="str">
        <x:v>Declared tests and criteria are not execution results.</x:v>
      </x:c>
    </x:row>
    <x:row r="167" ht="55" customHeight="1">
      <x:c r="A167" s="14" t="str">
        <x:v>BK-83-AC1</x:v>
      </x:c>
      <x:c r="B167" s="14" t="str">
        <x:v>BK-83</x:v>
      </x:c>
      <x:c r="C167" s="14" t="str">
        <x:v>A PostgreSQL adapter preserves the existing store version-conditional contract, transactionally persists accepted commands and outbox records, and enforces actor, workspace and matter policy before retrieval</x:v>
      </x:c>
      <x:c r="D167" s="14" t="str">
        <x:v>integration_test, adversarial_test</x:v>
      </x:c>
      <x:c r="E167" s="14" t="str">
        <x:v>race two updates or reuse a connection with a different tenant context</x:v>
      </x:c>
      <x:c r="F167" s="14" t="str">
        <x:v>one version wins, the stale writer reconciles, and no cross-tenant row is observable</x:v>
      </x:c>
      <x:c r="G167" s="14" t="str">
        <x:v>P10</x:v>
      </x:c>
      <x:c r="H167" s="14" t="str">
        <x:v>P10</x:v>
      </x:c>
      <x:c r="I167" s="14" t="str">
        <x:v>NOT_RUN</x:v>
      </x:c>
      <x:c r="J167" s="14" t="str">
        <x:v>Declared tests and criteria are not execution results.</x:v>
      </x:c>
    </x:row>
    <x:row r="168" ht="55" customHeight="1">
      <x:c r="A168" s="3" t="str">
        <x:v>BK-83-AC2</x:v>
      </x:c>
      <x:c r="B168" s="3" t="str">
        <x:v>BK-83</x:v>
      </x:c>
      <x:c r="C168" s="3" t="str">
        <x:v>Outbox workers use durable leases, idempotent effects and permission rechecks; crash, replay, cancellation and revocation have explicit state transitions without claiming exactly-once external delivery</x:v>
      </x:c>
      <x:c r="D168" s="3" t="str">
        <x:v>integration_test, adversarial_test</x:v>
      </x:c>
      <x:c r="E168" s="3" t="str">
        <x:v>crash after an external effect or revoke membership while a job is leased</x:v>
      </x:c>
      <x:c r="F168" s="3" t="str">
        <x:v>ambiguous external effects reconcile before retry and unauthorised results cannot publish</x:v>
      </x:c>
      <x:c r="G168" s="3" t="str">
        <x:v>P11</x:v>
      </x:c>
      <x:c r="H168" s="3" t="str">
        <x:v>P11</x:v>
      </x:c>
      <x:c r="I168" s="3" t="str">
        <x:v>NOT_RUN</x:v>
      </x:c>
      <x:c r="J168" s="3" t="str">
        <x:v>Declared tests and criteria are not execution results.</x:v>
      </x:c>
    </x:row>
    <x:row r="169" ht="55" customHeight="1">
      <x:c r="A169" s="14" t="str">
        <x:v>BK-83-AC3</x:v>
      </x:c>
      <x:c r="B169" s="14" t="str">
        <x:v>BK-83</x:v>
      </x:c>
      <x:c r="C169" s="14" t="str">
        <x:v>A rehearsed migration validates source and target inventories, version history and original asset links, keeps a single write authority, and proves backup restore and cutover rollback without lost accepted writes</x:v>
      </x:c>
      <x:c r="D169" s="14" t="str">
        <x:v>integration_test, production_measure</x:v>
      </x:c>
      <x:c r="E169" s="14" t="str">
        <x:v>abort a cutover or roll back after target-only writes</x:v>
      </x:c>
      <x:c r="F169" s="14" t="str">
        <x:v>reconciliation preserves accepted writes or prevents unsafe rollback; counts and content checks expose mismatch</x:v>
      </x:c>
      <x:c r="G169" s="14" t="str">
        <x:v>P12, P38</x:v>
      </x:c>
      <x:c r="H169" s="14" t="str">
        <x:v>P38</x:v>
      </x:c>
      <x:c r="I169" s="14" t="str">
        <x:v>NOT_RUN</x:v>
      </x:c>
      <x:c r="J169" s="14" t="str">
        <x:v>Declared tests and criteria are not execution results.</x:v>
      </x:c>
    </x:row>
    <x:row r="170" ht="55" customHeight="1">
      <x:c r="A170" s="3" t="str">
        <x:v>BK-84-AC1</x:v>
      </x:c>
      <x:c r="B170" s="3" t="str">
        <x:v>BK-84</x:v>
      </x:c>
      <x:c r="C170" s="3" t="str">
        <x:v>Published Indian primary sources carry provenance, canonical identity, jurisdiction, language, effective and observed dates, amendment or treatment state and an explicit supported coverage declaration</x:v>
      </x:c>
      <x:c r="D170" s="3" t="str">
        <x:v>domain_test, counsel_review</x:v>
      </x:c>
      <x:c r="E170" s="3" t="str">
        <x:v>substitute a draft, stale provision, unreadable source or wrong High Court as verified controlling law</x:v>
      </x:c>
      <x:c r="F170" s="3" t="str">
        <x:v>publication or use is withheld with the precise unresolved coverage or applicability basis</x:v>
      </x:c>
      <x:c r="G170" s="3" t="str">
        <x:v>P19</x:v>
      </x:c>
      <x:c r="H170" s="3" t="str">
        <x:v>P19</x:v>
      </x:c>
      <x:c r="I170" s="3" t="str">
        <x:v>NOT_RUN</x:v>
      </x:c>
      <x:c r="J170" s="3" t="str">
        <x:v>Declared tests and criteria are not execution results.</x:v>
      </x:c>
    </x:row>
    <x:row r="171" ht="55" customHeight="1">
      <x:c r="A171" s="14" t="str">
        <x:v>BK-84-AC2</x:v>
      </x:c>
      <x:c r="B171" s="14" t="str">
        <x:v>BK-84</x:v>
      </x:c>
      <x:c r="C171" s="14" t="str">
        <x:v>Corpus ingestion is staged and rights-reviewed, publishing an immutable manifest atomically only after reconciliation and source quality checks; rollback and amendment-triggered invalidation preserve previous snapshots</x:v>
      </x:c>
      <x:c r="D171" s="14" t="str">
        <x:v>integration_test, adversarial_test</x:v>
      </x:c>
      <x:c r="E171" s="14" t="str">
        <x:v>interrupt publication, change the source hash or withdraw an authority after indexing</x:v>
      </x:c>
      <x:c r="F171" s="14" t="str">
        <x:v>readers cannot see a half-published snapshot and dependent work is flagged for reassessment</x:v>
      </x:c>
      <x:c r="G171" s="14" t="str">
        <x:v>P20</x:v>
      </x:c>
      <x:c r="H171" s="14" t="str">
        <x:v>P20</x:v>
      </x:c>
      <x:c r="I171" s="14" t="str">
        <x:v>NOT_RUN</x:v>
      </x:c>
      <x:c r="J171" s="14" t="str">
        <x:v>Declared tests and criteria are not execution results.</x:v>
      </x:c>
    </x:row>
    <x:row r="172" ht="55" customHeight="1">
      <x:c r="A172" s="3" t="str">
        <x:v>BK-84-AC3</x:v>
      </x:c>
      <x:c r="B172" s="3" t="str">
        <x:v>BK-84</x:v>
      </x:c>
      <x:c r="C172" s="3" t="str">
        <x:v>A maintained discovery and verification workflow separates finding, citation resolution, quotation fidelity, entailment, treatment and legal applicability; missing negative treatment research never becomes a clean-bill assertion</x:v>
      </x:c>
      <x:c r="D172" s="3" t="str">
        <x:v>model_eval, counsel_review</x:v>
      </x:c>
      <x:c r="E172" s="3" t="str">
        <x:v>retrieve a correct quote from an overruled or inapplicable decision</x:v>
      </x:c>
      <x:c r="F172" s="3" t="str">
        <x:v>the evaluated conclusion records the limitation or is withheld, rather than inheriting authority from retrieval rank</x:v>
      </x:c>
      <x:c r="G172" s="3" t="str">
        <x:v>P21</x:v>
      </x:c>
      <x:c r="H172" s="3" t="str">
        <x:v>P21</x:v>
      </x:c>
      <x:c r="I172" s="3" t="str">
        <x:v>NOT_RUN</x:v>
      </x:c>
      <x:c r="J172" s="3" t="str">
        <x:v>Declared tests and criteria are not execution results.</x:v>
      </x:c>
    </x:row>
    <x:row r="173" ht="55" customHeight="1">
      <x:c r="A173" s="14" t="str">
        <x:v>BK-85-AC1</x:v>
      </x:c>
      <x:c r="B173" s="14" t="str">
        <x:v>BK-85</x:v>
      </x:c>
      <x:c r="C173" s="14" t="str">
        <x:v>A reviewed India-only data-flow and processor inventory enforces region and purpose policy for originals, derivatives, indexes, models, backups, support and telemetry; unapproved egress fails closed</x:v>
      </x:c>
      <x:c r="D173" s="14" t="str">
        <x:v>integration_test, adversarial_test, production_measure</x:v>
      </x:c>
      <x:c r="E173" s="14" t="str">
        <x:v>enable a foreign processor or send privileged text through diagnostic telemetry</x:v>
      </x:c>
      <x:c r="F173" s="14" t="str">
        <x:v>policy rejects the processing route and a content-free audit identifies the refusal</x:v>
      </x:c>
      <x:c r="G173" s="14" t="str">
        <x:v>P06, P39</x:v>
      </x:c>
      <x:c r="H173" s="14" t="str">
        <x:v>P39</x:v>
      </x:c>
      <x:c r="I173" s="14" t="str">
        <x:v>NOT_RUN</x:v>
      </x:c>
      <x:c r="J173" s="14" t="str">
        <x:v>Declared tests and criteria are not execution results.</x:v>
      </x:c>
    </x:row>
    <x:row r="174" ht="55" customHeight="1">
      <x:c r="A174" s="3" t="str">
        <x:v>BK-85-AC2</x:v>
      </x:c>
      <x:c r="B174" s="3" t="str">
        <x:v>BK-85</x:v>
      </x:c>
      <x:c r="C174" s="3" t="str">
        <x:v>KMS-backed envelope encryption separates authentication, provider and data keys, scopes decrypt authority, supports audited rotation, and proves restore under least privilege without plaintext fallbacks</x:v>
      </x:c>
      <x:c r="D174" s="3" t="str">
        <x:v>integration_test, adversarial_test, production_measure</x:v>
      </x:c>
      <x:c r="E174" s="3" t="str">
        <x:v>deny KMS access, rotate a key during a write or attempt cross-matter decryption</x:v>
      </x:c>
      <x:c r="F174" s="3" t="str">
        <x:v>the request safely fails or recovers without plaintext persistence, data loss or cross-matter access</x:v>
      </x:c>
      <x:c r="G174" s="3" t="str">
        <x:v>P07, P38</x:v>
      </x:c>
      <x:c r="H174" s="3" t="str">
        <x:v>P38</x:v>
      </x:c>
      <x:c r="I174" s="3" t="str">
        <x:v>NOT_RUN</x:v>
      </x:c>
      <x:c r="J174" s="3" t="str">
        <x:v>Declared tests and criteria are not execution results.</x:v>
      </x:c>
    </x:row>
    <x:row r="175" ht="55" customHeight="1">
      <x:c r="A175" s="14" t="str">
        <x:v>BK-85-AC3</x:v>
      </x:c>
      <x:c r="B175" s="14" t="str">
        <x:v>BK-85</x:v>
      </x:c>
      <x:c r="C175" s="14" t="str">
        <x:v>A qualified dated India applicability review names legal roles, operative instruments and dates, permissions, retention duties, incident clocks and accountability; a framework checklist alone is not compliance</x:v>
      </x:c>
      <x:c r="D175" s="14" t="str">
        <x:v>counsel_review</x:v>
      </x:c>
      <x:c r="E175" s="14" t="str">
        <x:v>label every DPDP provision operative now or infer blanket localisation from India-only customers</x:v>
      </x:c>
      <x:c r="F175" s="14" t="str">
        <x:v>qualified review rejects the claim and records the applicable instrument and processing policy separately</x:v>
      </x:c>
      <x:c r="G175" s="14" t="str">
        <x:v>P05</x:v>
      </x:c>
      <x:c r="H175" s="14" t="str">
        <x:v>P05</x:v>
      </x:c>
      <x:c r="I175" s="14" t="str">
        <x:v>NOT_RUN</x:v>
      </x:c>
      <x:c r="J175" s="14" t="str">
        <x:v>Declared tests and criteria are not execution results.</x:v>
      </x:c>
    </x:row>
    <x:row r="176" ht="55" customHeight="1">
      <x:c r="A176" s="3" t="str">
        <x:v>BK-85-AC4</x:v>
      </x:c>
      <x:c r="B176" s="3" t="str">
        <x:v>BK-85</x:v>
      </x:c>
      <x:c r="C176" s="3" t="str">
        <x:v>The retention-policy foundation represents holds, erasure requests, derivative lineage and restore tombstones as explicit decisions and refuses an inconsistent lifecycle transition; BK-88-AC1 retains proof over actual served originals, derivatives and restored data</x:v>
      </x:c>
      <x:c r="D176" s="3" t="str">
        <x:v>domain_test, adversarial_test</x:v>
      </x:c>
      <x:c r="E176" s="3" t="str">
        <x:v>ask the policy to erase a held asset or expose a restored asset with a later tombstone</x:v>
      </x:c>
      <x:c r="F176" s="3" t="str">
        <x:v>the policy returns an explicit hold or denial without claiming the integrated physical deletion was executed</x:v>
      </x:c>
      <x:c r="G176" s="3" t="str">
        <x:v>P33</x:v>
      </x:c>
      <x:c r="H176" s="3" t="str">
        <x:v>P33</x:v>
      </x:c>
      <x:c r="I176" s="3" t="str">
        <x:v>NOT_RUN</x:v>
      </x:c>
      <x:c r="J176" s="3" t="str">
        <x:v>Declared tests and criteria are not execution results.</x:v>
      </x:c>
    </x:row>
    <x:row r="177" ht="40" customHeight="1">
      <x:c r="A177" s="14" t="str">
        <x:v>BK-85-AC5</x:v>
      </x:c>
      <x:c r="B177" s="14" t="str">
        <x:v>BK-85</x:v>
      </x:c>
      <x:c r="C177" s="14" t="str">
        <x:v>A rehearsed incident process with named on-call and legal owners captures detection time, applicable reporting clock, containment, evidence custody and recovery without routine content logging</x:v>
      </x:c>
      <x:c r="D177" s="14" t="str">
        <x:v>production_measure</x:v>
      </x:c>
      <x:c r="E177" s="14" t="str">
        <x:v>simulate a reportable incident with incomplete initial information and unavailable primary contact</x:v>
      </x:c>
      <x:c r="F177" s="14" t="str">
        <x:v>available-information reporting and secondary escalation execute under the reviewed clock</x:v>
      </x:c>
      <x:c r="G177" s="14" t="str">
        <x:v>P40</x:v>
      </x:c>
      <x:c r="H177" s="14" t="str">
        <x:v>P40</x:v>
      </x:c>
      <x:c r="I177" s="14" t="str">
        <x:v>NOT_RUN</x:v>
      </x:c>
      <x:c r="J177" s="14" t="str">
        <x:v>Declared tests and criteria are not execution results.</x:v>
      </x:c>
    </x:row>
    <x:row r="178" ht="40" customHeight="1">
      <x:c r="A178" s="3" t="str">
        <x:v>BK-85-AC6</x:v>
      </x:c>
      <x:c r="B178" s="3" t="str">
        <x:v>BK-85</x:v>
      </x:c>
      <x:c r="C178" s="3" t="str">
        <x:v>Build provenance, dependency and secret controls, least-privilege support, audited emergency access and security review are demonstrated on the target delivery pipeline</x:v>
      </x:c>
      <x:c r="D178" s="3" t="str">
        <x:v>adversarial_test, production_measure</x:v>
      </x:c>
      <x:c r="E178" s="3" t="str">
        <x:v>introduce a secret-bearing artifact or use a support account to inspect an unrelated matter</x:v>
      </x:c>
      <x:c r="F178" s="3" t="str">
        <x:v>the artifact or access is denied for the intended reason without exposing content</x:v>
      </x:c>
      <x:c r="G178" s="3" t="str">
        <x:v>P39</x:v>
      </x:c>
      <x:c r="H178" s="3" t="str">
        <x:v>P39</x:v>
      </x:c>
      <x:c r="I178" s="3" t="str">
        <x:v>NOT_RUN</x:v>
      </x:c>
      <x:c r="J178" s="3" t="str">
        <x:v>Declared tests and criteria are not execution results.</x:v>
      </x:c>
    </x:row>
    <x:row r="179" ht="55" customHeight="1">
      <x:c r="A179" s="14" t="str">
        <x:v>BK-86-AC1</x:v>
      </x:c>
      <x:c r="B179" s="14" t="str">
        <x:v>BK-86</x:v>
      </x:c>
      <x:c r="C179" s="14" t="str">
        <x:v>The confidential profile requires approved strong MFA or user-verifying passkey authentication for every protected entry path and sensitive credential change; a stolen password alone cannot admit privileged work</x:v>
      </x:c>
      <x:c r="D179" s="14" t="str">
        <x:v>integration_test, adversarial_test, browser_journey</x:v>
      </x:c>
      <x:c r="E179" s="14" t="str">
        <x:v>bypass the second factor through a direct endpoint, remembered session or profile change</x:v>
      </x:c>
      <x:c r="F179" s="14" t="str">
        <x:v>the server enforces required assurance and refuses confidential access</x:v>
      </x:c>
      <x:c r="G179" s="14" t="str">
        <x:v>P08</x:v>
      </x:c>
      <x:c r="H179" s="14" t="str">
        <x:v>P08</x:v>
      </x:c>
      <x:c r="I179" s="14" t="str">
        <x:v>NOT_RUN</x:v>
      </x:c>
      <x:c r="J179" s="14" t="str">
        <x:v>Declared tests and criteria are not execution results.</x:v>
      </x:c>
    </x:row>
    <x:row r="180" ht="55" customHeight="1">
      <x:c r="A180" s="3" t="str">
        <x:v>BK-86-AC2</x:v>
      </x:c>
      <x:c r="B180" s="3" t="str">
        <x:v>BK-86</x:v>
      </x:c>
      <x:c r="C180" s="3" t="str">
        <x:v>Factor enrolment, replacement, loss and recovery have an approved assurance model, replay resistance, rate limits, notification policy and global session invalidation; recovery cannot silently downgrade confidential access</x:v>
      </x:c>
      <x:c r="D180" s="3" t="str">
        <x:v>integration_test, adversarial_test, browser_journey</x:v>
      </x:c>
      <x:c r="E180" s="3" t="str">
        <x:v>reuse a recovery proof or replace a factor with only a stolen password</x:v>
      </x:c>
      <x:c r="F180" s="3" t="str">
        <x:v>recovery or replacement is denied and successful authorised recovery invalidates existing sessions</x:v>
      </x:c>
      <x:c r="G180" s="3" t="str">
        <x:v>P08</x:v>
      </x:c>
      <x:c r="H180" s="3" t="str">
        <x:v>P08</x:v>
      </x:c>
      <x:c r="I180" s="3" t="str">
        <x:v>NOT_RUN</x:v>
      </x:c>
      <x:c r="J180" s="3" t="str">
        <x:v>Declared tests and criteria are not execution results.</x:v>
      </x:c>
    </x:row>
    <x:row r="181" ht="40" customHeight="1">
      <x:c r="A181" s="14" t="str">
        <x:v>BK-86-AC3</x:v>
      </x:c>
      <x:c r="B181" s="14" t="str">
        <x:v>BK-86</x:v>
      </x:c>
      <x:c r="C181" s="14" t="str">
        <x:v>An actual-device rehearsal proves enrolment, sign-in, factor loss, recovery, revocation and audited changes for the approved pilot identity provider and configured assurance policy</x:v>
      </x:c>
      <x:c r="D181" s="14" t="str">
        <x:v>browser_journey, production_measure</x:v>
      </x:c>
      <x:c r="E181" s="14" t="str">
        <x:v>supply proof from a scripted factor adapter or another authentication configuration</x:v>
      </x:c>
      <x:c r="F181" s="14" t="str">
        <x:v>the confidential pilot gate refuses incompatible evidence</x:v>
      </x:c>
      <x:c r="G181" s="14" t="str">
        <x:v>P09</x:v>
      </x:c>
      <x:c r="H181" s="14" t="str">
        <x:v>P09</x:v>
      </x:c>
      <x:c r="I181" s="14" t="str">
        <x:v>NOT_RUN</x:v>
      </x:c>
      <x:c r="J181" s="14" t="str">
        <x:v>Declared tests and criteria are not execution results.</x:v>
      </x:c>
    </x:row>
    <x:row r="182" ht="40" customHeight="1">
      <x:c r="A182" s="3" t="str">
        <x:v>BK-87-AC1</x:v>
      </x:c>
      <x:c r="B182" s="3" t="str">
        <x:v>BK-87</x:v>
      </x:c>
      <x:c r="C182" s="3" t="str">
        <x:v>The executable work graph reconciles packet prerequisites with registered item and criterion dependencies and rejects cycles, reversed work and undocumented foundation or integration splits</x:v>
      </x:c>
      <x:c r="D182" s="3" t="str">
        <x:v>domain_test, adversarial_test</x:v>
      </x:c>
      <x:c r="E182" s="3" t="str">
        <x:v>restore the M03 media integration dependency on M08 or drop a prerequisite</x:v>
      </x:c>
      <x:c r="F182" s="3" t="str">
        <x:v>the combined execution check identifies the implicated criteria and cycle</x:v>
      </x:c>
      <x:c r="G182" s="3" t="str"/>
      <x:c r="H182" s="3" t="str">
        <x:v>Current planning delivery</x:v>
      </x:c>
      <x:c r="I182" s="3" t="str">
        <x:v>NOT_RUN</x:v>
      </x:c>
      <x:c r="J182" s="3" t="str">
        <x:v>Declared tests and criteria are not execution results.</x:v>
      </x:c>
    </x:row>
    <x:row r="183" ht="40" customHeight="1">
      <x:c r="A183" s="14" t="str">
        <x:v>BK-87-AC2</x:v>
      </x:c>
      <x:c r="B183" s="14" t="str">
        <x:v>BK-87</x:v>
      </x:c>
      <x:c r="C183" s="14" t="str">
        <x:v>Every planned command has resolvable closed request and response schemas, acceptance ownership, validation examples and explicit error, permission, version and retry semantics</x:v>
      </x:c>
      <x:c r="D183" s="14" t="str">
        <x:v>domain_test, adversarial_test</x:v>
      </x:c>
      <x:c r="E183" s="14" t="str">
        <x:v>accept an unknown client-controlled tenant field or reference a missing schema or criterion</x:v>
      </x:c>
      <x:c r="F183" s="14" t="str">
        <x:v>contract validation rejects the intended invalid input or unresolved reference</x:v>
      </x:c>
      <x:c r="G183" s="14" t="str"/>
      <x:c r="H183" s="14" t="str">
        <x:v>Current planning delivery</x:v>
      </x:c>
      <x:c r="I183" s="14" t="str">
        <x:v>NOT_RUN</x:v>
      </x:c>
      <x:c r="J183" s="14" t="str">
        <x:v>Declared tests and criteria are not execution results.</x:v>
      </x:c>
    </x:row>
    <x:row r="184" ht="55" customHeight="1">
      <x:c r="A184" s="3" t="str">
        <x:v>BK-87-AC3</x:v>
      </x:c>
      <x:c r="B184" s="3" t="str">
        <x:v>BK-87</x:v>
      </x:c>
      <x:c r="C184" s="3" t="str">
        <x:v>Every executable packet links concrete proof specifications and required decisions; unpopulated legal evaluation portfolios and unsigned approvals cannot be represented as executed release evidence</x:v>
      </x:c>
      <x:c r="D184" s="3" t="str">
        <x:v>domain_test, adversarial_test</x:v>
      </x:c>
      <x:c r="E184" s="3" t="str">
        <x:v>mark a portfolio ready while its actual members are absent or count synthetic specifications as run evidence</x:v>
      </x:c>
      <x:c r="F184" s="3" t="str">
        <x:v>the readiness report keeps deployment closed and names missing approval or evaluated population</x:v>
      </x:c>
      <x:c r="G184" s="3" t="str"/>
      <x:c r="H184" s="3" t="str">
        <x:v>Current planning delivery</x:v>
      </x:c>
      <x:c r="I184" s="3" t="str">
        <x:v>NOT_RUN</x:v>
      </x:c>
      <x:c r="J184" s="3" t="str">
        <x:v>Declared tests and criteria are not execution results.</x:v>
      </x:c>
    </x:row>
    <x:row r="185" ht="40" customHeight="1">
      <x:c r="A185" s="14" t="str">
        <x:v>BK-87-AC4</x:v>
      </x:c>
      <x:c r="B185" s="14" t="str">
        <x:v>BK-87</x:v>
      </x:c>
      <x:c r="C185" s="14" t="str">
        <x:v>Current registry items, features, journey steps and original wave assignments are preserved and the generated workbook reconciles to the revised source identity</x:v>
      </x:c>
      <x:c r="D185" s="14" t="str">
        <x:v>domain_test</x:v>
      </x:c>
      <x:c r="E185" s="14" t="str">
        <x:v>remove an original item or publish a workbook whose source hashes differ</x:v>
      </x:c>
      <x:c r="F185" s="14" t="str">
        <x:v>reconciliation reports the missing population or stale snapshot</x:v>
      </x:c>
      <x:c r="G185" s="14" t="str"/>
      <x:c r="H185" s="14" t="str">
        <x:v>Current planning delivery</x:v>
      </x:c>
      <x:c r="I185" s="14" t="str">
        <x:v>NOT_RUN</x:v>
      </x:c>
      <x:c r="J185" s="14" t="str">
        <x:v>Declared tests and criteria are not execution results.</x:v>
      </x:c>
    </x:row>
    <x:row r="186" ht="40" customHeight="1">
      <x:c r="A186" s="3" t="str">
        <x:v>BK-88-AC1</x:v>
      </x:c>
      <x:c r="B186" s="3" t="str">
        <x:v>BK-88</x:v>
      </x:c>
      <x:c r="C186" s="3" t="str">
        <x:v>The served confidential path inventories original and derivative copies, enforces holds and erasure, and replays deletion and permission tombstones before restored data can be exposed</x:v>
      </x:c>
      <x:c r="D186" s="3" t="str">
        <x:v>integration_test, adversarial_test, browser_journey, production_measure</x:v>
      </x:c>
      <x:c r="E186" s="3" t="str">
        <x:v>delete a held original or restore a snapshot predating erasure and revocation</x:v>
      </x:c>
      <x:c r="F186" s="3" t="str">
        <x:v>retained exceptions are truthful and erased or unauthorised material cannot reappear</x:v>
      </x:c>
      <x:c r="G186" s="3" t="str">
        <x:v>P25, P33, P38</x:v>
      </x:c>
      <x:c r="H186" s="3" t="str">
        <x:v>P38</x:v>
      </x:c>
      <x:c r="I186" s="3" t="str">
        <x:v>NOT_RUN</x:v>
      </x:c>
      <x:c r="J186" s="3" t="str">
        <x:v>Declared tests and criteria are not execution results.</x:v>
      </x:c>
    </x:row>
    <x:row r="187" ht="40" customHeight="1">
      <x:c r="A187" s="14" t="str">
        <x:v>BK-88-AC2</x:v>
      </x:c>
      <x:c r="B187" s="14" t="str">
        <x:v>BK-88</x:v>
      </x:c>
      <x:c r="C187" s="14" t="str">
        <x:v>Processor, region, key custody and support-access policies are enforced on actual upload, extraction, retrieval, download, export and worker paths under the confidential deployment configuration</x:v>
      </x:c>
      <x:c r="D187" s="14" t="str">
        <x:v>integration_test, adversarial_test, production_measure</x:v>
      </x:c>
      <x:c r="E187" s="14" t="str">
        <x:v>bypass the shared gateway from a worker or inspect another matter through support or export</x:v>
      </x:c>
      <x:c r="F187" s="14" t="str">
        <x:v>the actual entry path refuses the operation and records a content-free audit</x:v>
      </x:c>
      <x:c r="G187" s="14" t="str">
        <x:v>P25, P39</x:v>
      </x:c>
      <x:c r="H187" s="14" t="str">
        <x:v>P39</x:v>
      </x:c>
      <x:c r="I187" s="14" t="str">
        <x:v>NOT_RUN</x:v>
      </x:c>
      <x:c r="J187" s="14" t="str">
        <x:v>Declared tests and criteria are not execution results.</x:v>
      </x:c>
    </x:row>
    <x:row r="188" ht="40" customHeight="1">
      <x:c r="A188" s="3" t="str">
        <x:v>BK-88-AC3</x:v>
      </x:c>
      <x:c r="B188" s="3" t="str">
        <x:v>BK-88</x:v>
      </x:c>
      <x:c r="C188" s="3" t="str">
        <x:v>Incident, recovery and least-privilege evidence is revalidated for the enabled confidential pilot rather than inherited from a synthetic foundation</x:v>
      </x:c>
      <x:c r="D188" s="3" t="str">
        <x:v>production_measure</x:v>
      </x:c>
      <x:c r="E188" s="3" t="str">
        <x:v>reuse a foundation fixture or a different processor configuration as pilot proof</x:v>
      </x:c>
      <x:c r="F188" s="3" t="str">
        <x:v>pilot approval remains blocked until the actual configured path is rehearsed</x:v>
      </x:c>
      <x:c r="G188" s="3" t="str">
        <x:v>P40</x:v>
      </x:c>
      <x:c r="H188" s="3" t="str">
        <x:v>P40</x:v>
      </x:c>
      <x:c r="I188" s="3" t="str">
        <x:v>NOT_RUN</x:v>
      </x:c>
      <x:c r="J188" s="3" t="str">
        <x:v>Declared tests and criteria are not execution results.</x:v>
      </x:c>
    </x:row>
    <x:row r="189" ht="85" customHeight="1">
      <x:c r="A189" s="14" t="str">
        <x:v>BK-88-AC4</x:v>
      </x:c>
      <x:c r="B189" s="14" t="str">
        <x:v>BK-88</x:v>
      </x:c>
      <x:c r="C189" s="14"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89" s="14" t="str">
        <x:v>integration_test, adversarial_test, production_measure</x:v>
      </x:c>
      <x:c r="E189" s="14" t="str">
        <x:v>enable a prohibited processor capability on the deployed configuration, bypass gateway from a worker or inject a prohibited nested response field into the real configured path</x:v>
      </x:c>
      <x:c r="F189" s="14" t="str">
        <x:v>the affected media route remains disabled or refuses safely before prohibited processing; no prohibited derivative reaches retained or user-visible outputs</x:v>
      </x:c>
      <x:c r="G189" s="14" t="str">
        <x:v>P25, P39</x:v>
      </x:c>
      <x:c r="H189" s="14" t="str">
        <x:v>P39</x:v>
      </x:c>
      <x:c r="I189" s="14" t="str">
        <x:v>NOT_RUN</x:v>
      </x:c>
      <x:c r="J189" s="14" t="str">
        <x:v>Declared tests and criteria are not execution results.</x:v>
      </x:c>
    </x:row>
    <x:row r="190" ht="40" customHeight="1">
      <x:c r="A190" s="3" t="str">
        <x:v>BK-89-AC1</x:v>
      </x:c>
      <x:c r="B190" s="3" t="str">
        <x:v>BK-89</x:v>
      </x:c>
      <x:c r="C190" s="3" t="str">
        <x:v>Media prohibitions have explicit foundation, integration and confidential-path ownership, packet instructions and non-vacuous evaluation specifications without claiming runtime implementation</x:v>
      </x:c>
      <x:c r="D190" s="3" t="str">
        <x:v>domain_test, adversarial_test</x:v>
      </x:c>
      <x:c r="E190" s="3" t="str">
        <x:v>remove a prohibition's criterion or packet link, weaken the provider preflight restriction or replace an observed result with an absent default</x:v>
      </x:c>
      <x:c r="F190" s="3" t="str">
        <x:v>the planning control identifies the missing obligation or weakened specification</x:v>
      </x:c>
      <x:c r="G190" s="3" t="str"/>
      <x:c r="H190" s="3" t="str">
        <x:v>Current planning delivery</x:v>
      </x:c>
      <x:c r="I190" s="3" t="str">
        <x:v>STALE</x:v>
      </x:c>
      <x:c r="J190" s="3" t="str">
        <x:v>Declared tests and criteria are not execution results.</x:v>
      </x:c>
    </x:row>
    <x:row r="191" ht="40" customHeight="1">
      <x:c r="A191" s="14" t="str">
        <x:v>BK-89-AC2</x:v>
      </x:c>
      <x:c r="B191" s="14" t="str">
        <x:v>BK-89</x:v>
      </x:c>
      <x:c r="C191" s="14" t="str">
        <x:v>Scoped choice adoption has a concrete record contract and future enforcement owner; proposal approval is never sufficient and manual unverified approvals are not reported as proven absent</x:v>
      </x:c>
      <x:c r="D191" s="14" t="str">
        <x:v>domain_test, adversarial_test</x:v>
      </x:c>
      <x:c r="E191" s="14" t="str">
        <x:v>omit scope or authority from an adoption record, use an unknown choice or allow a stale or revoked approval to authorise work</x:v>
      </x:c>
      <x:c r="F191" s="14" t="str">
        <x:v>contract checks refuse the malformed record or readiness remains explicitly unverified</x:v>
      </x:c>
      <x:c r="G191" s="14" t="str"/>
      <x:c r="H191" s="14" t="str">
        <x:v>Current planning delivery</x:v>
      </x:c>
      <x:c r="I191" s="14" t="str">
        <x:v>STALE</x:v>
      </x:c>
      <x:c r="J191" s="14" t="str">
        <x:v>Declared tests and criteria are not execution results.</x:v>
      </x:c>
    </x:row>
    <x:row r="192" ht="40" customHeight="1">
      <x:c r="A192" s="3" t="str">
        <x:v>BK-89-AC3</x:v>
      </x:c>
      <x:c r="B192" s="3" t="str">
        <x:v>BK-89</x:v>
      </x:c>
      <x:c r="C192" s="3" t="str">
        <x:v>Every deferred row has a valid review date and reason, due reviews are visible and expired deferrals never become ready automatically</x:v>
      </x:c>
      <x:c r="D192" s="3" t="str">
        <x:v>domain_test, adversarial_test</x:v>
      </x:c>
      <x:c r="E192" s="3" t="str">
        <x:v>remove or malform a review date and advance the injected review date past its deadline</x:v>
      </x:c>
      <x:c r="F192" s="3" t="str">
        <x:v>lint identifies malformed dates and the reader reports due review while retaining deferred status</x:v>
      </x:c>
      <x:c r="G192" s="3" t="str"/>
      <x:c r="H192" s="3" t="str">
        <x:v>Current planning delivery</x:v>
      </x:c>
      <x:c r="I192" s="3" t="str">
        <x:v>STALE</x:v>
      </x:c>
      <x:c r="J192" s="3" t="str">
        <x:v>Declared tests and criteria are not execution results.</x:v>
      </x:c>
    </x:row>
    <x:row r="193" ht="40" customHeight="1">
      <x:c r="A193" s="14" t="str">
        <x:v>BK-89-AC4</x:v>
      </x:c>
      <x:c r="B193" s="14" t="str">
        <x:v>BK-89</x:v>
      </x:c>
      <x:c r="C193" s="14" t="str">
        <x:v>Existing plan populations and waves are preserved and the current workbook reflects the final corrected contracts and source hashes</x:v>
      </x:c>
      <x:c r="D193" s="14" t="str">
        <x:v>domain_test</x:v>
      </x:c>
      <x:c r="E193" s="14" t="str">
        <x:v>drop a registered row or retain an old approval/media contract in the saved workbook</x:v>
      </x:c>
      <x:c r="F193" s="14" t="str">
        <x:v>source/view reconciliation identifies the missing row or stale authored snapshot</x:v>
      </x:c>
      <x:c r="G193" s="14" t="str"/>
      <x:c r="H193" s="14" t="str">
        <x:v>Current planning delivery</x:v>
      </x:c>
      <x:c r="I193" s="14" t="str">
        <x:v>STALE</x:v>
      </x:c>
      <x:c r="J193" s="14" t="str">
        <x:v>Declared tests and criteria are not execution results.</x:v>
      </x:c>
    </x:row>
    <x:row r="194" ht="40" customHeight="1">
      <x:c r="A194" s="3" t="str">
        <x:v>BK-90-AC1</x:v>
      </x:c>
      <x:c r="B194" s="3" t="str">
        <x:v>BK-90</x:v>
      </x:c>
      <x:c r="C194" s="3" t="str">
        <x:v>bounded autonomy and material-claim grounding have explicit typed design contracts, registered runtime owners, linked packets and non-vacuous evaluation requirements</x:v>
      </x:c>
      <x:c r="D194" s="3" t="str">
        <x:v>domain_test, adversarial_test</x:v>
      </x:c>
      <x:c r="E194" s="3" t="str">
        <x:v>remove or weaken a mandatory autonomy boundary or replace a registered runtime reference with an unknown one</x:v>
      </x:c>
      <x:c r="F194" s="3" t="str">
        <x:v>the static plan checker identifies the specific missing obligation without claiming runtime enforcement</x:v>
      </x:c>
      <x:c r="G194" s="3" t="str"/>
      <x:c r="H194" s="3" t="str">
        <x:v>Current planning delivery</x:v>
      </x:c>
      <x:c r="I194" s="3" t="str">
        <x:v>STALE</x:v>
      </x:c>
      <x:c r="J194" s="3" t="str">
        <x:v>Declared tests and criteria are not execution results.</x:v>
      </x:c>
    </x:row>
    <x:row r="195" ht="40" customHeight="1">
      <x:c r="A195" s="14" t="str">
        <x:v>BK-90-AC2</x:v>
      </x:c>
      <x:c r="B195" s="14" t="str">
        <x:v>BK-90</x:v>
      </x:c>
      <x:c r="C195" s="14" t="str">
        <x:v>the existing build playbooks preserve original rules and explicitly require general mechanisms, legally meaningful applicability boundaries and source-verified impact and regression proof</x:v>
      </x:c>
      <x:c r="D195" s="14" t="str">
        <x:v>domain_test, adversarial_test</x:v>
      </x:c>
      <x:c r="E195" s="14" t="str">
        <x:v>remove a generalised-fix or regression requirement from its owning rule or stage card</x:v>
      </x:c>
      <x:c r="F195" s="14" t="str">
        <x:v>the plan control rejects the missing contract while retaining human review as the witness for semantic generality</x:v>
      </x:c>
      <x:c r="G195" s="14" t="str"/>
      <x:c r="H195" s="14" t="str">
        <x:v>Current planning delivery</x:v>
      </x:c>
      <x:c r="I195" s="14" t="str">
        <x:v>STALE</x:v>
      </x:c>
      <x:c r="J195" s="14" t="str">
        <x:v>Declared tests and criteria are not execution results.</x:v>
      </x:c>
    </x:row>
    <x:row r="196" ht="40" customHeight="1">
      <x:c r="A196" s="3" t="str">
        <x:v>BK-90-AC3</x:v>
      </x:c>
      <x:c r="B196" s="3" t="str">
        <x:v>BK-90</x:v>
      </x:c>
      <x:c r="C196" s="3" t="str">
        <x:v>opening plan identities and waves are preserved and PRD and workbook views reconcile the amended contracts without promoting new product work or stale proof</x:v>
      </x:c>
      <x:c r="D196" s="3" t="str">
        <x:v>domain_test</x:v>
      </x:c>
      <x:c r="E196" s="3" t="str">
        <x:v>retain old generated contract text or omit a registered new criterion from the saved view</x:v>
      </x:c>
      <x:c r="F196" s="3" t="str">
        <x:v>generated-view reconciliation refuses the stale or incomplete projection</x:v>
      </x:c>
      <x:c r="G196" s="3" t="str"/>
      <x:c r="H196" s="3" t="str">
        <x:v>Current planning delivery</x:v>
      </x:c>
      <x:c r="I196" s="3" t="str">
        <x:v>NOT_RUN</x:v>
      </x:c>
      <x:c r="J196" s="3" t="str">
        <x:v>Declared tests and criteria are not execution results.</x:v>
      </x:c>
    </x:row>
    <x:row r="197" ht="55" customHeight="1">
      <x:c r="A197" s="14" t="str">
        <x:v>BK-91-AC1</x:v>
      </x:c>
      <x:c r="B197" s="14" t="str">
        <x:v>BK-91</x:v>
      </x:c>
      <x:c r="C197" s="14" t="str">
        <x:v>the lead chooses and revises permitted investigation tasks from the current commission, evidence and open needs, including useful completion or explicit escalation, without a fixed mandatory cognitive sequence or self-expanded authority</x:v>
      </x:c>
      <x:c r="D197" s="14" t="str">
        <x:v>domain_test, integration_test, adversarial_test, model_eval</x:v>
      </x:c>
      <x:c r="E197" s="14" t="str">
        <x:v>introduce decisive contrary evidence after planning or remove a necessary premise while keeping the previous plan and completed flag</x:v>
      </x:c>
      <x:c r="F197" s="14" t="str">
        <x:v>affected work is reconsidered and missing support remains explicit; a frozen plan cannot claim completion</x:v>
      </x:c>
      <x:c r="G197" s="14" t="str">
        <x:v>P46</x:v>
      </x:c>
      <x:c r="H197" s="14" t="str">
        <x:v>P46</x:v>
      </x:c>
      <x:c r="I197" s="14" t="str">
        <x:v>NOT_RUN</x:v>
      </x:c>
      <x:c r="J197" s="14" t="str">
        <x:v>Declared tests and criteria are not execution results.</x:v>
      </x:c>
    </x:row>
    <x:row r="198" ht="55" customHeight="1">
      <x:c r="A198" s="3" t="str">
        <x:v>BK-91-AC2</x:v>
      </x:c>
      <x:c r="B198" s="3" t="str">
        <x:v>BK-91</x:v>
      </x:c>
      <x:c r="C198" s="3" t="str">
        <x:v>material case assertions and legal conclusions retain provenance and epistemic status through adaptive reasoning; hypotheses are labelled and supported premises are rechecked on source, instruction or permission change before acceptance and publication</x:v>
      </x:c>
      <x:c r="D198" s="3" t="str">
        <x:v>domain_test, integration_test, adversarial_test, model_eval</x:v>
      </x:c>
      <x:c r="E198" s="3" t="str">
        <x:v>invent a date or authority, promote an attributed allegation to an established fact, or accept a reasoning result based on a superseded source</x:v>
      </x:c>
      <x:c r="F198" s="3" t="str">
        <x:v>the affected claim or result is rejected or remains explicitly unresolved; source existence alone cannot certify semantic support</x:v>
      </x:c>
      <x:c r="G198" s="3" t="str">
        <x:v>P46</x:v>
      </x:c>
      <x:c r="H198" s="3" t="str">
        <x:v>P46</x:v>
      </x:c>
      <x:c r="I198" s="3" t="str">
        <x:v>NOT_RUN</x:v>
      </x:c>
      <x:c r="J198" s="3" t="str">
        <x:v>Declared tests and criteria are not execution results.</x:v>
      </x:c>
    </x:row>
    <x:row r="199" ht="55" customHeight="1">
      <x:c r="A199" s="14" t="str">
        <x:v>BK-91-AC3</x:v>
      </x:c>
      <x:c r="B199" s="14" t="str">
        <x:v>BK-91</x:v>
      </x:c>
      <x:c r="C199" s="14" t="str">
        <x:v>the served briefing interaction dynamically chooses useful retrieval, assessment or questions, accepts interruption and unavailable material, and preserves safe work without forcing every matter through the same interview</x:v>
      </x:c>
      <x:c r="D199" s="14" t="str">
        <x:v>integration_test, browser_journey, model_eval, counsel_review</x:v>
      </x:c>
      <x:c r="E199" s="14" t="str">
        <x:v>answer the proposed question in an existing authorised document, then change the objective or mark a different material document unavailable</x:v>
      </x:c>
      <x:c r="F199" s="14" t="str">
        <x:v>NM uses the held answer and adapts the next step without repetitive questioning or unsupported concluded advice</x:v>
      </x:c>
      <x:c r="G199" s="14" t="str">
        <x:v>P24</x:v>
      </x:c>
      <x:c r="H199" s="14" t="str">
        <x:v>P24</x:v>
      </x:c>
      <x:c r="I199" s="14" t="str">
        <x:v>NOT_RUN</x:v>
      </x:c>
      <x:c r="J199" s="14" t="str">
        <x:v>Declared tests and criteria are not execution results.</x:v>
      </x:c>
    </x:row>
    <x:row r="200" ht="55" customHeight="1">
      <x:c r="A200" s="3" t="str">
        <x:v>BK-91-AC4</x:v>
      </x:c>
      <x:c r="B200" s="3" t="str">
        <x:v>BK-91</x:v>
      </x:c>
      <x:c r="C200" s="3"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200" s="3" t="str">
        <x:v>model_eval, counsel_review</x:v>
      </x:c>
      <x:c r="E200" s="3" t="str">
        <x:v>grade the tested model with itself, omit difficult matter families or present a larger spend as proof of architectural improvement</x:v>
      </x:c>
      <x:c r="F200" s="3" t="str">
        <x:v>the comparison cannot support an improvement or release claim; incomplete or invalid evidence remains visible</x:v>
      </x:c>
      <x:c r="G200" s="3" t="str">
        <x:v>P35</x:v>
      </x:c>
      <x:c r="H200" s="3" t="str">
        <x:v>P35</x:v>
      </x:c>
      <x:c r="I200" s="3" t="str">
        <x:v>NOT_RUN</x:v>
      </x:c>
      <x:c r="J200" s="3" t="str">
        <x:v>Declared tests and criteria are not execution results.</x:v>
      </x:c>
    </x:row>
    <x:row r="201" ht="55" customHeight="1">
      <x:c r="A201" s="14" t="str">
        <x:v>BK-92-AC1</x:v>
      </x:c>
      <x:c r="B201" s="14" t="str">
        <x:v>BK-92</x:v>
      </x:c>
      <x:c r="C201" s="14" t="str">
        <x:v>every delegated task inherits a non-expanding mandate and records parent identity, current source snapshot, allowed tools and data, result contract and bounded depth, concurrency, time and shared total cost; ordinary work can use no specialist</x:v>
      </x:c>
      <x:c r="D201" s="14" t="str">
        <x:v>domain_test, integration_test, adversarial_test</x:v>
      </x:c>
      <x:c r="E201" s="14" t="str">
        <x:v>a child adds a processor or matter, resets its budget, spawns an unbounded descendant or exceeds the parent's aggregate budget concurrently</x:v>
      </x:c>
      <x:c r="F201" s="14" t="str">
        <x:v>the shared admission and atomic budget boundary refuses the action before protected processing and records the actual reason</x:v>
      </x:c>
      <x:c r="G201" s="14" t="str">
        <x:v>P47</x:v>
      </x:c>
      <x:c r="H201" s="14" t="str">
        <x:v>P47</x:v>
      </x:c>
      <x:c r="I201" s="14" t="str">
        <x:v>NOT_RUN</x:v>
      </x:c>
      <x:c r="J201" s="14" t="str">
        <x:v>Declared tests and criteria are not execution results.</x:v>
      </x:c>
    </x:row>
    <x:row r="202" ht="55" customHeight="1">
      <x:c r="A202" s="3" t="str">
        <x:v>BK-92-AC2</x:v>
      </x:c>
      <x:c r="B202" s="3" t="str">
        <x:v>BK-92</x:v>
      </x:c>
      <x:c r="C202" s="3"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02" s="3" t="str">
        <x:v>domain_test, integration_test, adversarial_test</x:v>
      </x:c>
      <x:c r="E202" s="3" t="str">
        <x:v>inject tool instructions in a source, submit a forged or stale task result, revoke permission during a lease or retry after commit while one required specialist has failed</x:v>
      </x:c>
      <x:c r="F202" s="3" t="str">
        <x:v>unsafe work is refused, accepted effects are not duplicated and incomplete analysis cannot report a clean completed result</x:v>
      </x:c>
      <x:c r="G202" s="3" t="str">
        <x:v>P47</x:v>
      </x:c>
      <x:c r="H202" s="3" t="str">
        <x:v>P47</x:v>
      </x:c>
      <x:c r="I202" s="3" t="str">
        <x:v>NOT_RUN</x:v>
      </x:c>
      <x:c r="J202" s="3" t="str">
        <x:v>Declared tests and criteria are not execution results.</x:v>
      </x:c>
    </x:row>
    <x:row r="203" ht="55" customHeight="1">
      <x:c r="A203" s="14" t="str">
        <x:v>BK-92-AC3</x:v>
      </x:c>
      <x:c r="B203" s="14" t="str">
        <x:v>BK-92</x:v>
      </x:c>
      <x:c r="C203" s="14" t="str">
        <x:v>the draft/document specialist preserves every material claim's source, locator, version and status, keeps absent fields visibly unresolved, and generates Word and PDF from the same accepted content version with rendered-byte parity and no dispatch authority</x:v>
      </x:c>
      <x:c r="D203" s="14" t="str">
        <x:v>integration_test, adversarial_test, browser_journey, counsel_review</x:v>
      </x:c>
      <x:c r="E203" s="14" t="str">
        <x:v>add an unsupported party detail in a draft, strip a material reservation during conversion or change the source after draft approval</x:v>
      </x:c>
      <x:c r="F203" s="14" t="str">
        <x:v>the affected artifact cannot be issued as supported and current; a successful export cannot validate its legal content or authorise sending</x:v>
      </x:c>
      <x:c r="G203" s="14" t="str">
        <x:v>P29</x:v>
      </x:c>
      <x:c r="H203" s="14" t="str">
        <x:v>P29</x:v>
      </x:c>
      <x:c r="I203" s="14" t="str">
        <x:v>NOT_RUN</x:v>
      </x:c>
      <x:c r="J203" s="14" t="str">
        <x:v>Declared tests and criteria are not execution results.</x:v>
      </x:c>
    </x:row>
    <x:row r="204" ht="55" customHeight="1">
      <x:c r="A204" s="3" t="str">
        <x:v>BK-92-AC4</x:v>
      </x:c>
      <x:c r="B204" s="3" t="str">
        <x:v>BK-92</x:v>
      </x:c>
      <x:c r="C204" s="3" t="str">
        <x:v>selective delegation is enabled only for task families with declared acceptable quality, reviewer effort, latency and total-cost evidence compared with the same adaptive lead alone; critical safety failures cannot be offset by average speed or scores</x:v>
      </x:c>
      <x:c r="D204" s="3" t="str">
        <x:v>model_eval, counsel_review, production_measure</x:v>
      </x:c>
      <x:c r="E204" s="3" t="str">
        <x:v>exclude failed or cancelled children and retry costs, change the compared corpus or conceal a critical leak behind an average quality gain</x:v>
      </x:c>
      <x:c r="F204" s="3" t="str">
        <x:v>the family-level delegation decision remains unapproved until the comparable complete population and safety obligations are satisfied</x:v>
      </x:c>
      <x:c r="G204" s="3" t="str">
        <x:v>P37</x:v>
      </x:c>
      <x:c r="H204" s="3" t="str">
        <x:v>P37</x:v>
      </x:c>
      <x:c r="I204" s="3" t="str">
        <x:v>NOT_RUN</x:v>
      </x:c>
      <x:c r="J204" s="3"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bd161f652a6e4288"/>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Their schema and verification contract are in APPROVALS.md. Recorded is not verified; BK-80/P03 owns automated authority resolution.</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55" customHeight="1">
      <x:c r="A7" s="14" t="str">
        <x:v>CHOICE-04</x:v>
      </x:c>
      <x:c r="B7" s="14" t="str">
        <x:v>Authentication and recovery assurance</x:v>
      </x:c>
      <x:c r="C7" s="14" t="str">
        <x:v>Retain current invitation and identity store contracts for local work. Confidential profile uses a maintained identity component/provider bridge with user-verifying WebAuthn/passkey or approved MFA and controlled factor recovery. Never implement cryptographic verification ad hoc.</x:v>
      </x:c>
      <x:c r="D7" s="14" t="str">
        <x:v>Avoids replacing proven identity attribution while making strong authentication an early prerequisite.</x:v>
      </x:c>
      <x:c r="E7" s="14" t="str">
        <x:v>Local scripted factor fixtures test orchestration only. Existing explicit login-error policy remains on controlled local endpoints; neutral confidential-profile errors require recorded adoption.</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c8a6dbcbd1ed479a"/>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1fab092d6df940ee"/>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9c8711af48cf4388"/>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64f13eca9a5f462a"/>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16b877abe652cb36f58a0900c258132bc04e114e95a6af8989e57b34df43de39</x:v>
      </x:c>
      <x:c r="D4" s="3" t="str">
        <x:v>Authoritative content or rendering input; status authority remains status.yaml.</x:v>
      </x:c>
    </x:row>
    <x:row r="5" ht="27" customHeight="1">
      <x:c r="A5" s="14" t="str">
        <x:v>docs/backlog/steps.yaml</x:v>
      </x:c>
      <x:c r="B5" s="14" t="str">
        <x:v>Snapshot source</x:v>
      </x:c>
      <x:c r="C5" s="14" t="str">
        <x:v>841a1013988c1b2541bd9775f595e1386aface4442c840f5e20962564e27a79a</x:v>
      </x:c>
      <x:c r="D5" s="14" t="str">
        <x:v>Authoritative content or rendering input; status authority remains status.yaml.</x:v>
      </x:c>
    </x:row>
    <x:row r="6" ht="27" customHeight="1">
      <x:c r="A6" s="3" t="str">
        <x:v>docs/backlog/plan.json</x:v>
      </x:c>
      <x:c r="B6" s="3" t="str">
        <x:v>Snapshot source</x:v>
      </x:c>
      <x:c r="C6" s="3" t="str">
        <x:v>93e0d66ca4c3ec84617e46fb1a946cb6cf9a6ccdc5226dd228f6c80366b1dd70</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89f1501d1acc07d7c7149667f3e8f65af7d65bf8d7e559b93d8e471b980dfb23</x:v>
      </x:c>
      <x:c r="D8" s="3" t="str">
        <x:v>Authoritative content or rendering input; status authority remains status.yaml.</x:v>
      </x:c>
    </x:row>
    <x:row r="9" ht="27" customHeight="1">
      <x:c r="A9" s="14" t="str">
        <x:v>docs/backlog/SCHEMA.md</x:v>
      </x:c>
      <x:c r="B9" s="14" t="str">
        <x:v>Snapshot source</x:v>
      </x:c>
      <x:c r="C9" s="14" t="str">
        <x:v>d3a3d540c9434e01502c0ec6c6cae9d7ba75cad4d94d8ee4360317b7577e0d7b</x:v>
      </x:c>
      <x:c r="D9" s="14" t="str">
        <x:v>Authoritative content or rendering input; status authority remains status.yaml.</x:v>
      </x:c>
    </x:row>
    <x:row r="10" ht="40" customHeight="1">
      <x:c r="A10" s="3" t="str">
        <x:v>docs/backlog/evidence/class_a.json</x:v>
      </x:c>
      <x:c r="B10" s="3" t="str">
        <x:v>Captured execution artifact</x:v>
      </x:c>
      <x:c r="C10" s="3" t="str">
        <x:v>d441f808ba0e31ca38a304b829a4f55b59de58c493a923822ffa765db558147f</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95261bf5746fce4e582282a8bff07add909fa2f1476b82d14cbe3f5f4c48ef15</x:v>
      </x:c>
      <x:c r="D11" s="14" t="str">
        <x:v>Authoritative content or rendering input; status authority remains status.yaml.</x:v>
      </x:c>
    </x:row>
    <x:row r="12" ht="27" customHeight="1">
      <x:c r="A12" s="3" t="str">
        <x:v>docs/playbooks/START_A_CHANGE.md</x:v>
      </x:c>
      <x:c r="B12" s="3" t="str">
        <x:v>Snapshot source</x:v>
      </x:c>
      <x:c r="C12" s="3" t="str">
        <x:v>e64d6661dae8e9d1b668c92642f28344ec423d6ad188135324714927f3758346</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27c2df5030e4083d663b8e95bb9a8095125342e9608b96982b7a97f5b92ca2a6</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spec/prd/part_a.js</x:v>
      </x:c>
      <x:c r="B16" s="3" t="str">
        <x:v>Snapshot source</x:v>
      </x:c>
      <x:c r="C16" s="3" t="str">
        <x:v>ef65fabe94d2a0a2f53b8c368104d5e2719bea3e553bb6775ba7b42d2c818b3d</x:v>
      </x:c>
      <x:c r="D16" s="3" t="str">
        <x:v>Authoritative content or rendering input; status authority remains status.yaml.</x:v>
      </x:c>
    </x:row>
    <x:row r="17" ht="27" customHeight="1">
      <x:c r="A17" s="14" t="str">
        <x:v>spec/prd/part_b.js</x:v>
      </x:c>
      <x:c r="B17" s="14" t="str">
        <x:v>Snapshot source</x:v>
      </x:c>
      <x:c r="C17" s="14" t="str">
        <x:v>9ce589878742214ef511f6636bd7b93b093877566a22d194cc99afb475e553c7</x:v>
      </x:c>
      <x:c r="D17" s="14" t="str">
        <x:v>Authoritative content or rendering input; status authority remains status.yaml.</x:v>
      </x:c>
    </x:row>
    <x:row r="18" ht="27" customHeight="1">
      <x:c r="A18" s="3" t="str">
        <x:v>spec/prd/part_c.js</x:v>
      </x:c>
      <x:c r="B18" s="3" t="str">
        <x:v>Snapshot source</x:v>
      </x:c>
      <x:c r="C18" s="3" t="str">
        <x:v>4d6a0b62c15c785811fc6c9d3a1c552ceb3c91220628d389bab9ae622cf93ef5</x:v>
      </x:c>
      <x:c r="D18" s="3" t="str">
        <x:v>Authoritative content or rendering input; status authority remains status.yaml.</x:v>
      </x:c>
    </x:row>
    <x:row r="19" ht="27" customHeight="1">
      <x:c r="A19" s="14" t="str">
        <x:v>spec/prd/build.js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spec/prd/helpers.js</x:v>
      </x:c>
      <x:c r="B20" s="3" t="str">
        <x:v>Snapshot source</x:v>
      </x:c>
      <x:c r="C20" s="3" t="str">
        <x:v>c1eeaee0921e224f1eafe20d32593fa3998eae5d4d0d7cc9ea6867fa8b3048bf</x:v>
      </x:c>
      <x:c r="D20" s="3" t="str">
        <x:v>Authoritative content or rendering input; status authority remains status.yaml.</x:v>
      </x:c>
    </x:row>
    <x:row r="21" ht="27" customHeight="1">
      <x:c r="A21" s="14" t="str">
        <x:v>spec/prd/schemas.js</x:v>
      </x:c>
      <x:c r="B21" s="14" t="str">
        <x:v>Snapshot source</x:v>
      </x:c>
      <x:c r="C21" s="14" t="str">
        <x:v>56b33e41ef7d6553d56e015c7464416f7d30fac3ba8b11836053353b16c3af6c</x:v>
      </x:c>
      <x:c r="D21" s="14" t="str">
        <x:v>Authoritative content or rendering input; status authority remains status.yaml.</x:v>
      </x:c>
    </x:row>
    <x:row r="22" ht="27" customHeight="1">
      <x:c r="A22" s="3" t="str">
        <x:v>spec/prd/gates.json</x:v>
      </x:c>
      <x:c r="B22" s="3" t="str">
        <x:v>Snapshot source</x:v>
      </x:c>
      <x:c r="C22" s="3" t="str">
        <x:v>73ac15a277bd4656b80d3e3723e6dcbe615ed1dc7238daea69373dd95fee88f9</x:v>
      </x:c>
      <x:c r="D22" s="3" t="str">
        <x:v>Authoritative content or rendering input; status authority remains status.yaml.</x:v>
      </x:c>
    </x:row>
    <x:row r="23" ht="27" customHeight="1">
      <x:c r="A23" s="14" t="str">
        <x:v>spec/features.yaml</x:v>
      </x:c>
      <x:c r="B23" s="14" t="str">
        <x:v>Snapshot source</x:v>
      </x:c>
      <x:c r="C23" s="14" t="str">
        <x:v>826b0bb6dd69a00f7c8a894ce4041ad43ba45587842907609c0c8465afc2a37c</x:v>
      </x:c>
      <x:c r="D23" s="14" t="str">
        <x:v>Authoritative content or rendering input; status authority remains status.yaml.</x:v>
      </x:c>
    </x:row>
    <x:row r="24" ht="27" customHeight="1">
      <x:c r="A24" s="3" t="str">
        <x:v>docs/Nyaymalaw_PRD.docx</x:v>
      </x:c>
      <x:c r="B24" s="3" t="str">
        <x:v>Snapshot source</x:v>
      </x:c>
      <x:c r="C24" s="3" t="str">
        <x:v>5c56e33752e07434ff975c4f48c279639e8b5852511099cdbb6474f7b3ae7446</x:v>
      </x:c>
      <x:c r="D24" s="3" t="str">
        <x:v>Authoritative content or rendering input; status authority remains status.yaml.</x:v>
      </x:c>
    </x:row>
    <x:row r="25" ht="27" customHeight="1">
      <x:c r="A25" s="14" t="str">
        <x:v>spec/plan/view_content.json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spec/plan/build_current_plan.mjs</x:v>
      </x:c>
      <x:c r="B26" s="3" t="str">
        <x:v>Snapshot source</x:v>
      </x:c>
      <x:c r="C26" s="3" t="str">
        <x:v>4d22408814a4d1eba4118fa77114db92e2e1a656f9b800f0fa030cf79ce944f5</x:v>
      </x:c>
      <x:c r="D26" s="3" t="str">
        <x:v>Authoritative content or rendering input; status authority remains status.yaml.</x:v>
      </x:c>
    </x:row>
    <x:row r="27" ht="27" customHeight="1">
      <x:c r="A27" s="14" t="str">
        <x:v>spec/plan/export_current_plan.py</x:v>
      </x:c>
      <x:c r="B27" s="14" t="str">
        <x:v>Snapshot source</x:v>
      </x:c>
      <x:c r="C27" s="14" t="str">
        <x:v>96e95581de5d120576fe693f8a1bcffda3cd5580e9d885ad28262ab25392b6e9</x:v>
      </x:c>
      <x:c r="D27" s="14" t="str">
        <x:v>Authoritative content or rendering input; status authority remains status.yaml.</x:v>
      </x:c>
    </x:row>
    <x:row r="28" ht="27" customHeight="1">
      <x:c r="A28" s="3" t="str">
        <x:v>spec/plan/README.md</x:v>
      </x:c>
      <x:c r="B28" s="3" t="str">
        <x:v>Snapshot source</x:v>
      </x:c>
      <x:c r="C28" s="3" t="str">
        <x:v>ed6b216fce771282122d65810b888e36c45d1a4877bd57985e8be47034459778</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ab621829b91e41bd35679ad9581cbbeb66066453d06832b541a39487d6f3a0c2</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docs/blueprint/contracts/commands.json</x:v>
      </x:c>
      <x:c r="B33" s="14" t="str">
        <x:v>Snapshot source</x:v>
      </x:c>
      <x:c r="C33" s="14" t="str">
        <x:v>4bc1ec7f476063f6cc17b1640139659cbbeeb44c84631043e6326252a4f61230</x:v>
      </x:c>
      <x:c r="D33" s="14" t="str">
        <x:v>Authoritative content or rendering input; status authority remains status.yaml.</x:v>
      </x:c>
    </x:row>
    <x:row r="34" ht="27" customHeight="1">
      <x:c r="A34" s="3" t="str">
        <x:v>docs/blueprint/DATA_ARCHITECTURE.md</x:v>
      </x:c>
      <x:c r="B34" s="3" t="str">
        <x:v>Snapshot source</x:v>
      </x:c>
      <x:c r="C34" s="3" t="str">
        <x:v>bcfa8a88609b1e2f867541f3da688647b643575391f9bb64f1b3fd2af0dec129</x:v>
      </x:c>
      <x:c r="D34" s="3" t="str">
        <x:v>Authoritative content or rendering input; status authority remains status.yaml.</x:v>
      </x:c>
    </x:row>
    <x:row r="35" ht="27" customHeight="1">
      <x:c r="A35" s="14" t="str">
        <x:v>docs/blueprint/decisions.json</x:v>
      </x:c>
      <x:c r="B35" s="14" t="str">
        <x:v>Snapshot source</x:v>
      </x:c>
      <x:c r="C35" s="14" t="str">
        <x:v>19c89ae188b0891fed0d054537ae5d07e557fcd1c37e7510c901af737f21b263</x:v>
      </x:c>
      <x:c r="D35" s="14" t="str">
        <x:v>Authoritative content or rendering input; status authority remains status.yaml.</x:v>
      </x:c>
    </x:row>
    <x:row r="36" ht="27" customHeight="1">
      <x:c r="A36" s="3" t="str">
        <x:v>docs/blueprint/evaluations.json</x:v>
      </x:c>
      <x:c r="B36" s="3" t="str">
        <x:v>Snapshot source</x:v>
      </x:c>
      <x:c r="C36" s="3" t="str">
        <x:v>b6eb74b0ff711b97488dfaf02bd31730b56cf9923130ee467374752da9284fd7</x:v>
      </x:c>
      <x:c r="D36" s="3" t="str">
        <x:v>Authoritative content or rendering input; status authority remains status.yaml.</x:v>
      </x:c>
    </x:row>
    <x:row r="37" ht="27" customHeight="1">
      <x:c r="A37" s="14" t="str">
        <x:v>docs/blueprint/EXECUTION.md</x:v>
      </x:c>
      <x:c r="B37" s="14" t="str">
        <x:v>Snapshot source</x:v>
      </x:c>
      <x:c r="C37" s="14" t="str">
        <x:v>f34bd62b927ee052eb757fa06dc1dcc4d65fd2bee5c4aa3c7a87c990234811b1</x:v>
      </x:c>
      <x:c r="D37" s="14" t="str">
        <x:v>Authoritative content or rendering input; status authority remains status.yaml.</x:v>
      </x:c>
    </x:row>
    <x:row r="38" ht="27" customHeight="1">
      <x:c r="A38" s="3" t="str">
        <x:v>docs/blueprint/EXPERIENCE.md</x:v>
      </x:c>
      <x:c r="B38" s="3" t="str">
        <x:v>Snapshot source</x:v>
      </x:c>
      <x:c r="C38" s="3" t="str">
        <x:v>85814141c9f2fdf769b809043d562ff40e084595fe8cab96c07ae0155ec4f061</x:v>
      </x:c>
      <x:c r="D38" s="3" t="str">
        <x:v>Authoritative content or rendering input; status authority remains status.yaml.</x:v>
      </x:c>
    </x:row>
    <x:row r="39" ht="27" customHeight="1">
      <x:c r="A39" s="14" t="str">
        <x:v>docs/blueprint/LEGAL_BRAIN.md</x:v>
      </x:c>
      <x:c r="B39" s="14" t="str">
        <x:v>Snapshot source</x:v>
      </x:c>
      <x:c r="C39" s="14" t="str">
        <x:v>a0aee8d270a00b9a31257197889366bd282145ad41df73b25ac2016a83942365</x:v>
      </x:c>
      <x:c r="D39" s="14" t="str">
        <x:v>Authoritative content or rendering input; status authority remains status.yaml.</x:v>
      </x:c>
    </x:row>
    <x:row r="40" ht="27" customHeight="1">
      <x:c r="A40" s="3" t="str">
        <x:v>docs/blueprint/LEGAL_DATABASE.md</x:v>
      </x:c>
      <x:c r="B40" s="3" t="str">
        <x:v>Snapshot source</x:v>
      </x:c>
      <x:c r="C40" s="3" t="str">
        <x:v>195e0757ac65572029479613de8d5b7f938ae3342d4d8a88104bf17449d0ee45</x:v>
      </x:c>
      <x:c r="D40" s="3" t="str">
        <x:v>Authoritative content or rendering input; status authority remains status.yaml.</x:v>
      </x:c>
    </x:row>
    <x:row r="41" ht="27" customHeight="1">
      <x:c r="A41" s="14" t="str">
        <x:v>docs/blueprint/modules.json</x:v>
      </x:c>
      <x:c r="B41" s="14" t="str">
        <x:v>Snapshot source</x:v>
      </x:c>
      <x:c r="C41" s="14" t="str">
        <x:v>0c4998f7ff0f71b51f204586f68fa791e38ff5af01e8b6324d7199bba6ce1452</x:v>
      </x:c>
      <x:c r="D41" s="14" t="str">
        <x:v>Authoritative content or rendering input; status authority remains status.yaml.</x:v>
      </x:c>
    </x:row>
    <x:row r="42" ht="27" customHeight="1">
      <x:c r="A42" s="3" t="str">
        <x:v>docs/blueprint/packets.json</x:v>
      </x:c>
      <x:c r="B42" s="3" t="str">
        <x:v>Snapshot source</x:v>
      </x:c>
      <x:c r="C42" s="3" t="str">
        <x:v>3ab875ab354187bb0d540830ad3974ea4cbde34e129f69fb6193b3a74b905cc1</x:v>
      </x:c>
      <x:c r="D42" s="3" t="str">
        <x:v>Authoritative content or rendering input; status authority remains status.yaml.</x:v>
      </x:c>
    </x:row>
    <x:row r="43" ht="27" customHeight="1">
      <x:c r="A43" s="14" t="str">
        <x:v>docs/blueprint/QUALITY_PERFORMANCE.md</x:v>
      </x:c>
      <x:c r="B43" s="14" t="str">
        <x:v>Snapshot source</x:v>
      </x:c>
      <x:c r="C43" s="14" t="str">
        <x:v>cefc8a8de8d5bb883d799d073a15cfda54d7bb0a3e1b3aad27d23b89c9d71b0c</x:v>
      </x:c>
      <x:c r="D43" s="14" t="str">
        <x:v>Authoritative content or rendering input; status authority remains status.yaml.</x:v>
      </x:c>
    </x:row>
    <x:row r="44" ht="27" customHeight="1">
      <x:c r="A44" s="3" t="str">
        <x:v>docs/blueprint/README.md</x:v>
      </x:c>
      <x:c r="B44" s="3" t="str">
        <x:v>Snapshot source</x:v>
      </x:c>
      <x:c r="C44" s="3" t="str">
        <x:v>134a2d113214019a7fae7982d74a582d6f673db1b147b528f5a2ee4739d1dea9</x:v>
      </x:c>
      <x:c r="D44" s="3" t="str">
        <x:v>Authoritative content or rendering input; status authority remains status.yaml.</x:v>
      </x:c>
    </x:row>
    <x:row r="45" ht="27" customHeight="1">
      <x:c r="A45" s="14" t="str">
        <x:v>docs/blueprint/SECURITY_PRIVACY.md</x:v>
      </x:c>
      <x:c r="B45" s="14" t="str">
        <x:v>Snapshot source</x:v>
      </x:c>
      <x:c r="C45" s="14" t="str">
        <x:v>b4ed81625d738b3c11486666290c32bca95e73c56e66c9dc66a0d7a6abf6f361</x:v>
      </x:c>
      <x:c r="D45" s="14" t="str">
        <x:v>Authoritative content or rendering input; status authority remains status.yaml.</x:v>
      </x:c>
    </x:row>
    <x:row r="46" ht="27" customHeight="1">
      <x:c r="A46" s="3" t="str">
        <x:v>Git identity</x:v>
      </x:c>
      <x:c r="B46" s="3" t="str">
        <x:v>Snapshot provenance</x:v>
      </x:c>
      <x:c r="C46" s="3" t="str">
        <x:v>f1e9a825bda90c2744995cc5f1d6afb3353a4907+dirty</x:v>
      </x:c>
      <x:c r="D46" s="3" t="str">
        <x:v>Source hashes, not the commit label alone, identify this view.</x:v>
      </x:c>
    </x:row>
    <x:row r="47" ht="40" customHeight="1">
      <x:c r="A47" s="14" t="str">
        <x:v>Execution fingerprint</x:v>
      </x:c>
      <x:c r="B47" s="14" t="str">
        <x:v>Effective evidence binding</x:v>
      </x:c>
      <x:c r="C47" s="14" t="str">
        <x:v>c5c8d280e15cc26b4a23</x:v>
      </x:c>
      <x:c r="D47" s="14" t="str">
        <x:v>Matches the current check system; execution integrity limitations remain registered under BK-80.</x:v>
      </x:c>
    </x:row>
    <x:row r="48" ht="55" customHeight="1">
      <x:c r="A48" s="3" t="str">
        <x:v>Advocates Act, 1961</x:v>
      </x:c>
      <x:c r="B48" s="3" t="str">
        <x:v>India Code</x:v>
      </x:c>
      <x:c r="C48" s="3" t="str">
        <x:v>https://upload.indiacode.nic.in/showfile?actid=AC_CEN_3_46_00001_196125_1517807320172&amp;filename=a1961-25.pdf&amp;type=actfile</x:v>
      </x:c>
      <x:c r="D48" s="3" t="str">
        <x:v>Preserved historical reference: Senior Advocate classification and prescribed practice restrictions under section 16. Current governing authority must be rechecked for the release jurisdiction.</x:v>
      </x:c>
    </x:row>
    <x:row r="49" ht="55" customHeight="1">
      <x:c r="A49" s="14" t="str">
        <x:v>Bar of Indian Lawyers v. National Institute of Communicable Diseases, 2024 INSC 410</x:v>
      </x:c>
      <x:c r="B49" s="14" t="str">
        <x:v>Supreme Court of India</x:v>
      </x:c>
      <x:c r="C49" s="14" t="str">
        <x:v>https://api.sci.gov.in/supremecourt/2007/27751/27751_2007_14_1501_53242_Judgement_14-May-2024.pdf</x:v>
      </x:c>
      <x:c r="D49" s="14" t="str">
        <x:v>Preserved historical reference: Duty to court, peers and client; advocate exercises independent judgment and is not merely a mouthpiece. Current governing authority must be rechecked for the release jurisdiction.</x:v>
      </x:c>
    </x:row>
    <x:row r="50" ht="55" customHeight="1">
      <x:c r="A50" s="3" t="str">
        <x:v>Supreme Court judgment dated 13 May 2025</x:v>
      </x:c>
      <x:c r="B50" s="3" t="str">
        <x:v>Supreme Court of India</x:v>
      </x:c>
      <x:c r="C50" s="3" t="str">
        <x:v>https://api.sci.gov.in/supremecourt/2024/12735/12735_2024_4_1501_61744_Judgement_13-May-2025.pdf</x:v>
      </x:c>
      <x:c r="D50" s="3" t="str">
        <x:v>Preserved historical reference: Designated Senior Advocate restrictions, including instruction and appearance structure. Current governing authority must be rechecked for the release jurisdiction.</x:v>
      </x:c>
    </x:row>
    <x:row r="51" ht="55" customHeight="1">
      <x:c r="A51" s="14" t="str">
        <x:v>Supreme Court judgment dated 5 March 2025</x:v>
      </x:c>
      <x:c r="B51" s="14" t="str">
        <x:v>Supreme Court of India</x:v>
      </x:c>
      <x:c r="C51" s="14" t="str">
        <x:v>https://api.sci.gov.in/supremecourt/2021/14322/14322_2021_16_1501_60009_Judgement_05-Mar-2025.pdf</x:v>
      </x:c>
      <x:c r="D51" s="14" t="str">
        <x:v>Preserved historical reference: Client autonomy, express instructions and limits on advocate concessions and authority. Current governing authority must be rechecked for the release jurisdiction.</x:v>
      </x:c>
    </x:row>
    <x:row r="52" ht="40" customHeight="1">
      <x:c r="A52" s="3" t="str">
        <x:v>Supreme Court advocate classifications</x:v>
      </x:c>
      <x:c r="B52" s="3" t="str">
        <x:v>Supreme Court of India</x:v>
      </x:c>
      <x:c r="C52" s="3" t="str">
        <x:v>https://www.sci.gov.in/constitution/</x:v>
      </x:c>
      <x:c r="D52" s="3" t="str">
        <x:v>Preserved historical reference: Senior Advocate, Advocate-on-Record and other advocate roles. Current governing authority must be rechecked for the release jurisdiction.</x:v>
      </x:c>
    </x:row>
    <x:row r="53" ht="40" customHeight="1">
      <x:c r="A53" s="14" t="str">
        <x:v>Digital Personal Data Protection Act, 2023</x:v>
      </x:c>
      <x:c r="B53" s="14" t="str">
        <x:v>India Code</x:v>
      </x:c>
      <x:c r="C53" s="14" t="str">
        <x:v>https://www.indiacode.nic.in/indiacode/handle/123456789/22037?view_type=browse</x:v>
      </x:c>
      <x:c r="D53" s="14" t="str">
        <x:v>Preserved historical reference: Lawful digital-personal-data processing and data-principal rights. Current governing authority must be rechecked for the release jurisdiction.</x:v>
      </x:c>
    </x:row>
    <x:row r="54" ht="40" customHeight="1">
      <x:c r="A54" s="3" t="str">
        <x:v>Digital Personal Data Protection Rules, 2025</x:v>
      </x:c>
      <x:c r="B54" s="3" t="str">
        <x:v>Ministry of Electronics and Information Technology</x:v>
      </x:c>
      <x:c r="C54" s="3" t="str">
        <x:v>https://www.meity.gov.in/static/uploads/2025/11/53450e6e5dc0bfa85ebd78686cadad39.pdf</x:v>
      </x:c>
      <x:c r="D54" s="3" t="str">
        <x:v>Preserved historical reference: Clear notice, processing purposes and phased operational requirements. Current governing authority must be rechecked for the release jurisdiction.</x:v>
      </x:c>
    </x:row>
    <x:row r="55" ht="27" customHeight="1">
      <x:c r="A55" s="14" t="str">
        <x:v>Nyaymalaw_Project_Plan.xlsx</x:v>
      </x:c>
      <x:c r="B55" s="14" t="str">
        <x:v>Historical slice plan</x:v>
      </x:c>
      <x:c r="C55" s="14" t="str">
        <x:v>Preserved unchanged</x:v>
      </x:c>
      <x:c r="D55" s="14" t="str">
        <x:v>Not the current wave/status owner.</x:v>
      </x:c>
    </x:row>
    <x:row r="56" ht="40" customHeight="1">
      <x:c r="A56" s="3" t="str">
        <x:v>9 September 2026 end-to-end workbook</x:v>
      </x:c>
      <x:c r="B56" s="3" t="str">
        <x:v>Historical plan source</x:v>
      </x:c>
      <x:c r="C56" s="3" t="str">
        <x:v>Preserved unchanged</x:v>
      </x:c>
      <x:c r="D56" s="3" t="str">
        <x:v>Supplementary design context is now tracked in spec/plan/view_content.json;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af7ff57f124d4c2e"/>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101</x:v>
      </x:c>
      <x:c r="C4" s="24" t="n">
        <x:f>COUNTA('Work Items'!A4:A104)</x:f>
        <x:v>101</x:v>
      </x:c>
      <x:c r="D4" s="24" t="n">
        <x:f>C4-B4</x:f>
        <x:v>0</x:v>
      </x:c>
      <x:c r="E4" s="3" t="str">
        <x:v>'Work Items'!A4:A104</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201</x:v>
      </x:c>
      <x:c r="C16" s="24" t="n">
        <x:f>COUNTA('Acceptance'!A4:A204)</x:f>
        <x:v>201</x:v>
      </x:c>
      <x:c r="D16" s="24" t="n">
        <x:f>C16-B16</x:f>
        <x:v>0</x:v>
      </x:c>
      <x:c r="E16" s="3" t="str">
        <x:v>'Acceptance'!A4:A204</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40" customHeight="1">
      <x:c r="A20" s="3" t="str">
        <x:v>Release profiles</x:v>
      </x:c>
      <x:c r="B20" s="24" t="n">
        <x:v>3</x:v>
      </x:c>
      <x:c r="C20" s="24" t="n">
        <x:f>COUNTIF('Release Profiles'!B4:B30,"Scope")</x:f>
        <x:v>3</x:v>
      </x:c>
      <x:c r="D20" s="24" t="n">
        <x:f>C20-B20</x:f>
        <x:v>0</x:v>
      </x:c>
      <x:c r="E20" s="3" t="str">
        <x:v>'Release Profiles'!B4:B30</x:v>
      </x:c>
      <x:c r="F20" s="3" t="str">
        <x:v>One Scope aspect per profile; exact unique profile IDs and all aspect rows checked in generator.</x:v>
      </x:c>
    </x:row>
    <x:row r="21" ht="27" customHeight="1">
      <x:c r="A21" s="14" t="str">
        <x:v>Wave assignments</x:v>
      </x:c>
      <x:c r="B21" s="25" t="n">
        <x:v>101</x:v>
      </x:c>
      <x:c r="C21" s="25" t="n">
        <x:v>101</x:v>
      </x:c>
      <x:c r="D21" s="25" t="n">
        <x:v>0</x:v>
      </x:c>
      <x:c r="E21" s="14" t="str">
        <x:v>plan.json item_waves</x:v>
      </x:c>
      <x:c r="F21" s="14" t="str">
        <x:v>Exact item-ID sets checked, including explicitly unscheduled terminal work.</x:v>
      </x:c>
    </x:row>
    <x:row r="22" ht="27" customHeight="1">
      <x:c r="A22" s="3" t="str">
        <x:v>Full intended step contracts</x:v>
      </x:c>
      <x:c r="B22" s="24" t="n">
        <x:v>47</x:v>
      </x:c>
      <x:c r="C22" s="24" t="n">
        <x:v>47</x:v>
      </x:c>
      <x:c r="D22" s="24" t="n">
        <x:v>0</x:v>
      </x:c>
      <x:c r="E22" s="3" t="str">
        <x:v>steps.yaml</x:v>
      </x:c>
      <x:c r="F22" s="3" t="str">
        <x:v>Contract completeness only, never implementation or conformance.</x:v>
      </x:c>
    </x:row>
    <x:row r="23" ht="27" customHeight="1">
      <x:c r="A23" s="14" t="str">
        <x:v>Structural lint problems</x:v>
      </x:c>
      <x:c r="B23" s="25" t="n">
        <x:v>0</x:v>
      </x:c>
      <x:c r="C23" s="25" t="n">
        <x:v>0</x:v>
      </x:c>
      <x:c r="D23" s="25" t="n">
        <x:v>0</x:v>
      </x:c>
      <x:c r="E23" s="14" t="str">
        <x:v>tools/backlog.py lint</x:v>
      </x:c>
      <x:c r="F23" s="14" t="str">
        <x:v>Does not certify manual wave or release-profile gates.</x:v>
      </x:c>
    </x:row>
  </x:sheetData>
  <x:mergeCells>
    <x:mergeCell ref="A1:F1"/>
    <x:mergeCell ref="A2:F2"/>
  </x:mergeCells>
  <x:conditionalFormatting sqref="D4:D23">
    <x:cfRule type="cellIs" dxfId="0" priority="1" operator="notEqual">
      <x:formula>0</x:formula>
    </x:cfRule>
  </x:conditionalFormatting>
  <x:pageMargins left="0.7" right="0.7" top="0.75" bottom="0.75" header="0.3" footer="0.3"/>
  <x:tableParts count="1">
    <x:tablePart xmlns:r="http://schemas.openxmlformats.org/officeDocument/2006/relationships" r:id="R9b176075c7424598"/>
  </x:tableParts>
</x:worksheet>
</file>